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E757BCB4-07E6-AE0B-56E0-F0EEF7A6E26C}"/>
  <workbookPr codeName="ThisWorkbook"/>
  <mc:AlternateContent xmlns:mc="http://schemas.openxmlformats.org/markup-compatibility/2006">
    <mc:Choice Requires="x15">
      <x15ac:absPath xmlns:x15ac="http://schemas.microsoft.com/office/spreadsheetml/2010/11/ac" url="C:\Users\LKWW\Documents\Confidential\Manual\Examples to Sanitize for Skyward\Sanitized\"/>
    </mc:Choice>
  </mc:AlternateContent>
  <xr:revisionPtr revIDLastSave="0" documentId="13_ncr:1_{27C61EA3-76DD-4AB9-AC0F-4C2D3B124916}" xr6:coauthVersionLast="47" xr6:coauthVersionMax="47" xr10:uidLastSave="{00000000-0000-0000-0000-000000000000}"/>
  <bookViews>
    <workbookView xWindow="-120" yWindow="-120" windowWidth="29040" windowHeight="15840" tabRatio="774" xr2:uid="{00000000-000D-0000-FFFF-FFFF00000000}"/>
  </bookViews>
  <sheets>
    <sheet name="Instructions" sheetId="14" r:id="rId1"/>
    <sheet name="Labor Summary Tables" sheetId="15" state="hidden" r:id="rId2"/>
    <sheet name="Base Period" sheetId="1" r:id="rId3"/>
    <sheet name="Option Period 1" sheetId="2" r:id="rId4"/>
    <sheet name="Budget by Task" sheetId="7" r:id="rId5"/>
    <sheet name="Budget by Period" sheetId="8" r:id="rId6"/>
    <sheet name="Buttons" sheetId="16" r:id="rId7"/>
    <sheet name="Budget Output" sheetId="17" state="hidden" r:id="rId8"/>
  </sheets>
  <definedNames>
    <definedName name="INSERTCOLUMN_YR1">'Base Period'!#REF!</definedName>
    <definedName name="INSERTCOLUMN_YR10">#REF!</definedName>
    <definedName name="INSERTCOLUMN_YR2">'Option Period 1'!#REF!</definedName>
    <definedName name="INSERTCOLUMN_YR3">#REF!</definedName>
    <definedName name="INSERTCOLUMN_YR4">#REF!</definedName>
    <definedName name="INSERTCOLUMN_YR5">#REF!</definedName>
    <definedName name="INSERTCOLUMN_YR6">#REF!</definedName>
    <definedName name="INSERTCOLUMN_YR7">#REF!</definedName>
    <definedName name="INSERTCOLUMN_YR8">#REF!</definedName>
    <definedName name="INSERTCOLUMN_YR9">#REF!</definedName>
    <definedName name="INSERTROW_BYTASK">'Budget by Task'!$42:$42</definedName>
    <definedName name="INSERTROW_BYYEAR">'Budget by Period'!$42:$42</definedName>
    <definedName name="INSERTROW_LABORSUM">'Labor Summary Tables'!$34:$34</definedName>
    <definedName name="INSERTROW_LABORSUM2">'Labor Summary Tables'!$75:$75</definedName>
    <definedName name="INSERTROW_YR1">'Base Period'!$62:$62</definedName>
    <definedName name="INSERTROW_YR10">#REF!</definedName>
    <definedName name="INSERTROW_YR2">'Option Period 1'!$62:$62</definedName>
    <definedName name="INSERTROW_YR3">#REF!</definedName>
    <definedName name="INSERTROW_YR4">#REF!</definedName>
    <definedName name="INSERTROW_YR5">#REF!</definedName>
    <definedName name="INSERTROW_YR6">#REF!</definedName>
    <definedName name="INSERTROW_YR7">#REF!</definedName>
    <definedName name="INSERTROW_YR8">#REF!</definedName>
    <definedName name="INSERTROW_YR9">#REF!</definedName>
    <definedName name="Name_End_BYTASK">'Budget by Task'!$B$42</definedName>
    <definedName name="Name_End_BYYEAR">'Budget by Period'!$B$42</definedName>
    <definedName name="Name_End_Labor">'Labor Summary Tables'!$C$34</definedName>
    <definedName name="Name_End_Labor2">'Labor Summary Tables'!$C$75</definedName>
    <definedName name="Name_End_YR1">'Base Period'!$B$62</definedName>
    <definedName name="Name_End_YR10">#REF!</definedName>
    <definedName name="Name_End_YR2">'Option Period 1'!$B$62</definedName>
    <definedName name="Name_End_YR3">#REF!</definedName>
    <definedName name="Name_End_YR4">#REF!</definedName>
    <definedName name="Name_End_YR5">#REF!</definedName>
    <definedName name="Name_End_YR6">#REF!</definedName>
    <definedName name="Name_End_YR7">#REF!</definedName>
    <definedName name="Name_End_YR8">#REF!</definedName>
    <definedName name="Name_End_YR9">#REF!</definedName>
    <definedName name="_xlnm.Print_Area" localSheetId="2">'Base Period'!$C$32:$BO$154</definedName>
    <definedName name="_xlnm.Print_Area" localSheetId="5">'Budget by Period'!$C$12:$AH$110</definedName>
    <definedName name="_xlnm.Print_Area" localSheetId="4">'Budget by Task'!$C$12:$AJ$101</definedName>
    <definedName name="_xlnm.Print_Area" localSheetId="3">'Option Period 1'!$C$32:$BO$154</definedName>
    <definedName name="_xlnm.Print_Titles" localSheetId="2">'Base Period'!$B:$D,'Base Period'!$1:$31</definedName>
    <definedName name="_xlnm.Print_Titles" localSheetId="5">'Budget by Period'!$B:$B,'Budget by Period'!$1:$7</definedName>
    <definedName name="_xlnm.Print_Titles" localSheetId="4">'Budget by Task'!$B:$B,'Budget by Task'!$1:$11</definedName>
    <definedName name="_xlnm.Print_Titles" localSheetId="3">'Option Period 1'!$B:$D,'Option Period 1'!$1:$31</definedName>
    <definedName name="SC1_Tasks">'Base Period'!$E$29:$BL$29</definedName>
    <definedName name="YR1_First">'Base Period'!$B$1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M33" i="2" l="1"/>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R104" i="1"/>
  <c r="H106" i="8" l="1"/>
  <c r="K106" i="8"/>
  <c r="N106" i="8"/>
  <c r="Q106" i="8"/>
  <c r="T106" i="8"/>
  <c r="W106" i="8"/>
  <c r="Z106" i="8"/>
  <c r="AC106" i="8"/>
  <c r="AF106" i="8"/>
  <c r="T101" i="8" l="1"/>
  <c r="AH34" i="1"/>
  <c r="AH35" i="1"/>
  <c r="AH36" i="1"/>
  <c r="AH37" i="1"/>
  <c r="D34" i="2"/>
  <c r="D35" i="2"/>
  <c r="D36" i="2"/>
  <c r="D37" i="2"/>
  <c r="D38" i="2"/>
  <c r="D39" i="2"/>
  <c r="D40" i="2"/>
  <c r="D41" i="2"/>
  <c r="D42" i="2"/>
  <c r="D43" i="2"/>
  <c r="D33" i="2"/>
  <c r="R104" i="2"/>
  <c r="M337" i="17" l="1"/>
  <c r="BK31" i="2" l="1"/>
  <c r="BI31" i="2"/>
  <c r="BG31" i="2"/>
  <c r="BE31" i="2"/>
  <c r="BC31" i="2"/>
  <c r="BA31" i="2"/>
  <c r="AY31" i="2"/>
  <c r="AW31" i="2"/>
  <c r="AU31" i="2"/>
  <c r="AS31" i="2"/>
  <c r="AQ31" i="2"/>
  <c r="AO31" i="2"/>
  <c r="AM31" i="2"/>
  <c r="AK31" i="2"/>
  <c r="AI31" i="2"/>
  <c r="AG31" i="2"/>
  <c r="AE31" i="2"/>
  <c r="AC31" i="2"/>
  <c r="AA31" i="2"/>
  <c r="Y31" i="2"/>
  <c r="W31" i="2"/>
  <c r="U31" i="2"/>
  <c r="S31" i="2"/>
  <c r="Q31" i="2"/>
  <c r="O31" i="2"/>
  <c r="M31" i="2"/>
  <c r="K31" i="2"/>
  <c r="I31" i="2"/>
  <c r="G31" i="2"/>
  <c r="E31" i="2"/>
  <c r="BK30" i="2"/>
  <c r="BI30" i="2"/>
  <c r="BG30" i="2"/>
  <c r="BE30" i="2"/>
  <c r="BC30" i="2"/>
  <c r="BA30" i="2"/>
  <c r="AY30" i="2"/>
  <c r="AW30" i="2"/>
  <c r="AU30" i="2"/>
  <c r="AS30" i="2"/>
  <c r="AQ30" i="2"/>
  <c r="AO30" i="2"/>
  <c r="AM30" i="2"/>
  <c r="AK30" i="2"/>
  <c r="AI30" i="2"/>
  <c r="AG30" i="2"/>
  <c r="AE30" i="2"/>
  <c r="AC30" i="2"/>
  <c r="AA30" i="2"/>
  <c r="Y30" i="2"/>
  <c r="W30" i="2"/>
  <c r="U30" i="2"/>
  <c r="S30" i="2"/>
  <c r="Q30" i="2"/>
  <c r="O30" i="2"/>
  <c r="M30" i="2"/>
  <c r="K30" i="2"/>
  <c r="I30" i="2"/>
  <c r="G30" i="2"/>
  <c r="E30" i="2"/>
  <c r="BK29" i="2"/>
  <c r="BI29" i="2"/>
  <c r="BG29" i="2"/>
  <c r="BE29" i="2"/>
  <c r="BC29" i="2"/>
  <c r="BA29" i="2"/>
  <c r="AY29" i="2"/>
  <c r="AW29" i="2"/>
  <c r="AU29" i="2"/>
  <c r="AS29" i="2"/>
  <c r="AQ29" i="2"/>
  <c r="AO29" i="2"/>
  <c r="AM29" i="2"/>
  <c r="AK29" i="2"/>
  <c r="AI29" i="2"/>
  <c r="AG29" i="2"/>
  <c r="AE29" i="2"/>
  <c r="AC29" i="2"/>
  <c r="AA29" i="2"/>
  <c r="Y29" i="2"/>
  <c r="W29" i="2"/>
  <c r="U29" i="2"/>
  <c r="S29" i="2"/>
  <c r="Q29" i="2"/>
  <c r="O29" i="2"/>
  <c r="M29" i="2"/>
  <c r="K29" i="2"/>
  <c r="I29" i="2"/>
  <c r="G29" i="2"/>
  <c r="E29" i="2"/>
  <c r="F104" i="1" l="1"/>
  <c r="AI340" i="17" l="1"/>
  <c r="AH340" i="17"/>
  <c r="AG340" i="17"/>
  <c r="AF340" i="17"/>
  <c r="AE340" i="17"/>
  <c r="AD340" i="17"/>
  <c r="AC340" i="17"/>
  <c r="AB340" i="17"/>
  <c r="AA340" i="17"/>
  <c r="Z340" i="17"/>
  <c r="Y340" i="17"/>
  <c r="X340" i="17"/>
  <c r="W340" i="17"/>
  <c r="V340" i="17"/>
  <c r="U340" i="17"/>
  <c r="T340" i="17"/>
  <c r="S340" i="17"/>
  <c r="R340" i="17"/>
  <c r="Q340" i="17"/>
  <c r="P340" i="17"/>
  <c r="O340" i="17"/>
  <c r="N340" i="17"/>
  <c r="M340" i="17"/>
  <c r="L340" i="17"/>
  <c r="K340" i="17"/>
  <c r="J340" i="17"/>
  <c r="I340" i="17"/>
  <c r="H340" i="17"/>
  <c r="G340" i="17"/>
  <c r="F340" i="17"/>
  <c r="AI339" i="17"/>
  <c r="AH339" i="17"/>
  <c r="AG339" i="17"/>
  <c r="AF339" i="17"/>
  <c r="AE339" i="17"/>
  <c r="AD339" i="17"/>
  <c r="AC339" i="17"/>
  <c r="AB339" i="17"/>
  <c r="AA339" i="17"/>
  <c r="Z339" i="17"/>
  <c r="Y339" i="17"/>
  <c r="X339" i="17"/>
  <c r="W339" i="17"/>
  <c r="V339" i="17"/>
  <c r="U339" i="17"/>
  <c r="T339" i="17"/>
  <c r="S339" i="17"/>
  <c r="R339" i="17"/>
  <c r="Q339" i="17"/>
  <c r="P339" i="17"/>
  <c r="O339" i="17"/>
  <c r="N339" i="17"/>
  <c r="M339" i="17"/>
  <c r="L339" i="17"/>
  <c r="K339" i="17"/>
  <c r="J339" i="17"/>
  <c r="I339" i="17"/>
  <c r="H339" i="17"/>
  <c r="G339" i="17"/>
  <c r="F339" i="17"/>
  <c r="AI338" i="17"/>
  <c r="AH338" i="17"/>
  <c r="AG338" i="17"/>
  <c r="AF338" i="17"/>
  <c r="AE338" i="17"/>
  <c r="AD338" i="17"/>
  <c r="AC338" i="17"/>
  <c r="AB338" i="17"/>
  <c r="AA338" i="17"/>
  <c r="Z338" i="17"/>
  <c r="Y338" i="17"/>
  <c r="X338" i="17"/>
  <c r="W338" i="17"/>
  <c r="V338" i="17"/>
  <c r="U338" i="17"/>
  <c r="T338" i="17"/>
  <c r="S338" i="17"/>
  <c r="R338" i="17"/>
  <c r="Q338" i="17"/>
  <c r="P338" i="17"/>
  <c r="O338" i="17"/>
  <c r="N338" i="17"/>
  <c r="M338" i="17"/>
  <c r="L338" i="17"/>
  <c r="K338" i="17"/>
  <c r="J338" i="17"/>
  <c r="I338" i="17"/>
  <c r="H338" i="17"/>
  <c r="G338" i="17"/>
  <c r="F338" i="17"/>
  <c r="AI337" i="17"/>
  <c r="AH337" i="17"/>
  <c r="AG337" i="17"/>
  <c r="AF337" i="17"/>
  <c r="AE337" i="17"/>
  <c r="AD337" i="17"/>
  <c r="AC337" i="17"/>
  <c r="AB337" i="17"/>
  <c r="AA337" i="17"/>
  <c r="Z337" i="17"/>
  <c r="Y337" i="17"/>
  <c r="X337" i="17"/>
  <c r="W337" i="17"/>
  <c r="V337" i="17"/>
  <c r="U337" i="17"/>
  <c r="T337" i="17"/>
  <c r="S337" i="17"/>
  <c r="R337" i="17"/>
  <c r="Q337" i="17"/>
  <c r="P337" i="17"/>
  <c r="O337" i="17"/>
  <c r="N337" i="17"/>
  <c r="L337" i="17"/>
  <c r="K337" i="17"/>
  <c r="J337" i="17"/>
  <c r="I337" i="17"/>
  <c r="H337" i="17"/>
  <c r="G337" i="17"/>
  <c r="F337" i="17"/>
  <c r="AI336" i="17"/>
  <c r="AH336" i="17"/>
  <c r="AG336" i="17"/>
  <c r="AF336" i="17"/>
  <c r="AE336" i="17"/>
  <c r="AD336" i="17"/>
  <c r="AC336" i="17"/>
  <c r="AB336" i="17"/>
  <c r="AA336" i="17"/>
  <c r="Z336" i="17"/>
  <c r="Y336" i="17"/>
  <c r="X336" i="17"/>
  <c r="W336" i="17"/>
  <c r="V336" i="17"/>
  <c r="U336" i="17"/>
  <c r="T336" i="17"/>
  <c r="S336" i="17"/>
  <c r="R336" i="17"/>
  <c r="Q336" i="17"/>
  <c r="P336" i="17"/>
  <c r="O336" i="17"/>
  <c r="N336" i="17"/>
  <c r="M336" i="17"/>
  <c r="L336" i="17"/>
  <c r="K336" i="17"/>
  <c r="J336" i="17"/>
  <c r="I336" i="17"/>
  <c r="H336" i="17"/>
  <c r="G336" i="17"/>
  <c r="F336" i="17"/>
  <c r="AI335" i="17"/>
  <c r="AH335" i="17"/>
  <c r="AG335" i="17"/>
  <c r="AF335" i="17"/>
  <c r="AE335" i="17"/>
  <c r="AD335" i="17"/>
  <c r="AC335" i="17"/>
  <c r="AB335" i="17"/>
  <c r="AA335" i="17"/>
  <c r="Z335" i="17"/>
  <c r="Y335" i="17"/>
  <c r="X335" i="17"/>
  <c r="W335" i="17"/>
  <c r="V335" i="17"/>
  <c r="U335" i="17"/>
  <c r="T335" i="17"/>
  <c r="S335" i="17"/>
  <c r="R335" i="17"/>
  <c r="Q335" i="17"/>
  <c r="P335" i="17"/>
  <c r="O335" i="17"/>
  <c r="N335" i="17"/>
  <c r="M335" i="17"/>
  <c r="L335" i="17"/>
  <c r="K335" i="17"/>
  <c r="J335" i="17"/>
  <c r="I335" i="17"/>
  <c r="H335" i="17"/>
  <c r="G335" i="17"/>
  <c r="F335" i="17"/>
  <c r="AI334" i="17"/>
  <c r="AH334" i="17"/>
  <c r="AG334" i="17"/>
  <c r="AF334" i="17"/>
  <c r="AE334" i="17"/>
  <c r="AD334" i="17"/>
  <c r="AC334" i="17"/>
  <c r="AB334" i="17"/>
  <c r="AA334" i="17"/>
  <c r="Z334" i="17"/>
  <c r="Y334" i="17"/>
  <c r="X334" i="17"/>
  <c r="W334" i="17"/>
  <c r="V334" i="17"/>
  <c r="U334" i="17"/>
  <c r="T334" i="17"/>
  <c r="S334" i="17"/>
  <c r="R334" i="17"/>
  <c r="Q334" i="17"/>
  <c r="P334" i="17"/>
  <c r="O334" i="17"/>
  <c r="N334" i="17"/>
  <c r="M334" i="17"/>
  <c r="L334" i="17"/>
  <c r="K334" i="17"/>
  <c r="J334" i="17"/>
  <c r="I334" i="17"/>
  <c r="H334" i="17"/>
  <c r="G334" i="17"/>
  <c r="F334" i="17"/>
  <c r="AI333" i="17"/>
  <c r="AH333" i="17"/>
  <c r="AG333" i="17"/>
  <c r="AF333" i="17"/>
  <c r="AE333" i="17"/>
  <c r="AD333" i="17"/>
  <c r="AC333" i="17"/>
  <c r="AB333" i="17"/>
  <c r="AA333" i="17"/>
  <c r="Z333" i="17"/>
  <c r="Y333" i="17"/>
  <c r="X333" i="17"/>
  <c r="W333" i="17"/>
  <c r="V333" i="17"/>
  <c r="U333" i="17"/>
  <c r="T333" i="17"/>
  <c r="S333" i="17"/>
  <c r="R333" i="17"/>
  <c r="Q333" i="17"/>
  <c r="P333" i="17"/>
  <c r="O333" i="17"/>
  <c r="N333" i="17"/>
  <c r="M333" i="17"/>
  <c r="L333" i="17"/>
  <c r="K333" i="17"/>
  <c r="J333" i="17"/>
  <c r="I333" i="17"/>
  <c r="H333" i="17"/>
  <c r="G333" i="17"/>
  <c r="F333" i="17"/>
  <c r="AI332" i="17"/>
  <c r="AH332" i="17"/>
  <c r="AG332" i="17"/>
  <c r="AF332" i="17"/>
  <c r="AE332" i="17"/>
  <c r="AD332" i="17"/>
  <c r="AC332" i="17"/>
  <c r="AB332" i="17"/>
  <c r="AA332" i="17"/>
  <c r="Z332" i="17"/>
  <c r="Y332" i="17"/>
  <c r="X332" i="17"/>
  <c r="W332" i="17"/>
  <c r="V332" i="17"/>
  <c r="U332" i="17"/>
  <c r="T332" i="17"/>
  <c r="S332" i="17"/>
  <c r="R332" i="17"/>
  <c r="Q332" i="17"/>
  <c r="P332" i="17"/>
  <c r="O332" i="17"/>
  <c r="N332" i="17"/>
  <c r="M332" i="17"/>
  <c r="L332" i="17"/>
  <c r="K332" i="17"/>
  <c r="J332" i="17"/>
  <c r="I332" i="17"/>
  <c r="H332" i="17"/>
  <c r="G332" i="17"/>
  <c r="F332" i="17"/>
  <c r="AI331" i="17"/>
  <c r="AH331" i="17"/>
  <c r="AG331" i="17"/>
  <c r="AF331" i="17"/>
  <c r="AE331" i="17"/>
  <c r="AD331" i="17"/>
  <c r="AC331" i="17"/>
  <c r="AB331" i="17"/>
  <c r="AA331" i="17"/>
  <c r="Z331" i="17"/>
  <c r="Y331" i="17"/>
  <c r="X331" i="17"/>
  <c r="W331" i="17"/>
  <c r="V331" i="17"/>
  <c r="U331" i="17"/>
  <c r="T331" i="17"/>
  <c r="S331" i="17"/>
  <c r="R331" i="17"/>
  <c r="Q331" i="17"/>
  <c r="P331" i="17"/>
  <c r="O331" i="17"/>
  <c r="N331" i="17"/>
  <c r="M331" i="17"/>
  <c r="L331" i="17"/>
  <c r="K331" i="17"/>
  <c r="J331" i="17"/>
  <c r="I331" i="17"/>
  <c r="H331" i="17"/>
  <c r="G331" i="17"/>
  <c r="F331" i="17"/>
  <c r="AI330" i="17"/>
  <c r="AH330" i="17"/>
  <c r="AG330" i="17"/>
  <c r="AF330" i="17"/>
  <c r="AE330" i="17"/>
  <c r="AD330" i="17"/>
  <c r="AC330" i="17"/>
  <c r="AB330" i="17"/>
  <c r="AA330" i="17"/>
  <c r="Z330" i="17"/>
  <c r="Y330" i="17"/>
  <c r="X330" i="17"/>
  <c r="W330" i="17"/>
  <c r="V330" i="17"/>
  <c r="U330" i="17"/>
  <c r="T330" i="17"/>
  <c r="S330" i="17"/>
  <c r="R330" i="17"/>
  <c r="Q330" i="17"/>
  <c r="P330" i="17"/>
  <c r="O330" i="17"/>
  <c r="N330" i="17"/>
  <c r="M330" i="17"/>
  <c r="L330" i="17"/>
  <c r="K330" i="17"/>
  <c r="J330" i="17"/>
  <c r="I330" i="17"/>
  <c r="H330" i="17"/>
  <c r="G330" i="17"/>
  <c r="F330" i="17"/>
  <c r="AI329" i="17"/>
  <c r="AH329" i="17"/>
  <c r="AG329" i="17"/>
  <c r="AF329" i="17"/>
  <c r="AE329" i="17"/>
  <c r="AD329" i="17"/>
  <c r="AC329" i="17"/>
  <c r="AB329" i="17"/>
  <c r="AA329" i="17"/>
  <c r="Z329" i="17"/>
  <c r="Y329" i="17"/>
  <c r="X329" i="17"/>
  <c r="W329" i="17"/>
  <c r="V329" i="17"/>
  <c r="U329" i="17"/>
  <c r="T329" i="17"/>
  <c r="S329" i="17"/>
  <c r="R329" i="17"/>
  <c r="Q329" i="17"/>
  <c r="P329" i="17"/>
  <c r="O329" i="17"/>
  <c r="N329" i="17"/>
  <c r="M329" i="17"/>
  <c r="L329" i="17"/>
  <c r="K329" i="17"/>
  <c r="J329" i="17"/>
  <c r="I329" i="17"/>
  <c r="H329" i="17"/>
  <c r="G329" i="17"/>
  <c r="F329" i="17"/>
  <c r="AI328" i="17"/>
  <c r="AH328" i="17"/>
  <c r="AG328" i="17"/>
  <c r="AF328" i="17"/>
  <c r="AE328" i="17"/>
  <c r="AD328" i="17"/>
  <c r="AC328" i="17"/>
  <c r="AB328" i="17"/>
  <c r="AA328" i="17"/>
  <c r="Z328" i="17"/>
  <c r="Y328" i="17"/>
  <c r="X328" i="17"/>
  <c r="W328" i="17"/>
  <c r="V328" i="17"/>
  <c r="U328" i="17"/>
  <c r="T328" i="17"/>
  <c r="S328" i="17"/>
  <c r="R328" i="17"/>
  <c r="Q328" i="17"/>
  <c r="P328" i="17"/>
  <c r="O328" i="17"/>
  <c r="N328" i="17"/>
  <c r="M328" i="17"/>
  <c r="L328" i="17"/>
  <c r="K328" i="17"/>
  <c r="J328" i="17"/>
  <c r="I328" i="17"/>
  <c r="H328" i="17"/>
  <c r="G328" i="17"/>
  <c r="F328" i="17"/>
  <c r="AI327" i="17"/>
  <c r="AH327" i="17"/>
  <c r="AG327" i="17"/>
  <c r="AF327" i="17"/>
  <c r="AE327" i="17"/>
  <c r="AD327" i="17"/>
  <c r="AC327" i="17"/>
  <c r="AB327" i="17"/>
  <c r="AA327" i="17"/>
  <c r="Z327" i="17"/>
  <c r="Y327" i="17"/>
  <c r="X327" i="17"/>
  <c r="W327" i="17"/>
  <c r="V327" i="17"/>
  <c r="U327" i="17"/>
  <c r="T327" i="17"/>
  <c r="S327" i="17"/>
  <c r="R327" i="17"/>
  <c r="Q327" i="17"/>
  <c r="P327" i="17"/>
  <c r="O327" i="17"/>
  <c r="N327" i="17"/>
  <c r="M327" i="17"/>
  <c r="L327" i="17"/>
  <c r="K327" i="17"/>
  <c r="J327" i="17"/>
  <c r="I327" i="17"/>
  <c r="H327" i="17"/>
  <c r="G327" i="17"/>
  <c r="F327" i="17"/>
  <c r="AI326" i="17"/>
  <c r="AH326" i="17"/>
  <c r="AG326" i="17"/>
  <c r="AF326" i="17"/>
  <c r="AE326" i="17"/>
  <c r="AD326" i="17"/>
  <c r="AC326" i="17"/>
  <c r="AB326" i="17"/>
  <c r="AA326" i="17"/>
  <c r="Z326" i="17"/>
  <c r="Y326" i="17"/>
  <c r="X326" i="17"/>
  <c r="W326" i="17"/>
  <c r="V326" i="17"/>
  <c r="U326" i="17"/>
  <c r="T326" i="17"/>
  <c r="S326" i="17"/>
  <c r="R326" i="17"/>
  <c r="Q326" i="17"/>
  <c r="P326" i="17"/>
  <c r="O326" i="17"/>
  <c r="N326" i="17"/>
  <c r="M326" i="17"/>
  <c r="L326" i="17"/>
  <c r="K326" i="17"/>
  <c r="J326" i="17"/>
  <c r="I326" i="17"/>
  <c r="H326" i="17"/>
  <c r="G326" i="17"/>
  <c r="F326" i="17"/>
  <c r="AI325" i="17"/>
  <c r="AH325" i="17"/>
  <c r="AG325" i="17"/>
  <c r="AF325" i="17"/>
  <c r="AE325" i="17"/>
  <c r="AD325" i="17"/>
  <c r="AC325" i="17"/>
  <c r="AB325" i="17"/>
  <c r="AA325" i="17"/>
  <c r="Z325" i="17"/>
  <c r="Y325" i="17"/>
  <c r="X325" i="17"/>
  <c r="W325" i="17"/>
  <c r="V325" i="17"/>
  <c r="U325" i="17"/>
  <c r="T325" i="17"/>
  <c r="S325" i="17"/>
  <c r="R325" i="17"/>
  <c r="Q325" i="17"/>
  <c r="P325" i="17"/>
  <c r="O325" i="17"/>
  <c r="N325" i="17"/>
  <c r="M325" i="17"/>
  <c r="L325" i="17"/>
  <c r="K325" i="17"/>
  <c r="J325" i="17"/>
  <c r="I325" i="17"/>
  <c r="H325" i="17"/>
  <c r="G325" i="17"/>
  <c r="F325" i="17"/>
  <c r="AI324" i="17"/>
  <c r="AH324" i="17"/>
  <c r="AG324" i="17"/>
  <c r="AF324" i="17"/>
  <c r="AE324" i="17"/>
  <c r="AD324" i="17"/>
  <c r="AC324" i="17"/>
  <c r="AB324" i="17"/>
  <c r="AA324" i="17"/>
  <c r="Z324" i="17"/>
  <c r="Y324" i="17"/>
  <c r="X324" i="17"/>
  <c r="W324" i="17"/>
  <c r="V324" i="17"/>
  <c r="U324" i="17"/>
  <c r="T324" i="17"/>
  <c r="S324" i="17"/>
  <c r="R324" i="17"/>
  <c r="Q324" i="17"/>
  <c r="P324" i="17"/>
  <c r="O324" i="17"/>
  <c r="N324" i="17"/>
  <c r="M324" i="17"/>
  <c r="L324" i="17"/>
  <c r="K324" i="17"/>
  <c r="J324" i="17"/>
  <c r="I324" i="17"/>
  <c r="H324" i="17"/>
  <c r="G324" i="17"/>
  <c r="F324" i="17"/>
  <c r="AI323" i="17"/>
  <c r="AH323" i="17"/>
  <c r="AG323" i="17"/>
  <c r="AF323" i="17"/>
  <c r="AE323" i="17"/>
  <c r="AD323" i="17"/>
  <c r="AC323" i="17"/>
  <c r="AB323" i="17"/>
  <c r="AA323" i="17"/>
  <c r="Z323" i="17"/>
  <c r="Y323" i="17"/>
  <c r="X323" i="17"/>
  <c r="W323" i="17"/>
  <c r="V323" i="17"/>
  <c r="U323" i="17"/>
  <c r="T323" i="17"/>
  <c r="S323" i="17"/>
  <c r="R323" i="17"/>
  <c r="Q323" i="17"/>
  <c r="P323" i="17"/>
  <c r="O323" i="17"/>
  <c r="N323" i="17"/>
  <c r="M323" i="17"/>
  <c r="L323" i="17"/>
  <c r="K323" i="17"/>
  <c r="J323" i="17"/>
  <c r="I323" i="17"/>
  <c r="H323" i="17"/>
  <c r="G323" i="17"/>
  <c r="F323" i="17"/>
  <c r="AI322" i="17"/>
  <c r="AH322" i="17"/>
  <c r="AG322" i="17"/>
  <c r="AF322" i="17"/>
  <c r="AE322" i="17"/>
  <c r="AD322" i="17"/>
  <c r="AC322" i="17"/>
  <c r="AB322" i="17"/>
  <c r="AA322" i="17"/>
  <c r="Z322" i="17"/>
  <c r="Y322" i="17"/>
  <c r="X322" i="17"/>
  <c r="W322" i="17"/>
  <c r="V322" i="17"/>
  <c r="U322" i="17"/>
  <c r="T322" i="17"/>
  <c r="S322" i="17"/>
  <c r="R322" i="17"/>
  <c r="Q322" i="17"/>
  <c r="P322" i="17"/>
  <c r="O322" i="17"/>
  <c r="N322" i="17"/>
  <c r="M322" i="17"/>
  <c r="L322" i="17"/>
  <c r="K322" i="17"/>
  <c r="J322" i="17"/>
  <c r="I322" i="17"/>
  <c r="H322" i="17"/>
  <c r="G322" i="17"/>
  <c r="F322" i="17"/>
  <c r="AI321" i="17"/>
  <c r="AH321" i="17"/>
  <c r="AG321" i="17"/>
  <c r="AF321" i="17"/>
  <c r="AE321" i="17"/>
  <c r="AD321" i="17"/>
  <c r="AC321" i="17"/>
  <c r="AB321" i="17"/>
  <c r="AA321" i="17"/>
  <c r="Z321" i="17"/>
  <c r="Y321" i="17"/>
  <c r="X321" i="17"/>
  <c r="W321" i="17"/>
  <c r="V321" i="17"/>
  <c r="U321" i="17"/>
  <c r="T321" i="17"/>
  <c r="S321" i="17"/>
  <c r="R321" i="17"/>
  <c r="Q321" i="17"/>
  <c r="P321" i="17"/>
  <c r="O321" i="17"/>
  <c r="N321" i="17"/>
  <c r="M321" i="17"/>
  <c r="L321" i="17"/>
  <c r="K321" i="17"/>
  <c r="J321" i="17"/>
  <c r="I321" i="17"/>
  <c r="H321" i="17"/>
  <c r="G321" i="17"/>
  <c r="F321" i="17"/>
  <c r="AI320" i="17"/>
  <c r="AH320" i="17"/>
  <c r="AG320" i="17"/>
  <c r="AF320" i="17"/>
  <c r="AE320" i="17"/>
  <c r="AD320" i="17"/>
  <c r="AC320" i="17"/>
  <c r="AB320" i="17"/>
  <c r="AA320" i="17"/>
  <c r="Z320" i="17"/>
  <c r="Y320" i="17"/>
  <c r="X320" i="17"/>
  <c r="W320" i="17"/>
  <c r="V320" i="17"/>
  <c r="U320" i="17"/>
  <c r="T320" i="17"/>
  <c r="S320" i="17"/>
  <c r="R320" i="17"/>
  <c r="Q320" i="17"/>
  <c r="P320" i="17"/>
  <c r="O320" i="17"/>
  <c r="N320" i="17"/>
  <c r="M320" i="17"/>
  <c r="L320" i="17"/>
  <c r="K320" i="17"/>
  <c r="J320" i="17"/>
  <c r="I320" i="17"/>
  <c r="H320" i="17"/>
  <c r="G320" i="17"/>
  <c r="F320" i="17"/>
  <c r="AI319" i="17"/>
  <c r="AH319" i="17"/>
  <c r="AG319" i="17"/>
  <c r="AF319" i="17"/>
  <c r="AE319" i="17"/>
  <c r="AD319" i="17"/>
  <c r="AC319" i="17"/>
  <c r="AB319" i="17"/>
  <c r="AA319" i="17"/>
  <c r="Z319" i="17"/>
  <c r="Y319" i="17"/>
  <c r="X319" i="17"/>
  <c r="W319" i="17"/>
  <c r="V319" i="17"/>
  <c r="U319" i="17"/>
  <c r="T319" i="17"/>
  <c r="S319" i="17"/>
  <c r="R319" i="17"/>
  <c r="Q319" i="17"/>
  <c r="P319" i="17"/>
  <c r="O319" i="17"/>
  <c r="N319" i="17"/>
  <c r="M319" i="17"/>
  <c r="L319" i="17"/>
  <c r="K319" i="17"/>
  <c r="J319" i="17"/>
  <c r="I319" i="17"/>
  <c r="H319" i="17"/>
  <c r="G319" i="17"/>
  <c r="F319" i="17"/>
  <c r="AI318" i="17"/>
  <c r="AH318" i="17"/>
  <c r="AG318" i="17"/>
  <c r="AF318" i="17"/>
  <c r="AE318" i="17"/>
  <c r="AD318" i="17"/>
  <c r="AC318" i="17"/>
  <c r="AB318" i="17"/>
  <c r="AA318" i="17"/>
  <c r="Z318" i="17"/>
  <c r="Y318" i="17"/>
  <c r="X318" i="17"/>
  <c r="W318" i="17"/>
  <c r="V318" i="17"/>
  <c r="U318" i="17"/>
  <c r="T318" i="17"/>
  <c r="S318" i="17"/>
  <c r="R318" i="17"/>
  <c r="Q318" i="17"/>
  <c r="P318" i="17"/>
  <c r="O318" i="17"/>
  <c r="N318" i="17"/>
  <c r="M318" i="17"/>
  <c r="L318" i="17"/>
  <c r="K318" i="17"/>
  <c r="J318" i="17"/>
  <c r="I318" i="17"/>
  <c r="H318" i="17"/>
  <c r="G318" i="17"/>
  <c r="F318" i="17"/>
  <c r="AI317" i="17"/>
  <c r="AH317" i="17"/>
  <c r="AG317" i="17"/>
  <c r="AF317" i="17"/>
  <c r="AE317" i="17"/>
  <c r="AD317" i="17"/>
  <c r="AC317" i="17"/>
  <c r="AB317" i="17"/>
  <c r="AA317" i="17"/>
  <c r="Z317" i="17"/>
  <c r="Y317" i="17"/>
  <c r="X317" i="17"/>
  <c r="W317" i="17"/>
  <c r="V317" i="17"/>
  <c r="U317" i="17"/>
  <c r="T317" i="17"/>
  <c r="S317" i="17"/>
  <c r="R317" i="17"/>
  <c r="Q317" i="17"/>
  <c r="P317" i="17"/>
  <c r="O317" i="17"/>
  <c r="N317" i="17"/>
  <c r="M317" i="17"/>
  <c r="L317" i="17"/>
  <c r="K317" i="17"/>
  <c r="J317" i="17"/>
  <c r="I317" i="17"/>
  <c r="H317" i="17"/>
  <c r="G317" i="17"/>
  <c r="F317" i="17"/>
  <c r="AI316" i="17"/>
  <c r="AH316" i="17"/>
  <c r="AG316" i="17"/>
  <c r="AF316" i="17"/>
  <c r="AE316" i="17"/>
  <c r="AD316" i="17"/>
  <c r="AC316" i="17"/>
  <c r="AB316" i="17"/>
  <c r="AA316" i="17"/>
  <c r="Z316" i="17"/>
  <c r="Y316" i="17"/>
  <c r="X316" i="17"/>
  <c r="W316" i="17"/>
  <c r="V316" i="17"/>
  <c r="U316" i="17"/>
  <c r="T316" i="17"/>
  <c r="S316" i="17"/>
  <c r="R316" i="17"/>
  <c r="Q316" i="17"/>
  <c r="P316" i="17"/>
  <c r="O316" i="17"/>
  <c r="N316" i="17"/>
  <c r="M316" i="17"/>
  <c r="L316" i="17"/>
  <c r="K316" i="17"/>
  <c r="J316" i="17"/>
  <c r="I316" i="17"/>
  <c r="H316" i="17"/>
  <c r="G316" i="17"/>
  <c r="F316" i="17"/>
  <c r="AI315" i="17"/>
  <c r="AH315" i="17"/>
  <c r="AG315" i="17"/>
  <c r="AF315" i="17"/>
  <c r="AE315" i="17"/>
  <c r="AD315" i="17"/>
  <c r="AC315" i="17"/>
  <c r="AB315" i="17"/>
  <c r="AA315" i="17"/>
  <c r="Z315" i="17"/>
  <c r="Y315" i="17"/>
  <c r="X315" i="17"/>
  <c r="W315" i="17"/>
  <c r="V315" i="17"/>
  <c r="U315" i="17"/>
  <c r="T315" i="17"/>
  <c r="S315" i="17"/>
  <c r="R315" i="17"/>
  <c r="Q315" i="17"/>
  <c r="P315" i="17"/>
  <c r="O315" i="17"/>
  <c r="N315" i="17"/>
  <c r="M315" i="17"/>
  <c r="L315" i="17"/>
  <c r="K315" i="17"/>
  <c r="J315" i="17"/>
  <c r="I315" i="17"/>
  <c r="H315" i="17"/>
  <c r="G315" i="17"/>
  <c r="F315" i="17"/>
  <c r="AI314" i="17"/>
  <c r="AH314" i="17"/>
  <c r="AG314" i="17"/>
  <c r="AF314" i="17"/>
  <c r="AE314" i="17"/>
  <c r="AD314" i="17"/>
  <c r="AC314" i="17"/>
  <c r="AB314" i="17"/>
  <c r="AA314" i="17"/>
  <c r="Z314" i="17"/>
  <c r="Y314" i="17"/>
  <c r="X314" i="17"/>
  <c r="W314" i="17"/>
  <c r="V314" i="17"/>
  <c r="U314" i="17"/>
  <c r="T314" i="17"/>
  <c r="S314" i="17"/>
  <c r="R314" i="17"/>
  <c r="Q314" i="17"/>
  <c r="P314" i="17"/>
  <c r="O314" i="17"/>
  <c r="N314" i="17"/>
  <c r="M314" i="17"/>
  <c r="L314" i="17"/>
  <c r="K314" i="17"/>
  <c r="J314" i="17"/>
  <c r="I314" i="17"/>
  <c r="H314" i="17"/>
  <c r="G314" i="17"/>
  <c r="F314" i="17"/>
  <c r="AI313" i="17"/>
  <c r="AH313" i="17"/>
  <c r="AG313" i="17"/>
  <c r="AF313" i="17"/>
  <c r="AE313" i="17"/>
  <c r="AD313" i="17"/>
  <c r="AC313" i="17"/>
  <c r="AB313" i="17"/>
  <c r="AA313" i="17"/>
  <c r="Z313" i="17"/>
  <c r="Y313" i="17"/>
  <c r="X313" i="17"/>
  <c r="W313" i="17"/>
  <c r="V313" i="17"/>
  <c r="U313" i="17"/>
  <c r="T313" i="17"/>
  <c r="S313" i="17"/>
  <c r="R313" i="17"/>
  <c r="Q313" i="17"/>
  <c r="P313" i="17"/>
  <c r="O313" i="17"/>
  <c r="N313" i="17"/>
  <c r="M313" i="17"/>
  <c r="L313" i="17"/>
  <c r="K313" i="17"/>
  <c r="J313" i="17"/>
  <c r="I313" i="17"/>
  <c r="H313" i="17"/>
  <c r="G313" i="17"/>
  <c r="F313" i="17"/>
  <c r="AI312" i="17"/>
  <c r="AH312" i="17"/>
  <c r="AG312" i="17"/>
  <c r="AF312" i="17"/>
  <c r="AE312" i="17"/>
  <c r="AD312" i="17"/>
  <c r="AC312" i="17"/>
  <c r="AB312" i="17"/>
  <c r="AA312" i="17"/>
  <c r="Z312" i="17"/>
  <c r="Y312" i="17"/>
  <c r="X312" i="17"/>
  <c r="W312" i="17"/>
  <c r="V312" i="17"/>
  <c r="U312" i="17"/>
  <c r="T312" i="17"/>
  <c r="S312" i="17"/>
  <c r="R312" i="17"/>
  <c r="Q312" i="17"/>
  <c r="P312" i="17"/>
  <c r="O312" i="17"/>
  <c r="N312" i="17"/>
  <c r="M312" i="17"/>
  <c r="L312" i="17"/>
  <c r="K312" i="17"/>
  <c r="J312" i="17"/>
  <c r="I312" i="17"/>
  <c r="H312" i="17"/>
  <c r="G312" i="17"/>
  <c r="F312" i="17"/>
  <c r="AI311" i="17"/>
  <c r="AH311" i="17"/>
  <c r="AG311" i="17"/>
  <c r="AF311" i="17"/>
  <c r="AE311" i="17"/>
  <c r="AD311" i="17"/>
  <c r="AC311" i="17"/>
  <c r="AB311" i="17"/>
  <c r="AA311" i="17"/>
  <c r="Z311" i="17"/>
  <c r="Y311" i="17"/>
  <c r="X311" i="17"/>
  <c r="W311" i="17"/>
  <c r="V311" i="17"/>
  <c r="U311" i="17"/>
  <c r="T311" i="17"/>
  <c r="S311" i="17"/>
  <c r="R311" i="17"/>
  <c r="Q311" i="17"/>
  <c r="P311" i="17"/>
  <c r="O311" i="17"/>
  <c r="N311" i="17"/>
  <c r="M311" i="17"/>
  <c r="L311" i="17"/>
  <c r="K311" i="17"/>
  <c r="J311" i="17"/>
  <c r="I311" i="17"/>
  <c r="H311" i="17"/>
  <c r="G311" i="17"/>
  <c r="F311" i="17"/>
  <c r="AI306" i="17"/>
  <c r="AH306" i="17"/>
  <c r="AG306" i="17"/>
  <c r="AF306" i="17"/>
  <c r="AE306" i="17"/>
  <c r="AD306" i="17"/>
  <c r="AC306" i="17"/>
  <c r="AB306" i="17"/>
  <c r="AA306" i="17"/>
  <c r="Z306" i="17"/>
  <c r="Y306" i="17"/>
  <c r="X306" i="17"/>
  <c r="W306" i="17"/>
  <c r="V306" i="17"/>
  <c r="U306" i="17"/>
  <c r="T306" i="17"/>
  <c r="S306" i="17"/>
  <c r="R306" i="17"/>
  <c r="Q306" i="17"/>
  <c r="P306" i="17"/>
  <c r="O306" i="17"/>
  <c r="N306" i="17"/>
  <c r="M306" i="17"/>
  <c r="L306" i="17"/>
  <c r="K306" i="17"/>
  <c r="J306" i="17"/>
  <c r="I306" i="17"/>
  <c r="H306" i="17"/>
  <c r="G306" i="17"/>
  <c r="F306" i="17"/>
  <c r="AI305" i="17"/>
  <c r="AH305" i="17"/>
  <c r="AG305" i="17"/>
  <c r="AF305" i="17"/>
  <c r="AE305" i="17"/>
  <c r="AD305" i="17"/>
  <c r="AC305" i="17"/>
  <c r="AB305" i="17"/>
  <c r="AA305" i="17"/>
  <c r="Z305" i="17"/>
  <c r="Y305" i="17"/>
  <c r="X305" i="17"/>
  <c r="W305" i="17"/>
  <c r="V305" i="17"/>
  <c r="U305" i="17"/>
  <c r="T305" i="17"/>
  <c r="S305" i="17"/>
  <c r="R305" i="17"/>
  <c r="Q305" i="17"/>
  <c r="P305" i="17"/>
  <c r="O305" i="17"/>
  <c r="N305" i="17"/>
  <c r="M305" i="17"/>
  <c r="L305" i="17"/>
  <c r="K305" i="17"/>
  <c r="J305" i="17"/>
  <c r="I305" i="17"/>
  <c r="H305" i="17"/>
  <c r="G305" i="17"/>
  <c r="F305" i="17"/>
  <c r="AI304" i="17"/>
  <c r="AH304" i="17"/>
  <c r="AG304" i="17"/>
  <c r="AF304" i="17"/>
  <c r="AE304" i="17"/>
  <c r="AD304" i="17"/>
  <c r="AC304" i="17"/>
  <c r="AB304" i="17"/>
  <c r="AA304" i="17"/>
  <c r="Z304" i="17"/>
  <c r="Y304" i="17"/>
  <c r="X304" i="17"/>
  <c r="W304" i="17"/>
  <c r="V304" i="17"/>
  <c r="U304" i="17"/>
  <c r="T304" i="17"/>
  <c r="S304" i="17"/>
  <c r="R304" i="17"/>
  <c r="Q304" i="17"/>
  <c r="P304" i="17"/>
  <c r="O304" i="17"/>
  <c r="N304" i="17"/>
  <c r="M304" i="17"/>
  <c r="L304" i="17"/>
  <c r="K304" i="17"/>
  <c r="J304" i="17"/>
  <c r="I304" i="17"/>
  <c r="H304" i="17"/>
  <c r="G304" i="17"/>
  <c r="F304" i="17"/>
  <c r="AI303" i="17"/>
  <c r="AH303" i="17"/>
  <c r="AG303" i="17"/>
  <c r="AF303" i="17"/>
  <c r="AE303" i="17"/>
  <c r="AD303" i="17"/>
  <c r="AC303" i="17"/>
  <c r="AB303" i="17"/>
  <c r="AA303" i="17"/>
  <c r="Z303" i="17"/>
  <c r="Y303" i="17"/>
  <c r="X303" i="17"/>
  <c r="W303" i="17"/>
  <c r="V303" i="17"/>
  <c r="U303" i="17"/>
  <c r="T303" i="17"/>
  <c r="S303" i="17"/>
  <c r="R303" i="17"/>
  <c r="Q303" i="17"/>
  <c r="P303" i="17"/>
  <c r="O303" i="17"/>
  <c r="N303" i="17"/>
  <c r="M303" i="17"/>
  <c r="L303" i="17"/>
  <c r="K303" i="17"/>
  <c r="J303" i="17"/>
  <c r="I303" i="17"/>
  <c r="H303" i="17"/>
  <c r="G303" i="17"/>
  <c r="F303" i="17"/>
  <c r="AI302" i="17"/>
  <c r="AH302" i="17"/>
  <c r="AG302" i="17"/>
  <c r="AF302" i="17"/>
  <c r="AE302" i="17"/>
  <c r="AD302" i="17"/>
  <c r="AC302" i="17"/>
  <c r="AB302" i="17"/>
  <c r="AA302" i="17"/>
  <c r="Z302" i="17"/>
  <c r="Y302" i="17"/>
  <c r="X302" i="17"/>
  <c r="W302" i="17"/>
  <c r="V302" i="17"/>
  <c r="U302" i="17"/>
  <c r="T302" i="17"/>
  <c r="S302" i="17"/>
  <c r="R302" i="17"/>
  <c r="Q302" i="17"/>
  <c r="P302" i="17"/>
  <c r="O302" i="17"/>
  <c r="N302" i="17"/>
  <c r="M302" i="17"/>
  <c r="L302" i="17"/>
  <c r="K302" i="17"/>
  <c r="J302" i="17"/>
  <c r="I302" i="17"/>
  <c r="H302" i="17"/>
  <c r="G302" i="17"/>
  <c r="F302" i="17"/>
  <c r="AI301" i="17"/>
  <c r="AH301" i="17"/>
  <c r="AG301" i="17"/>
  <c r="AF301" i="17"/>
  <c r="AE301" i="17"/>
  <c r="AD301" i="17"/>
  <c r="AC301" i="17"/>
  <c r="AB301" i="17"/>
  <c r="AA301" i="17"/>
  <c r="Z301" i="17"/>
  <c r="Y301" i="17"/>
  <c r="X301" i="17"/>
  <c r="W301" i="17"/>
  <c r="V301" i="17"/>
  <c r="U301" i="17"/>
  <c r="T301" i="17"/>
  <c r="S301" i="17"/>
  <c r="R301" i="17"/>
  <c r="Q301" i="17"/>
  <c r="P301" i="17"/>
  <c r="O301" i="17"/>
  <c r="N301" i="17"/>
  <c r="M301" i="17"/>
  <c r="L301" i="17"/>
  <c r="K301" i="17"/>
  <c r="J301" i="17"/>
  <c r="I301" i="17"/>
  <c r="H301" i="17"/>
  <c r="G301" i="17"/>
  <c r="F301" i="17"/>
  <c r="AI300" i="17"/>
  <c r="AH300" i="17"/>
  <c r="AG300" i="17"/>
  <c r="AF300" i="17"/>
  <c r="AE300" i="17"/>
  <c r="AD300" i="17"/>
  <c r="AC300" i="17"/>
  <c r="AB300" i="17"/>
  <c r="AA300" i="17"/>
  <c r="Z300" i="17"/>
  <c r="Y300" i="17"/>
  <c r="X300" i="17"/>
  <c r="W300" i="17"/>
  <c r="V300" i="17"/>
  <c r="U300" i="17"/>
  <c r="T300" i="17"/>
  <c r="S300" i="17"/>
  <c r="R300" i="17"/>
  <c r="Q300" i="17"/>
  <c r="P300" i="17"/>
  <c r="O300" i="17"/>
  <c r="N300" i="17"/>
  <c r="M300" i="17"/>
  <c r="L300" i="17"/>
  <c r="K300" i="17"/>
  <c r="J300" i="17"/>
  <c r="I300" i="17"/>
  <c r="H300" i="17"/>
  <c r="G300" i="17"/>
  <c r="F300" i="17"/>
  <c r="AI299" i="17"/>
  <c r="AH299" i="17"/>
  <c r="AG299" i="17"/>
  <c r="AF299" i="17"/>
  <c r="AE299" i="17"/>
  <c r="AD299" i="17"/>
  <c r="AC299" i="17"/>
  <c r="AB299" i="17"/>
  <c r="AA299" i="17"/>
  <c r="Z299" i="17"/>
  <c r="Y299" i="17"/>
  <c r="X299" i="17"/>
  <c r="W299" i="17"/>
  <c r="V299" i="17"/>
  <c r="U299" i="17"/>
  <c r="T299" i="17"/>
  <c r="S299" i="17"/>
  <c r="R299" i="17"/>
  <c r="Q299" i="17"/>
  <c r="P299" i="17"/>
  <c r="O299" i="17"/>
  <c r="N299" i="17"/>
  <c r="M299" i="17"/>
  <c r="L299" i="17"/>
  <c r="K299" i="17"/>
  <c r="J299" i="17"/>
  <c r="I299" i="17"/>
  <c r="H299" i="17"/>
  <c r="G299" i="17"/>
  <c r="F299" i="17"/>
  <c r="AI298" i="17"/>
  <c r="AH298" i="17"/>
  <c r="AG298" i="17"/>
  <c r="AF298" i="17"/>
  <c r="AE298" i="17"/>
  <c r="AD298" i="17"/>
  <c r="AC298" i="17"/>
  <c r="AB298" i="17"/>
  <c r="AA298" i="17"/>
  <c r="Z298" i="17"/>
  <c r="Y298" i="17"/>
  <c r="X298" i="17"/>
  <c r="W298" i="17"/>
  <c r="V298" i="17"/>
  <c r="U298" i="17"/>
  <c r="T298" i="17"/>
  <c r="S298" i="17"/>
  <c r="R298" i="17"/>
  <c r="Q298" i="17"/>
  <c r="P298" i="17"/>
  <c r="O298" i="17"/>
  <c r="N298" i="17"/>
  <c r="M298" i="17"/>
  <c r="L298" i="17"/>
  <c r="K298" i="17"/>
  <c r="J298" i="17"/>
  <c r="I298" i="17"/>
  <c r="H298" i="17"/>
  <c r="G298" i="17"/>
  <c r="F298" i="17"/>
  <c r="AI297" i="17"/>
  <c r="AH297" i="17"/>
  <c r="AG297" i="17"/>
  <c r="AF297" i="17"/>
  <c r="AE297" i="17"/>
  <c r="AD297" i="17"/>
  <c r="AC297" i="17"/>
  <c r="AB297" i="17"/>
  <c r="AA297" i="17"/>
  <c r="Z297" i="17"/>
  <c r="Y297" i="17"/>
  <c r="X297" i="17"/>
  <c r="W297" i="17"/>
  <c r="V297" i="17"/>
  <c r="U297" i="17"/>
  <c r="T297" i="17"/>
  <c r="S297" i="17"/>
  <c r="R297" i="17"/>
  <c r="Q297" i="17"/>
  <c r="P297" i="17"/>
  <c r="O297" i="17"/>
  <c r="N297" i="17"/>
  <c r="M297" i="17"/>
  <c r="L297" i="17"/>
  <c r="K297" i="17"/>
  <c r="J297" i="17"/>
  <c r="I297" i="17"/>
  <c r="H297" i="17"/>
  <c r="G297" i="17"/>
  <c r="F297" i="17"/>
  <c r="AI296" i="17"/>
  <c r="AH296" i="17"/>
  <c r="AG296" i="17"/>
  <c r="AF296" i="17"/>
  <c r="AE296" i="17"/>
  <c r="AD296" i="17"/>
  <c r="AC296" i="17"/>
  <c r="AB296" i="17"/>
  <c r="AA296" i="17"/>
  <c r="Z296" i="17"/>
  <c r="Y296" i="17"/>
  <c r="X296" i="17"/>
  <c r="W296" i="17"/>
  <c r="V296" i="17"/>
  <c r="U296" i="17"/>
  <c r="T296" i="17"/>
  <c r="S296" i="17"/>
  <c r="R296" i="17"/>
  <c r="Q296" i="17"/>
  <c r="P296" i="17"/>
  <c r="O296" i="17"/>
  <c r="N296" i="17"/>
  <c r="M296" i="17"/>
  <c r="L296" i="17"/>
  <c r="K296" i="17"/>
  <c r="J296" i="17"/>
  <c r="I296" i="17"/>
  <c r="H296" i="17"/>
  <c r="G296" i="17"/>
  <c r="F296" i="17"/>
  <c r="AI295" i="17"/>
  <c r="AH295" i="17"/>
  <c r="AG295" i="17"/>
  <c r="AF295" i="17"/>
  <c r="AE295" i="17"/>
  <c r="AD295" i="17"/>
  <c r="AC295" i="17"/>
  <c r="AB295" i="17"/>
  <c r="AA295" i="17"/>
  <c r="Z295" i="17"/>
  <c r="Y295" i="17"/>
  <c r="X295" i="17"/>
  <c r="W295" i="17"/>
  <c r="V295" i="17"/>
  <c r="U295" i="17"/>
  <c r="T295" i="17"/>
  <c r="S295" i="17"/>
  <c r="R295" i="17"/>
  <c r="Q295" i="17"/>
  <c r="P295" i="17"/>
  <c r="O295" i="17"/>
  <c r="N295" i="17"/>
  <c r="M295" i="17"/>
  <c r="L295" i="17"/>
  <c r="K295" i="17"/>
  <c r="J295" i="17"/>
  <c r="I295" i="17"/>
  <c r="H295" i="17"/>
  <c r="G295" i="17"/>
  <c r="F295" i="17"/>
  <c r="AI294" i="17"/>
  <c r="AH294" i="17"/>
  <c r="AG294" i="17"/>
  <c r="AF294" i="17"/>
  <c r="AE294" i="17"/>
  <c r="AD294" i="17"/>
  <c r="AC294" i="17"/>
  <c r="AB294" i="17"/>
  <c r="AA294" i="17"/>
  <c r="Z294" i="17"/>
  <c r="Y294" i="17"/>
  <c r="X294" i="17"/>
  <c r="W294" i="17"/>
  <c r="V294" i="17"/>
  <c r="U294" i="17"/>
  <c r="T294" i="17"/>
  <c r="S294" i="17"/>
  <c r="R294" i="17"/>
  <c r="Q294" i="17"/>
  <c r="P294" i="17"/>
  <c r="O294" i="17"/>
  <c r="N294" i="17"/>
  <c r="M294" i="17"/>
  <c r="L294" i="17"/>
  <c r="K294" i="17"/>
  <c r="J294" i="17"/>
  <c r="I294" i="17"/>
  <c r="H294" i="17"/>
  <c r="G294" i="17"/>
  <c r="F294" i="17"/>
  <c r="AI293" i="17"/>
  <c r="AH293" i="17"/>
  <c r="AG293" i="17"/>
  <c r="AF293" i="17"/>
  <c r="AE293" i="17"/>
  <c r="AD293" i="17"/>
  <c r="AC293" i="17"/>
  <c r="AB293" i="17"/>
  <c r="AA293" i="17"/>
  <c r="Z293" i="17"/>
  <c r="Y293" i="17"/>
  <c r="X293" i="17"/>
  <c r="W293" i="17"/>
  <c r="V293" i="17"/>
  <c r="U293" i="17"/>
  <c r="T293" i="17"/>
  <c r="S293" i="17"/>
  <c r="R293" i="17"/>
  <c r="Q293" i="17"/>
  <c r="P293" i="17"/>
  <c r="O293" i="17"/>
  <c r="N293" i="17"/>
  <c r="M293" i="17"/>
  <c r="L293" i="17"/>
  <c r="K293" i="17"/>
  <c r="J293" i="17"/>
  <c r="I293" i="17"/>
  <c r="H293" i="17"/>
  <c r="G293" i="17"/>
  <c r="F293" i="17"/>
  <c r="AI292" i="17"/>
  <c r="AH292" i="17"/>
  <c r="AG292" i="17"/>
  <c r="AF292" i="17"/>
  <c r="AE292" i="17"/>
  <c r="AD292" i="17"/>
  <c r="AC292" i="17"/>
  <c r="AB292" i="17"/>
  <c r="AA292" i="17"/>
  <c r="Z292" i="17"/>
  <c r="Y292" i="17"/>
  <c r="X292" i="17"/>
  <c r="W292" i="17"/>
  <c r="V292" i="17"/>
  <c r="U292" i="17"/>
  <c r="T292" i="17"/>
  <c r="S292" i="17"/>
  <c r="R292" i="17"/>
  <c r="Q292" i="17"/>
  <c r="P292" i="17"/>
  <c r="O292" i="17"/>
  <c r="N292" i="17"/>
  <c r="M292" i="17"/>
  <c r="L292" i="17"/>
  <c r="K292" i="17"/>
  <c r="J292" i="17"/>
  <c r="I292" i="17"/>
  <c r="H292" i="17"/>
  <c r="G292" i="17"/>
  <c r="F292" i="17"/>
  <c r="AI291" i="17"/>
  <c r="AH291" i="17"/>
  <c r="AG291" i="17"/>
  <c r="AF291" i="17"/>
  <c r="AE291" i="17"/>
  <c r="AD291" i="17"/>
  <c r="AC291" i="17"/>
  <c r="AB291" i="17"/>
  <c r="AA291" i="17"/>
  <c r="Z291" i="17"/>
  <c r="Y291" i="17"/>
  <c r="X291" i="17"/>
  <c r="W291" i="17"/>
  <c r="V291" i="17"/>
  <c r="U291" i="17"/>
  <c r="T291" i="17"/>
  <c r="S291" i="17"/>
  <c r="R291" i="17"/>
  <c r="Q291" i="17"/>
  <c r="P291" i="17"/>
  <c r="O291" i="17"/>
  <c r="N291" i="17"/>
  <c r="M291" i="17"/>
  <c r="L291" i="17"/>
  <c r="K291" i="17"/>
  <c r="J291" i="17"/>
  <c r="I291" i="17"/>
  <c r="H291" i="17"/>
  <c r="G291" i="17"/>
  <c r="F291" i="17"/>
  <c r="AI290" i="17"/>
  <c r="AH290" i="17"/>
  <c r="AG290" i="17"/>
  <c r="AF290" i="17"/>
  <c r="AE290" i="17"/>
  <c r="AD290" i="17"/>
  <c r="AC290" i="17"/>
  <c r="AB290" i="17"/>
  <c r="AA290" i="17"/>
  <c r="Z290" i="17"/>
  <c r="Y290" i="17"/>
  <c r="X290" i="17"/>
  <c r="W290" i="17"/>
  <c r="V290" i="17"/>
  <c r="U290" i="17"/>
  <c r="T290" i="17"/>
  <c r="S290" i="17"/>
  <c r="R290" i="17"/>
  <c r="Q290" i="17"/>
  <c r="P290" i="17"/>
  <c r="O290" i="17"/>
  <c r="N290" i="17"/>
  <c r="M290" i="17"/>
  <c r="L290" i="17"/>
  <c r="K290" i="17"/>
  <c r="J290" i="17"/>
  <c r="I290" i="17"/>
  <c r="H290" i="17"/>
  <c r="G290" i="17"/>
  <c r="F290" i="17"/>
  <c r="AI289" i="17"/>
  <c r="AH289" i="17"/>
  <c r="AG289" i="17"/>
  <c r="AF289" i="17"/>
  <c r="AE289" i="17"/>
  <c r="AD289" i="17"/>
  <c r="AC289" i="17"/>
  <c r="AB289" i="17"/>
  <c r="AA289" i="17"/>
  <c r="Z289" i="17"/>
  <c r="Y289" i="17"/>
  <c r="X289" i="17"/>
  <c r="W289" i="17"/>
  <c r="V289" i="17"/>
  <c r="U289" i="17"/>
  <c r="T289" i="17"/>
  <c r="S289" i="17"/>
  <c r="R289" i="17"/>
  <c r="Q289" i="17"/>
  <c r="P289" i="17"/>
  <c r="O289" i="17"/>
  <c r="N289" i="17"/>
  <c r="M289" i="17"/>
  <c r="L289" i="17"/>
  <c r="K289" i="17"/>
  <c r="J289" i="17"/>
  <c r="I289" i="17"/>
  <c r="H289" i="17"/>
  <c r="G289" i="17"/>
  <c r="F289" i="17"/>
  <c r="AI288" i="17"/>
  <c r="AH288" i="17"/>
  <c r="AG288" i="17"/>
  <c r="AF288" i="17"/>
  <c r="AE288" i="17"/>
  <c r="AD288" i="17"/>
  <c r="AC288" i="17"/>
  <c r="AB288" i="17"/>
  <c r="AA288" i="17"/>
  <c r="Z288" i="17"/>
  <c r="Y288" i="17"/>
  <c r="X288" i="17"/>
  <c r="W288" i="17"/>
  <c r="V288" i="17"/>
  <c r="U288" i="17"/>
  <c r="T288" i="17"/>
  <c r="S288" i="17"/>
  <c r="R288" i="17"/>
  <c r="Q288" i="17"/>
  <c r="P288" i="17"/>
  <c r="O288" i="17"/>
  <c r="N288" i="17"/>
  <c r="M288" i="17"/>
  <c r="L288" i="17"/>
  <c r="K288" i="17"/>
  <c r="J288" i="17"/>
  <c r="I288" i="17"/>
  <c r="H288" i="17"/>
  <c r="G288" i="17"/>
  <c r="F288" i="17"/>
  <c r="AI287" i="17"/>
  <c r="AH287" i="17"/>
  <c r="AG287" i="17"/>
  <c r="AF287" i="17"/>
  <c r="AE287" i="17"/>
  <c r="AD287" i="17"/>
  <c r="AC287" i="17"/>
  <c r="AB287" i="17"/>
  <c r="AA287" i="17"/>
  <c r="Z287" i="17"/>
  <c r="Y287" i="17"/>
  <c r="X287" i="17"/>
  <c r="W287" i="17"/>
  <c r="V287" i="17"/>
  <c r="U287" i="17"/>
  <c r="T287" i="17"/>
  <c r="S287" i="17"/>
  <c r="R287" i="17"/>
  <c r="Q287" i="17"/>
  <c r="P287" i="17"/>
  <c r="O287" i="17"/>
  <c r="N287" i="17"/>
  <c r="M287" i="17"/>
  <c r="L287" i="17"/>
  <c r="K287" i="17"/>
  <c r="J287" i="17"/>
  <c r="I287" i="17"/>
  <c r="H287" i="17"/>
  <c r="G287" i="17"/>
  <c r="F287" i="17"/>
  <c r="AI286" i="17"/>
  <c r="AH286" i="17"/>
  <c r="AG286" i="17"/>
  <c r="AF286" i="17"/>
  <c r="AE286" i="17"/>
  <c r="AD286" i="17"/>
  <c r="AC286" i="17"/>
  <c r="AB286" i="17"/>
  <c r="AA286" i="17"/>
  <c r="Z286" i="17"/>
  <c r="Y286" i="17"/>
  <c r="X286" i="17"/>
  <c r="W286" i="17"/>
  <c r="V286" i="17"/>
  <c r="U286" i="17"/>
  <c r="T286" i="17"/>
  <c r="S286" i="17"/>
  <c r="R286" i="17"/>
  <c r="Q286" i="17"/>
  <c r="P286" i="17"/>
  <c r="O286" i="17"/>
  <c r="N286" i="17"/>
  <c r="M286" i="17"/>
  <c r="L286" i="17"/>
  <c r="K286" i="17"/>
  <c r="J286" i="17"/>
  <c r="I286" i="17"/>
  <c r="H286" i="17"/>
  <c r="G286" i="17"/>
  <c r="F286" i="17"/>
  <c r="AI285" i="17"/>
  <c r="AH285" i="17"/>
  <c r="AG285" i="17"/>
  <c r="AF285" i="17"/>
  <c r="AE285" i="17"/>
  <c r="AD285" i="17"/>
  <c r="AC285" i="17"/>
  <c r="AB285" i="17"/>
  <c r="AA285" i="17"/>
  <c r="Z285" i="17"/>
  <c r="Y285" i="17"/>
  <c r="X285" i="17"/>
  <c r="W285" i="17"/>
  <c r="V285" i="17"/>
  <c r="U285" i="17"/>
  <c r="T285" i="17"/>
  <c r="S285" i="17"/>
  <c r="R285" i="17"/>
  <c r="Q285" i="17"/>
  <c r="P285" i="17"/>
  <c r="O285" i="17"/>
  <c r="N285" i="17"/>
  <c r="M285" i="17"/>
  <c r="L285" i="17"/>
  <c r="K285" i="17"/>
  <c r="J285" i="17"/>
  <c r="I285" i="17"/>
  <c r="H285" i="17"/>
  <c r="G285" i="17"/>
  <c r="F285" i="17"/>
  <c r="AI284" i="17"/>
  <c r="AH284" i="17"/>
  <c r="AG284" i="17"/>
  <c r="AF284" i="17"/>
  <c r="AE284" i="17"/>
  <c r="AD284" i="17"/>
  <c r="AC284" i="17"/>
  <c r="AB284" i="17"/>
  <c r="AA284" i="17"/>
  <c r="Z284" i="17"/>
  <c r="Y284" i="17"/>
  <c r="X284" i="17"/>
  <c r="W284" i="17"/>
  <c r="V284" i="17"/>
  <c r="U284" i="17"/>
  <c r="T284" i="17"/>
  <c r="S284" i="17"/>
  <c r="R284" i="17"/>
  <c r="Q284" i="17"/>
  <c r="P284" i="17"/>
  <c r="O284" i="17"/>
  <c r="N284" i="17"/>
  <c r="M284" i="17"/>
  <c r="L284" i="17"/>
  <c r="K284" i="17"/>
  <c r="J284" i="17"/>
  <c r="I284" i="17"/>
  <c r="H284" i="17"/>
  <c r="G284" i="17"/>
  <c r="F284" i="17"/>
  <c r="AI283" i="17"/>
  <c r="AH283" i="17"/>
  <c r="AG283" i="17"/>
  <c r="AF283" i="17"/>
  <c r="AE283" i="17"/>
  <c r="AD283" i="17"/>
  <c r="AC283" i="17"/>
  <c r="AB283" i="17"/>
  <c r="AA283" i="17"/>
  <c r="Z283" i="17"/>
  <c r="Y283" i="17"/>
  <c r="X283" i="17"/>
  <c r="W283" i="17"/>
  <c r="V283" i="17"/>
  <c r="U283" i="17"/>
  <c r="T283" i="17"/>
  <c r="S283" i="17"/>
  <c r="R283" i="17"/>
  <c r="Q283" i="17"/>
  <c r="P283" i="17"/>
  <c r="O283" i="17"/>
  <c r="N283" i="17"/>
  <c r="M283" i="17"/>
  <c r="L283" i="17"/>
  <c r="K283" i="17"/>
  <c r="J283" i="17"/>
  <c r="I283" i="17"/>
  <c r="H283" i="17"/>
  <c r="G283" i="17"/>
  <c r="F283" i="17"/>
  <c r="AI282" i="17"/>
  <c r="AH282" i="17"/>
  <c r="AG282" i="17"/>
  <c r="AF282" i="17"/>
  <c r="AE282" i="17"/>
  <c r="AD282" i="17"/>
  <c r="AC282" i="17"/>
  <c r="AB282" i="17"/>
  <c r="AA282" i="17"/>
  <c r="Z282" i="17"/>
  <c r="Y282" i="17"/>
  <c r="X282" i="17"/>
  <c r="W282" i="17"/>
  <c r="V282" i="17"/>
  <c r="U282" i="17"/>
  <c r="T282" i="17"/>
  <c r="S282" i="17"/>
  <c r="R282" i="17"/>
  <c r="Q282" i="17"/>
  <c r="P282" i="17"/>
  <c r="O282" i="17"/>
  <c r="N282" i="17"/>
  <c r="M282" i="17"/>
  <c r="L282" i="17"/>
  <c r="K282" i="17"/>
  <c r="J282" i="17"/>
  <c r="I282" i="17"/>
  <c r="H282" i="17"/>
  <c r="G282" i="17"/>
  <c r="F282" i="17"/>
  <c r="AI281" i="17"/>
  <c r="AH281" i="17"/>
  <c r="AG281" i="17"/>
  <c r="AF281" i="17"/>
  <c r="AE281" i="17"/>
  <c r="AD281" i="17"/>
  <c r="AC281" i="17"/>
  <c r="AB281" i="17"/>
  <c r="AA281" i="17"/>
  <c r="Z281" i="17"/>
  <c r="Y281" i="17"/>
  <c r="X281" i="17"/>
  <c r="W281" i="17"/>
  <c r="V281" i="17"/>
  <c r="U281" i="17"/>
  <c r="T281" i="17"/>
  <c r="S281" i="17"/>
  <c r="R281" i="17"/>
  <c r="Q281" i="17"/>
  <c r="P281" i="17"/>
  <c r="O281" i="17"/>
  <c r="N281" i="17"/>
  <c r="M281" i="17"/>
  <c r="L281" i="17"/>
  <c r="K281" i="17"/>
  <c r="J281" i="17"/>
  <c r="I281" i="17"/>
  <c r="H281" i="17"/>
  <c r="G281" i="17"/>
  <c r="F281" i="17"/>
  <c r="AI280" i="17"/>
  <c r="AH280" i="17"/>
  <c r="AG280" i="17"/>
  <c r="AF280" i="17"/>
  <c r="AE280" i="17"/>
  <c r="AD280" i="17"/>
  <c r="AC280" i="17"/>
  <c r="AB280" i="17"/>
  <c r="AA280" i="17"/>
  <c r="Z280" i="17"/>
  <c r="Y280" i="17"/>
  <c r="X280" i="17"/>
  <c r="W280" i="17"/>
  <c r="V280" i="17"/>
  <c r="U280" i="17"/>
  <c r="T280" i="17"/>
  <c r="S280" i="17"/>
  <c r="R280" i="17"/>
  <c r="Q280" i="17"/>
  <c r="P280" i="17"/>
  <c r="O280" i="17"/>
  <c r="N280" i="17"/>
  <c r="M280" i="17"/>
  <c r="L280" i="17"/>
  <c r="K280" i="17"/>
  <c r="J280" i="17"/>
  <c r="I280" i="17"/>
  <c r="H280" i="17"/>
  <c r="G280" i="17"/>
  <c r="F280" i="17"/>
  <c r="AI279" i="17"/>
  <c r="AH279" i="17"/>
  <c r="AG279" i="17"/>
  <c r="AF279" i="17"/>
  <c r="AE279" i="17"/>
  <c r="AD279" i="17"/>
  <c r="AC279" i="17"/>
  <c r="AB279" i="17"/>
  <c r="AA279" i="17"/>
  <c r="Z279" i="17"/>
  <c r="Y279" i="17"/>
  <c r="X279" i="17"/>
  <c r="W279" i="17"/>
  <c r="V279" i="17"/>
  <c r="U279" i="17"/>
  <c r="T279" i="17"/>
  <c r="S279" i="17"/>
  <c r="R279" i="17"/>
  <c r="Q279" i="17"/>
  <c r="P279" i="17"/>
  <c r="O279" i="17"/>
  <c r="N279" i="17"/>
  <c r="M279" i="17"/>
  <c r="L279" i="17"/>
  <c r="K279" i="17"/>
  <c r="J279" i="17"/>
  <c r="I279" i="17"/>
  <c r="H279" i="17"/>
  <c r="G279" i="17"/>
  <c r="F279" i="17"/>
  <c r="AI278" i="17"/>
  <c r="AH278" i="17"/>
  <c r="AG278" i="17"/>
  <c r="AF278" i="17"/>
  <c r="AE278" i="17"/>
  <c r="AD278" i="17"/>
  <c r="AC278" i="17"/>
  <c r="AB278" i="17"/>
  <c r="AA278" i="17"/>
  <c r="Z278" i="17"/>
  <c r="Y278" i="17"/>
  <c r="X278" i="17"/>
  <c r="W278" i="17"/>
  <c r="V278" i="17"/>
  <c r="U278" i="17"/>
  <c r="T278" i="17"/>
  <c r="S278" i="17"/>
  <c r="R278" i="17"/>
  <c r="Q278" i="17"/>
  <c r="P278" i="17"/>
  <c r="O278" i="17"/>
  <c r="N278" i="17"/>
  <c r="M278" i="17"/>
  <c r="L278" i="17"/>
  <c r="K278" i="17"/>
  <c r="J278" i="17"/>
  <c r="I278" i="17"/>
  <c r="H278" i="17"/>
  <c r="G278" i="17"/>
  <c r="F278" i="17"/>
  <c r="AI277" i="17"/>
  <c r="AH277" i="17"/>
  <c r="AG277" i="17"/>
  <c r="AF277" i="17"/>
  <c r="AE277" i="17"/>
  <c r="AD277" i="17"/>
  <c r="AC277" i="17"/>
  <c r="AB277" i="17"/>
  <c r="AA277" i="17"/>
  <c r="Z277" i="17"/>
  <c r="Y277" i="17"/>
  <c r="X277" i="17"/>
  <c r="W277" i="17"/>
  <c r="V277" i="17"/>
  <c r="U277" i="17"/>
  <c r="T277" i="17"/>
  <c r="S277" i="17"/>
  <c r="R277" i="17"/>
  <c r="Q277" i="17"/>
  <c r="P277" i="17"/>
  <c r="O277" i="17"/>
  <c r="N277" i="17"/>
  <c r="M277" i="17"/>
  <c r="L277" i="17"/>
  <c r="K277" i="17"/>
  <c r="J277" i="17"/>
  <c r="I277" i="17"/>
  <c r="H277" i="17"/>
  <c r="G277" i="17"/>
  <c r="F277" i="17"/>
  <c r="AI272" i="17"/>
  <c r="AH272" i="17"/>
  <c r="AG272" i="17"/>
  <c r="AF272" i="17"/>
  <c r="AE272" i="17"/>
  <c r="AD272" i="17"/>
  <c r="AC272" i="17"/>
  <c r="AB272" i="17"/>
  <c r="AA272" i="17"/>
  <c r="Z272" i="17"/>
  <c r="Y272" i="17"/>
  <c r="X272" i="17"/>
  <c r="W272" i="17"/>
  <c r="V272" i="17"/>
  <c r="U272" i="17"/>
  <c r="T272" i="17"/>
  <c r="S272" i="17"/>
  <c r="R272" i="17"/>
  <c r="Q272" i="17"/>
  <c r="P272" i="17"/>
  <c r="O272" i="17"/>
  <c r="N272" i="17"/>
  <c r="M272" i="17"/>
  <c r="L272" i="17"/>
  <c r="K272" i="17"/>
  <c r="J272" i="17"/>
  <c r="I272" i="17"/>
  <c r="H272" i="17"/>
  <c r="G272" i="17"/>
  <c r="F272" i="17"/>
  <c r="AI271" i="17"/>
  <c r="AH271" i="17"/>
  <c r="AG271" i="17"/>
  <c r="AF271" i="17"/>
  <c r="AE271" i="17"/>
  <c r="AD271" i="17"/>
  <c r="AC271" i="17"/>
  <c r="AB271" i="17"/>
  <c r="AA271" i="17"/>
  <c r="Z271" i="17"/>
  <c r="Y271" i="17"/>
  <c r="X271" i="17"/>
  <c r="W271" i="17"/>
  <c r="V271" i="17"/>
  <c r="U271" i="17"/>
  <c r="T271" i="17"/>
  <c r="S271" i="17"/>
  <c r="R271" i="17"/>
  <c r="Q271" i="17"/>
  <c r="P271" i="17"/>
  <c r="O271" i="17"/>
  <c r="N271" i="17"/>
  <c r="M271" i="17"/>
  <c r="L271" i="17"/>
  <c r="K271" i="17"/>
  <c r="J271" i="17"/>
  <c r="I271" i="17"/>
  <c r="H271" i="17"/>
  <c r="G271" i="17"/>
  <c r="F271" i="17"/>
  <c r="AI270" i="17"/>
  <c r="AH270" i="17"/>
  <c r="AG270" i="17"/>
  <c r="AF270" i="17"/>
  <c r="AE270" i="17"/>
  <c r="AD270" i="17"/>
  <c r="AC270" i="17"/>
  <c r="AB270" i="17"/>
  <c r="AA270" i="17"/>
  <c r="Z270" i="17"/>
  <c r="Y270" i="17"/>
  <c r="X270" i="17"/>
  <c r="W270" i="17"/>
  <c r="V270" i="17"/>
  <c r="U270" i="17"/>
  <c r="T270" i="17"/>
  <c r="S270" i="17"/>
  <c r="R270" i="17"/>
  <c r="Q270" i="17"/>
  <c r="P270" i="17"/>
  <c r="O270" i="17"/>
  <c r="N270" i="17"/>
  <c r="M270" i="17"/>
  <c r="L270" i="17"/>
  <c r="K270" i="17"/>
  <c r="J270" i="17"/>
  <c r="I270" i="17"/>
  <c r="H270" i="17"/>
  <c r="G270" i="17"/>
  <c r="F270" i="17"/>
  <c r="AI269" i="17"/>
  <c r="AH269" i="17"/>
  <c r="AG269" i="17"/>
  <c r="AF269" i="17"/>
  <c r="AE269" i="17"/>
  <c r="AD269" i="17"/>
  <c r="AC269" i="17"/>
  <c r="AB269" i="17"/>
  <c r="AA269" i="17"/>
  <c r="Z269" i="17"/>
  <c r="Y269" i="17"/>
  <c r="X269" i="17"/>
  <c r="W269" i="17"/>
  <c r="V269" i="17"/>
  <c r="U269" i="17"/>
  <c r="T269" i="17"/>
  <c r="S269" i="17"/>
  <c r="R269" i="17"/>
  <c r="Q269" i="17"/>
  <c r="P269" i="17"/>
  <c r="O269" i="17"/>
  <c r="N269" i="17"/>
  <c r="M269" i="17"/>
  <c r="L269" i="17"/>
  <c r="K269" i="17"/>
  <c r="J269" i="17"/>
  <c r="I269" i="17"/>
  <c r="H269" i="17"/>
  <c r="G269" i="17"/>
  <c r="F269" i="17"/>
  <c r="AI268" i="17"/>
  <c r="AH268" i="17"/>
  <c r="AG268" i="17"/>
  <c r="AF268" i="17"/>
  <c r="AE268" i="17"/>
  <c r="AD268" i="17"/>
  <c r="AC268" i="17"/>
  <c r="AB268" i="17"/>
  <c r="AA268" i="17"/>
  <c r="Z268" i="17"/>
  <c r="Y268" i="17"/>
  <c r="X268" i="17"/>
  <c r="W268" i="17"/>
  <c r="V268" i="17"/>
  <c r="U268" i="17"/>
  <c r="T268" i="17"/>
  <c r="S268" i="17"/>
  <c r="R268" i="17"/>
  <c r="Q268" i="17"/>
  <c r="P268" i="17"/>
  <c r="O268" i="17"/>
  <c r="N268" i="17"/>
  <c r="M268" i="17"/>
  <c r="L268" i="17"/>
  <c r="K268" i="17"/>
  <c r="J268" i="17"/>
  <c r="I268" i="17"/>
  <c r="H268" i="17"/>
  <c r="G268" i="17"/>
  <c r="F268" i="17"/>
  <c r="AI267" i="17"/>
  <c r="AH267" i="17"/>
  <c r="AG267" i="17"/>
  <c r="AF267" i="17"/>
  <c r="AE267" i="17"/>
  <c r="AD267" i="17"/>
  <c r="AC267" i="17"/>
  <c r="AB267" i="17"/>
  <c r="AA267" i="17"/>
  <c r="Z267" i="17"/>
  <c r="Y267" i="17"/>
  <c r="X267" i="17"/>
  <c r="W267" i="17"/>
  <c r="V267" i="17"/>
  <c r="U267" i="17"/>
  <c r="T267" i="17"/>
  <c r="S267" i="17"/>
  <c r="R267" i="17"/>
  <c r="Q267" i="17"/>
  <c r="P267" i="17"/>
  <c r="O267" i="17"/>
  <c r="N267" i="17"/>
  <c r="M267" i="17"/>
  <c r="L267" i="17"/>
  <c r="K267" i="17"/>
  <c r="J267" i="17"/>
  <c r="I267" i="17"/>
  <c r="H267" i="17"/>
  <c r="G267" i="17"/>
  <c r="F267" i="17"/>
  <c r="AI266" i="17"/>
  <c r="AH266" i="17"/>
  <c r="AG266" i="17"/>
  <c r="AF266" i="17"/>
  <c r="AE266" i="17"/>
  <c r="AD266" i="17"/>
  <c r="AC266" i="17"/>
  <c r="AB266" i="17"/>
  <c r="AA266" i="17"/>
  <c r="Z266" i="17"/>
  <c r="Y266" i="17"/>
  <c r="X266" i="17"/>
  <c r="W266" i="17"/>
  <c r="V266" i="17"/>
  <c r="U266" i="17"/>
  <c r="T266" i="17"/>
  <c r="S266" i="17"/>
  <c r="R266" i="17"/>
  <c r="Q266" i="17"/>
  <c r="P266" i="17"/>
  <c r="O266" i="17"/>
  <c r="N266" i="17"/>
  <c r="M266" i="17"/>
  <c r="L266" i="17"/>
  <c r="K266" i="17"/>
  <c r="J266" i="17"/>
  <c r="I266" i="17"/>
  <c r="H266" i="17"/>
  <c r="G266" i="17"/>
  <c r="F266" i="17"/>
  <c r="AI265" i="17"/>
  <c r="AH265" i="17"/>
  <c r="AG265" i="17"/>
  <c r="AF265" i="17"/>
  <c r="AE265" i="17"/>
  <c r="AD265" i="17"/>
  <c r="AC265" i="17"/>
  <c r="AB265" i="17"/>
  <c r="AA265" i="17"/>
  <c r="Z265" i="17"/>
  <c r="Y265" i="17"/>
  <c r="X265" i="17"/>
  <c r="W265" i="17"/>
  <c r="V265" i="17"/>
  <c r="U265" i="17"/>
  <c r="T265" i="17"/>
  <c r="S265" i="17"/>
  <c r="R265" i="17"/>
  <c r="Q265" i="17"/>
  <c r="P265" i="17"/>
  <c r="O265" i="17"/>
  <c r="N265" i="17"/>
  <c r="M265" i="17"/>
  <c r="L265" i="17"/>
  <c r="K265" i="17"/>
  <c r="J265" i="17"/>
  <c r="I265" i="17"/>
  <c r="H265" i="17"/>
  <c r="G265" i="17"/>
  <c r="F265" i="17"/>
  <c r="AI264" i="17"/>
  <c r="AH264" i="17"/>
  <c r="AG264" i="17"/>
  <c r="AF264" i="17"/>
  <c r="AE264" i="17"/>
  <c r="AD264" i="17"/>
  <c r="AC264" i="17"/>
  <c r="AB264" i="17"/>
  <c r="AA264" i="17"/>
  <c r="Z264" i="17"/>
  <c r="Y264" i="17"/>
  <c r="X264" i="17"/>
  <c r="W264" i="17"/>
  <c r="V264" i="17"/>
  <c r="U264" i="17"/>
  <c r="T264" i="17"/>
  <c r="S264" i="17"/>
  <c r="R264" i="17"/>
  <c r="Q264" i="17"/>
  <c r="P264" i="17"/>
  <c r="O264" i="17"/>
  <c r="N264" i="17"/>
  <c r="M264" i="17"/>
  <c r="L264" i="17"/>
  <c r="K264" i="17"/>
  <c r="J264" i="17"/>
  <c r="I264" i="17"/>
  <c r="H264" i="17"/>
  <c r="G264" i="17"/>
  <c r="F264" i="17"/>
  <c r="AI263" i="17"/>
  <c r="AH263" i="17"/>
  <c r="AG263" i="17"/>
  <c r="AF263" i="17"/>
  <c r="AE263" i="17"/>
  <c r="AD263" i="17"/>
  <c r="AC263" i="17"/>
  <c r="AB263" i="17"/>
  <c r="AA263" i="17"/>
  <c r="Z263" i="17"/>
  <c r="Y263" i="17"/>
  <c r="X263" i="17"/>
  <c r="W263" i="17"/>
  <c r="V263" i="17"/>
  <c r="U263" i="17"/>
  <c r="T263" i="17"/>
  <c r="S263" i="17"/>
  <c r="R263" i="17"/>
  <c r="Q263" i="17"/>
  <c r="P263" i="17"/>
  <c r="O263" i="17"/>
  <c r="N263" i="17"/>
  <c r="M263" i="17"/>
  <c r="L263" i="17"/>
  <c r="K263" i="17"/>
  <c r="J263" i="17"/>
  <c r="I263" i="17"/>
  <c r="H263" i="17"/>
  <c r="G263" i="17"/>
  <c r="F263" i="17"/>
  <c r="AI262" i="17"/>
  <c r="AH262" i="17"/>
  <c r="AG262" i="17"/>
  <c r="AF262" i="17"/>
  <c r="AE262" i="17"/>
  <c r="AD262" i="17"/>
  <c r="AC262" i="17"/>
  <c r="AB262" i="17"/>
  <c r="AA262" i="17"/>
  <c r="Z262" i="17"/>
  <c r="Y262" i="17"/>
  <c r="X262" i="17"/>
  <c r="W262" i="17"/>
  <c r="V262" i="17"/>
  <c r="U262" i="17"/>
  <c r="T262" i="17"/>
  <c r="S262" i="17"/>
  <c r="R262" i="17"/>
  <c r="Q262" i="17"/>
  <c r="P262" i="17"/>
  <c r="O262" i="17"/>
  <c r="N262" i="17"/>
  <c r="M262" i="17"/>
  <c r="L262" i="17"/>
  <c r="K262" i="17"/>
  <c r="J262" i="17"/>
  <c r="I262" i="17"/>
  <c r="H262" i="17"/>
  <c r="G262" i="17"/>
  <c r="F262" i="17"/>
  <c r="AI261" i="17"/>
  <c r="AH261" i="17"/>
  <c r="AG261" i="17"/>
  <c r="AF261" i="17"/>
  <c r="AE261" i="17"/>
  <c r="AD261" i="17"/>
  <c r="AC261" i="17"/>
  <c r="AB261" i="17"/>
  <c r="AA261" i="17"/>
  <c r="Z261" i="17"/>
  <c r="Y261" i="17"/>
  <c r="X261" i="17"/>
  <c r="W261" i="17"/>
  <c r="V261" i="17"/>
  <c r="U261" i="17"/>
  <c r="T261" i="17"/>
  <c r="S261" i="17"/>
  <c r="R261" i="17"/>
  <c r="Q261" i="17"/>
  <c r="P261" i="17"/>
  <c r="O261" i="17"/>
  <c r="N261" i="17"/>
  <c r="M261" i="17"/>
  <c r="L261" i="17"/>
  <c r="K261" i="17"/>
  <c r="J261" i="17"/>
  <c r="I261" i="17"/>
  <c r="H261" i="17"/>
  <c r="G261" i="17"/>
  <c r="F261" i="17"/>
  <c r="AI260" i="17"/>
  <c r="AH260" i="17"/>
  <c r="AG260" i="17"/>
  <c r="AF260" i="17"/>
  <c r="AE260" i="17"/>
  <c r="AD260" i="17"/>
  <c r="AC260" i="17"/>
  <c r="AB260" i="17"/>
  <c r="AA260" i="17"/>
  <c r="Z260" i="17"/>
  <c r="Y260" i="17"/>
  <c r="X260" i="17"/>
  <c r="W260" i="17"/>
  <c r="V260" i="17"/>
  <c r="U260" i="17"/>
  <c r="T260" i="17"/>
  <c r="S260" i="17"/>
  <c r="R260" i="17"/>
  <c r="Q260" i="17"/>
  <c r="P260" i="17"/>
  <c r="O260" i="17"/>
  <c r="N260" i="17"/>
  <c r="M260" i="17"/>
  <c r="L260" i="17"/>
  <c r="K260" i="17"/>
  <c r="J260" i="17"/>
  <c r="I260" i="17"/>
  <c r="H260" i="17"/>
  <c r="G260" i="17"/>
  <c r="F260" i="17"/>
  <c r="AI259" i="17"/>
  <c r="AH259" i="17"/>
  <c r="AG259" i="17"/>
  <c r="AF259" i="17"/>
  <c r="AE259" i="17"/>
  <c r="AD259" i="17"/>
  <c r="AC259" i="17"/>
  <c r="AB259" i="17"/>
  <c r="AA259" i="17"/>
  <c r="Z259" i="17"/>
  <c r="Y259" i="17"/>
  <c r="X259" i="17"/>
  <c r="W259" i="17"/>
  <c r="V259" i="17"/>
  <c r="U259" i="17"/>
  <c r="T259" i="17"/>
  <c r="S259" i="17"/>
  <c r="R259" i="17"/>
  <c r="Q259" i="17"/>
  <c r="P259" i="17"/>
  <c r="O259" i="17"/>
  <c r="N259" i="17"/>
  <c r="M259" i="17"/>
  <c r="L259" i="17"/>
  <c r="K259" i="17"/>
  <c r="J259" i="17"/>
  <c r="I259" i="17"/>
  <c r="H259" i="17"/>
  <c r="G259" i="17"/>
  <c r="F259" i="17"/>
  <c r="AI258" i="17"/>
  <c r="AH258" i="17"/>
  <c r="AG258" i="17"/>
  <c r="AF258" i="17"/>
  <c r="AE258" i="17"/>
  <c r="AD258" i="17"/>
  <c r="AC258" i="17"/>
  <c r="AB258" i="17"/>
  <c r="AA258" i="17"/>
  <c r="Z258" i="17"/>
  <c r="Y258" i="17"/>
  <c r="X258" i="17"/>
  <c r="W258" i="17"/>
  <c r="V258" i="17"/>
  <c r="U258" i="17"/>
  <c r="T258" i="17"/>
  <c r="S258" i="17"/>
  <c r="R258" i="17"/>
  <c r="Q258" i="17"/>
  <c r="P258" i="17"/>
  <c r="O258" i="17"/>
  <c r="N258" i="17"/>
  <c r="M258" i="17"/>
  <c r="L258" i="17"/>
  <c r="K258" i="17"/>
  <c r="J258" i="17"/>
  <c r="I258" i="17"/>
  <c r="H258" i="17"/>
  <c r="G258" i="17"/>
  <c r="F258" i="17"/>
  <c r="AI257" i="17"/>
  <c r="AH257" i="17"/>
  <c r="AG257" i="17"/>
  <c r="AF257" i="17"/>
  <c r="AE257" i="17"/>
  <c r="AD257" i="17"/>
  <c r="AC257" i="17"/>
  <c r="AB257" i="17"/>
  <c r="AA257" i="17"/>
  <c r="Z257" i="17"/>
  <c r="Y257" i="17"/>
  <c r="X257" i="17"/>
  <c r="W257" i="17"/>
  <c r="V257" i="17"/>
  <c r="U257" i="17"/>
  <c r="T257" i="17"/>
  <c r="S257" i="17"/>
  <c r="R257" i="17"/>
  <c r="Q257" i="17"/>
  <c r="P257" i="17"/>
  <c r="O257" i="17"/>
  <c r="N257" i="17"/>
  <c r="M257" i="17"/>
  <c r="L257" i="17"/>
  <c r="K257" i="17"/>
  <c r="J257" i="17"/>
  <c r="I257" i="17"/>
  <c r="H257" i="17"/>
  <c r="G257" i="17"/>
  <c r="F257" i="17"/>
  <c r="AI256" i="17"/>
  <c r="AH256" i="17"/>
  <c r="AG256" i="17"/>
  <c r="AF256" i="17"/>
  <c r="AE256" i="17"/>
  <c r="AD256" i="17"/>
  <c r="AC256" i="17"/>
  <c r="AB256" i="17"/>
  <c r="AA256" i="17"/>
  <c r="Z256" i="17"/>
  <c r="Y256" i="17"/>
  <c r="X256" i="17"/>
  <c r="W256" i="17"/>
  <c r="V256" i="17"/>
  <c r="U256" i="17"/>
  <c r="T256" i="17"/>
  <c r="S256" i="17"/>
  <c r="R256" i="17"/>
  <c r="Q256" i="17"/>
  <c r="P256" i="17"/>
  <c r="O256" i="17"/>
  <c r="N256" i="17"/>
  <c r="M256" i="17"/>
  <c r="L256" i="17"/>
  <c r="K256" i="17"/>
  <c r="J256" i="17"/>
  <c r="I256" i="17"/>
  <c r="H256" i="17"/>
  <c r="G256" i="17"/>
  <c r="F256" i="17"/>
  <c r="AI255" i="17"/>
  <c r="AH255" i="17"/>
  <c r="AG255" i="17"/>
  <c r="AF255" i="17"/>
  <c r="AE255" i="17"/>
  <c r="AD255" i="17"/>
  <c r="AC255" i="17"/>
  <c r="AB255" i="17"/>
  <c r="AA255" i="17"/>
  <c r="Z255" i="17"/>
  <c r="Y255" i="17"/>
  <c r="X255" i="17"/>
  <c r="W255" i="17"/>
  <c r="V255" i="17"/>
  <c r="U255" i="17"/>
  <c r="T255" i="17"/>
  <c r="S255" i="17"/>
  <c r="R255" i="17"/>
  <c r="Q255" i="17"/>
  <c r="P255" i="17"/>
  <c r="O255" i="17"/>
  <c r="N255" i="17"/>
  <c r="M255" i="17"/>
  <c r="L255" i="17"/>
  <c r="K255" i="17"/>
  <c r="J255" i="17"/>
  <c r="I255" i="17"/>
  <c r="H255" i="17"/>
  <c r="G255" i="17"/>
  <c r="F255" i="17"/>
  <c r="AI254" i="17"/>
  <c r="AH254" i="17"/>
  <c r="AG254" i="17"/>
  <c r="AF254" i="17"/>
  <c r="AE254" i="17"/>
  <c r="AD254" i="17"/>
  <c r="AC254" i="17"/>
  <c r="AB254" i="17"/>
  <c r="AA254" i="17"/>
  <c r="Z254" i="17"/>
  <c r="Y254" i="17"/>
  <c r="X254" i="17"/>
  <c r="W254" i="17"/>
  <c r="V254" i="17"/>
  <c r="U254" i="17"/>
  <c r="T254" i="17"/>
  <c r="S254" i="17"/>
  <c r="R254" i="17"/>
  <c r="Q254" i="17"/>
  <c r="P254" i="17"/>
  <c r="O254" i="17"/>
  <c r="N254" i="17"/>
  <c r="M254" i="17"/>
  <c r="L254" i="17"/>
  <c r="K254" i="17"/>
  <c r="J254" i="17"/>
  <c r="I254" i="17"/>
  <c r="H254" i="17"/>
  <c r="G254" i="17"/>
  <c r="F254" i="17"/>
  <c r="AI253" i="17"/>
  <c r="AH253" i="17"/>
  <c r="AG253" i="17"/>
  <c r="AF253" i="17"/>
  <c r="AE253" i="17"/>
  <c r="AD253" i="17"/>
  <c r="AC253" i="17"/>
  <c r="AB253" i="17"/>
  <c r="AA253" i="17"/>
  <c r="Z253" i="17"/>
  <c r="Y253" i="17"/>
  <c r="X253" i="17"/>
  <c r="W253" i="17"/>
  <c r="V253" i="17"/>
  <c r="U253" i="17"/>
  <c r="T253" i="17"/>
  <c r="S253" i="17"/>
  <c r="R253" i="17"/>
  <c r="Q253" i="17"/>
  <c r="P253" i="17"/>
  <c r="O253" i="17"/>
  <c r="N253" i="17"/>
  <c r="M253" i="17"/>
  <c r="L253" i="17"/>
  <c r="K253" i="17"/>
  <c r="J253" i="17"/>
  <c r="I253" i="17"/>
  <c r="H253" i="17"/>
  <c r="G253" i="17"/>
  <c r="F253" i="17"/>
  <c r="AI252" i="17"/>
  <c r="AH252" i="17"/>
  <c r="AG252" i="17"/>
  <c r="AF252" i="17"/>
  <c r="AE252" i="17"/>
  <c r="AD252" i="17"/>
  <c r="AC252" i="17"/>
  <c r="AB252" i="17"/>
  <c r="AA252" i="17"/>
  <c r="Z252" i="17"/>
  <c r="Y252" i="17"/>
  <c r="X252" i="17"/>
  <c r="W252" i="17"/>
  <c r="V252" i="17"/>
  <c r="U252" i="17"/>
  <c r="T252" i="17"/>
  <c r="S252" i="17"/>
  <c r="R252" i="17"/>
  <c r="Q252" i="17"/>
  <c r="P252" i="17"/>
  <c r="O252" i="17"/>
  <c r="N252" i="17"/>
  <c r="M252" i="17"/>
  <c r="L252" i="17"/>
  <c r="K252" i="17"/>
  <c r="J252" i="17"/>
  <c r="I252" i="17"/>
  <c r="H252" i="17"/>
  <c r="G252" i="17"/>
  <c r="F252" i="17"/>
  <c r="AI251" i="17"/>
  <c r="AH251" i="17"/>
  <c r="AG251" i="17"/>
  <c r="AF251" i="17"/>
  <c r="AE251" i="17"/>
  <c r="AD251" i="17"/>
  <c r="AC251" i="17"/>
  <c r="AB251" i="17"/>
  <c r="AA251" i="17"/>
  <c r="Z251" i="17"/>
  <c r="Y251" i="17"/>
  <c r="X251" i="17"/>
  <c r="W251" i="17"/>
  <c r="V251" i="17"/>
  <c r="U251" i="17"/>
  <c r="T251" i="17"/>
  <c r="S251" i="17"/>
  <c r="R251" i="17"/>
  <c r="Q251" i="17"/>
  <c r="P251" i="17"/>
  <c r="O251" i="17"/>
  <c r="N251" i="17"/>
  <c r="M251" i="17"/>
  <c r="L251" i="17"/>
  <c r="K251" i="17"/>
  <c r="J251" i="17"/>
  <c r="I251" i="17"/>
  <c r="H251" i="17"/>
  <c r="G251" i="17"/>
  <c r="F251" i="17"/>
  <c r="AI250" i="17"/>
  <c r="AH250" i="17"/>
  <c r="AG250" i="17"/>
  <c r="AF250" i="17"/>
  <c r="AE250" i="17"/>
  <c r="AD250" i="17"/>
  <c r="AC250" i="17"/>
  <c r="AB250" i="17"/>
  <c r="AA250" i="17"/>
  <c r="Z250" i="17"/>
  <c r="Y250" i="17"/>
  <c r="X250" i="17"/>
  <c r="W250" i="17"/>
  <c r="V250" i="17"/>
  <c r="U250" i="17"/>
  <c r="T250" i="17"/>
  <c r="S250" i="17"/>
  <c r="R250" i="17"/>
  <c r="Q250" i="17"/>
  <c r="P250" i="17"/>
  <c r="O250" i="17"/>
  <c r="N250" i="17"/>
  <c r="M250" i="17"/>
  <c r="L250" i="17"/>
  <c r="K250" i="17"/>
  <c r="J250" i="17"/>
  <c r="I250" i="17"/>
  <c r="H250" i="17"/>
  <c r="G250" i="17"/>
  <c r="F250" i="17"/>
  <c r="AI249" i="17"/>
  <c r="AH249" i="17"/>
  <c r="AG249" i="17"/>
  <c r="AF249" i="17"/>
  <c r="AE249" i="17"/>
  <c r="AD249" i="17"/>
  <c r="AC249" i="17"/>
  <c r="AB249" i="17"/>
  <c r="AA249" i="17"/>
  <c r="Z249" i="17"/>
  <c r="Y249" i="17"/>
  <c r="X249" i="17"/>
  <c r="W249" i="17"/>
  <c r="V249" i="17"/>
  <c r="U249" i="17"/>
  <c r="T249" i="17"/>
  <c r="S249" i="17"/>
  <c r="R249" i="17"/>
  <c r="Q249" i="17"/>
  <c r="P249" i="17"/>
  <c r="O249" i="17"/>
  <c r="N249" i="17"/>
  <c r="M249" i="17"/>
  <c r="L249" i="17"/>
  <c r="K249" i="17"/>
  <c r="J249" i="17"/>
  <c r="I249" i="17"/>
  <c r="H249" i="17"/>
  <c r="G249" i="17"/>
  <c r="F249" i="17"/>
  <c r="AI248" i="17"/>
  <c r="AH248" i="17"/>
  <c r="AG248" i="17"/>
  <c r="AF248" i="17"/>
  <c r="AE248" i="17"/>
  <c r="AD248" i="17"/>
  <c r="AC248" i="17"/>
  <c r="AB248" i="17"/>
  <c r="AA248" i="17"/>
  <c r="Z248" i="17"/>
  <c r="Y248" i="17"/>
  <c r="X248" i="17"/>
  <c r="W248" i="17"/>
  <c r="V248" i="17"/>
  <c r="U248" i="17"/>
  <c r="T248" i="17"/>
  <c r="S248" i="17"/>
  <c r="R248" i="17"/>
  <c r="Q248" i="17"/>
  <c r="P248" i="17"/>
  <c r="O248" i="17"/>
  <c r="N248" i="17"/>
  <c r="M248" i="17"/>
  <c r="L248" i="17"/>
  <c r="K248" i="17"/>
  <c r="J248" i="17"/>
  <c r="I248" i="17"/>
  <c r="H248" i="17"/>
  <c r="G248" i="17"/>
  <c r="F248" i="17"/>
  <c r="AI247" i="17"/>
  <c r="AH247" i="17"/>
  <c r="AG247" i="17"/>
  <c r="AF247" i="17"/>
  <c r="AE247" i="17"/>
  <c r="AD247" i="17"/>
  <c r="AC247" i="17"/>
  <c r="AB247" i="17"/>
  <c r="AA247" i="17"/>
  <c r="Z247" i="17"/>
  <c r="Y247" i="17"/>
  <c r="X247" i="17"/>
  <c r="W247" i="17"/>
  <c r="V247" i="17"/>
  <c r="U247" i="17"/>
  <c r="T247" i="17"/>
  <c r="S247" i="17"/>
  <c r="R247" i="17"/>
  <c r="Q247" i="17"/>
  <c r="P247" i="17"/>
  <c r="O247" i="17"/>
  <c r="N247" i="17"/>
  <c r="M247" i="17"/>
  <c r="L247" i="17"/>
  <c r="K247" i="17"/>
  <c r="J247" i="17"/>
  <c r="I247" i="17"/>
  <c r="H247" i="17"/>
  <c r="G247" i="17"/>
  <c r="F247" i="17"/>
  <c r="AI246" i="17"/>
  <c r="AH246" i="17"/>
  <c r="AG246" i="17"/>
  <c r="AF246" i="17"/>
  <c r="AE246" i="17"/>
  <c r="AD246" i="17"/>
  <c r="AC246" i="17"/>
  <c r="AB246" i="17"/>
  <c r="AA246" i="17"/>
  <c r="Z246" i="17"/>
  <c r="Y246" i="17"/>
  <c r="X246" i="17"/>
  <c r="W246" i="17"/>
  <c r="V246" i="17"/>
  <c r="U246" i="17"/>
  <c r="T246" i="17"/>
  <c r="S246" i="17"/>
  <c r="R246" i="17"/>
  <c r="Q246" i="17"/>
  <c r="P246" i="17"/>
  <c r="O246" i="17"/>
  <c r="N246" i="17"/>
  <c r="M246" i="17"/>
  <c r="L246" i="17"/>
  <c r="K246" i="17"/>
  <c r="J246" i="17"/>
  <c r="I246" i="17"/>
  <c r="H246" i="17"/>
  <c r="G246" i="17"/>
  <c r="F246" i="17"/>
  <c r="AI245" i="17"/>
  <c r="AH245" i="17"/>
  <c r="AG245" i="17"/>
  <c r="AF245" i="17"/>
  <c r="AE245" i="17"/>
  <c r="AD245" i="17"/>
  <c r="AC245" i="17"/>
  <c r="AB245" i="17"/>
  <c r="AA245" i="17"/>
  <c r="Z245" i="17"/>
  <c r="Y245" i="17"/>
  <c r="X245" i="17"/>
  <c r="W245" i="17"/>
  <c r="V245" i="17"/>
  <c r="U245" i="17"/>
  <c r="T245" i="17"/>
  <c r="S245" i="17"/>
  <c r="R245" i="17"/>
  <c r="Q245" i="17"/>
  <c r="P245" i="17"/>
  <c r="O245" i="17"/>
  <c r="N245" i="17"/>
  <c r="M245" i="17"/>
  <c r="L245" i="17"/>
  <c r="K245" i="17"/>
  <c r="J245" i="17"/>
  <c r="I245" i="17"/>
  <c r="H245" i="17"/>
  <c r="G245" i="17"/>
  <c r="F245" i="17"/>
  <c r="AI244" i="17"/>
  <c r="AH244" i="17"/>
  <c r="AG244" i="17"/>
  <c r="AF244" i="17"/>
  <c r="AE244" i="17"/>
  <c r="AD244" i="17"/>
  <c r="AC244" i="17"/>
  <c r="AB244" i="17"/>
  <c r="AA244" i="17"/>
  <c r="Z244" i="17"/>
  <c r="Y244" i="17"/>
  <c r="X244" i="17"/>
  <c r="W244" i="17"/>
  <c r="V244" i="17"/>
  <c r="U244" i="17"/>
  <c r="T244" i="17"/>
  <c r="S244" i="17"/>
  <c r="R244" i="17"/>
  <c r="Q244" i="17"/>
  <c r="P244" i="17"/>
  <c r="O244" i="17"/>
  <c r="N244" i="17"/>
  <c r="M244" i="17"/>
  <c r="L244" i="17"/>
  <c r="K244" i="17"/>
  <c r="J244" i="17"/>
  <c r="I244" i="17"/>
  <c r="H244" i="17"/>
  <c r="G244" i="17"/>
  <c r="F244" i="17"/>
  <c r="AI243" i="17"/>
  <c r="AH243" i="17"/>
  <c r="AG243" i="17"/>
  <c r="AF243" i="17"/>
  <c r="AE243" i="17"/>
  <c r="AD243" i="17"/>
  <c r="AC243" i="17"/>
  <c r="AB243" i="17"/>
  <c r="AA243" i="17"/>
  <c r="Z243" i="17"/>
  <c r="Y243" i="17"/>
  <c r="X243" i="17"/>
  <c r="W243" i="17"/>
  <c r="V243" i="17"/>
  <c r="U243" i="17"/>
  <c r="T243" i="17"/>
  <c r="S243" i="17"/>
  <c r="R243" i="17"/>
  <c r="Q243" i="17"/>
  <c r="P243" i="17"/>
  <c r="O243" i="17"/>
  <c r="N243" i="17"/>
  <c r="M243" i="17"/>
  <c r="L243" i="17"/>
  <c r="K243" i="17"/>
  <c r="J243" i="17"/>
  <c r="I243" i="17"/>
  <c r="H243" i="17"/>
  <c r="G243" i="17"/>
  <c r="F243" i="17"/>
  <c r="AI238" i="17"/>
  <c r="AH238" i="17"/>
  <c r="AG238" i="17"/>
  <c r="AF238" i="17"/>
  <c r="AE238" i="17"/>
  <c r="AD238" i="17"/>
  <c r="AC238" i="17"/>
  <c r="AB238" i="17"/>
  <c r="AA238" i="17"/>
  <c r="Z238" i="17"/>
  <c r="Y238" i="17"/>
  <c r="X238" i="17"/>
  <c r="W238" i="17"/>
  <c r="V238" i="17"/>
  <c r="U238" i="17"/>
  <c r="T238" i="17"/>
  <c r="S238" i="17"/>
  <c r="R238" i="17"/>
  <c r="Q238" i="17"/>
  <c r="P238" i="17"/>
  <c r="O238" i="17"/>
  <c r="N238" i="17"/>
  <c r="M238" i="17"/>
  <c r="L238" i="17"/>
  <c r="K238" i="17"/>
  <c r="J238" i="17"/>
  <c r="I238" i="17"/>
  <c r="H238" i="17"/>
  <c r="G238" i="17"/>
  <c r="F238" i="17"/>
  <c r="AI237" i="17"/>
  <c r="AH237" i="17"/>
  <c r="AG237" i="17"/>
  <c r="AF237" i="17"/>
  <c r="AE237" i="17"/>
  <c r="AD237" i="17"/>
  <c r="AC237" i="17"/>
  <c r="AB237" i="17"/>
  <c r="AA237" i="17"/>
  <c r="Z237" i="17"/>
  <c r="Y237" i="17"/>
  <c r="X237" i="17"/>
  <c r="W237" i="17"/>
  <c r="V237" i="17"/>
  <c r="U237" i="17"/>
  <c r="T237" i="17"/>
  <c r="S237" i="17"/>
  <c r="R237" i="17"/>
  <c r="Q237" i="17"/>
  <c r="P237" i="17"/>
  <c r="O237" i="17"/>
  <c r="N237" i="17"/>
  <c r="M237" i="17"/>
  <c r="L237" i="17"/>
  <c r="K237" i="17"/>
  <c r="J237" i="17"/>
  <c r="I237" i="17"/>
  <c r="H237" i="17"/>
  <c r="G237" i="17"/>
  <c r="F237" i="17"/>
  <c r="AI236" i="17"/>
  <c r="AH236" i="17"/>
  <c r="AG236" i="17"/>
  <c r="AF236" i="17"/>
  <c r="AE236" i="17"/>
  <c r="AD236" i="17"/>
  <c r="AC236" i="17"/>
  <c r="AB236" i="17"/>
  <c r="AA236" i="17"/>
  <c r="Z236" i="17"/>
  <c r="Y236" i="17"/>
  <c r="X236" i="17"/>
  <c r="W236" i="17"/>
  <c r="V236" i="17"/>
  <c r="U236" i="17"/>
  <c r="T236" i="17"/>
  <c r="S236" i="17"/>
  <c r="R236" i="17"/>
  <c r="Q236" i="17"/>
  <c r="P236" i="17"/>
  <c r="O236" i="17"/>
  <c r="N236" i="17"/>
  <c r="M236" i="17"/>
  <c r="L236" i="17"/>
  <c r="K236" i="17"/>
  <c r="J236" i="17"/>
  <c r="I236" i="17"/>
  <c r="H236" i="17"/>
  <c r="G236" i="17"/>
  <c r="F236" i="17"/>
  <c r="AI235" i="17"/>
  <c r="AH235" i="17"/>
  <c r="AG235" i="17"/>
  <c r="AF235" i="17"/>
  <c r="AE235" i="17"/>
  <c r="AD235" i="17"/>
  <c r="AC235" i="17"/>
  <c r="AB235" i="17"/>
  <c r="AA235" i="17"/>
  <c r="Z235" i="17"/>
  <c r="Y235" i="17"/>
  <c r="X235" i="17"/>
  <c r="W235" i="17"/>
  <c r="V235" i="17"/>
  <c r="U235" i="17"/>
  <c r="T235" i="17"/>
  <c r="S235" i="17"/>
  <c r="R235" i="17"/>
  <c r="Q235" i="17"/>
  <c r="P235" i="17"/>
  <c r="O235" i="17"/>
  <c r="N235" i="17"/>
  <c r="M235" i="17"/>
  <c r="L235" i="17"/>
  <c r="K235" i="17"/>
  <c r="J235" i="17"/>
  <c r="I235" i="17"/>
  <c r="H235" i="17"/>
  <c r="G235" i="17"/>
  <c r="F235" i="17"/>
  <c r="AI234" i="17"/>
  <c r="AH234" i="17"/>
  <c r="AG234" i="17"/>
  <c r="AF234" i="17"/>
  <c r="AE234" i="17"/>
  <c r="AD234" i="17"/>
  <c r="AC234" i="17"/>
  <c r="AB234" i="17"/>
  <c r="AA234" i="17"/>
  <c r="Z234" i="17"/>
  <c r="Y234" i="17"/>
  <c r="X234" i="17"/>
  <c r="W234" i="17"/>
  <c r="V234" i="17"/>
  <c r="U234" i="17"/>
  <c r="T234" i="17"/>
  <c r="S234" i="17"/>
  <c r="R234" i="17"/>
  <c r="Q234" i="17"/>
  <c r="P234" i="17"/>
  <c r="O234" i="17"/>
  <c r="N234" i="17"/>
  <c r="M234" i="17"/>
  <c r="L234" i="17"/>
  <c r="K234" i="17"/>
  <c r="J234" i="17"/>
  <c r="I234" i="17"/>
  <c r="H234" i="17"/>
  <c r="G234" i="17"/>
  <c r="F234" i="17"/>
  <c r="AI233" i="17"/>
  <c r="AH233" i="17"/>
  <c r="AG233" i="17"/>
  <c r="AF233" i="17"/>
  <c r="AE233" i="17"/>
  <c r="AD233" i="17"/>
  <c r="AC233" i="17"/>
  <c r="AB233" i="17"/>
  <c r="AA233" i="17"/>
  <c r="Z233" i="17"/>
  <c r="Y233" i="17"/>
  <c r="X233" i="17"/>
  <c r="W233" i="17"/>
  <c r="V233" i="17"/>
  <c r="U233" i="17"/>
  <c r="T233" i="17"/>
  <c r="S233" i="17"/>
  <c r="R233" i="17"/>
  <c r="Q233" i="17"/>
  <c r="P233" i="17"/>
  <c r="O233" i="17"/>
  <c r="N233" i="17"/>
  <c r="M233" i="17"/>
  <c r="L233" i="17"/>
  <c r="K233" i="17"/>
  <c r="J233" i="17"/>
  <c r="I233" i="17"/>
  <c r="H233" i="17"/>
  <c r="G233" i="17"/>
  <c r="F233" i="17"/>
  <c r="AI232" i="17"/>
  <c r="AH232" i="17"/>
  <c r="AG232" i="17"/>
  <c r="AF232" i="17"/>
  <c r="AE232" i="17"/>
  <c r="AD232" i="17"/>
  <c r="AC232" i="17"/>
  <c r="AB232" i="17"/>
  <c r="AA232" i="17"/>
  <c r="Z232" i="17"/>
  <c r="Y232" i="17"/>
  <c r="X232" i="17"/>
  <c r="W232" i="17"/>
  <c r="V232" i="17"/>
  <c r="U232" i="17"/>
  <c r="T232" i="17"/>
  <c r="S232" i="17"/>
  <c r="R232" i="17"/>
  <c r="Q232" i="17"/>
  <c r="P232" i="17"/>
  <c r="O232" i="17"/>
  <c r="N232" i="17"/>
  <c r="M232" i="17"/>
  <c r="L232" i="17"/>
  <c r="K232" i="17"/>
  <c r="J232" i="17"/>
  <c r="I232" i="17"/>
  <c r="H232" i="17"/>
  <c r="G232" i="17"/>
  <c r="F232" i="17"/>
  <c r="AI231" i="17"/>
  <c r="AH231" i="17"/>
  <c r="AG231" i="17"/>
  <c r="AF231" i="17"/>
  <c r="AE231" i="17"/>
  <c r="AD231" i="17"/>
  <c r="AC231" i="17"/>
  <c r="AB231" i="17"/>
  <c r="AA231" i="17"/>
  <c r="Z231" i="17"/>
  <c r="Y231" i="17"/>
  <c r="X231" i="17"/>
  <c r="W231" i="17"/>
  <c r="V231" i="17"/>
  <c r="U231" i="17"/>
  <c r="T231" i="17"/>
  <c r="S231" i="17"/>
  <c r="R231" i="17"/>
  <c r="Q231" i="17"/>
  <c r="P231" i="17"/>
  <c r="O231" i="17"/>
  <c r="N231" i="17"/>
  <c r="M231" i="17"/>
  <c r="L231" i="17"/>
  <c r="K231" i="17"/>
  <c r="J231" i="17"/>
  <c r="I231" i="17"/>
  <c r="H231" i="17"/>
  <c r="G231" i="17"/>
  <c r="F231" i="17"/>
  <c r="AI230" i="17"/>
  <c r="AH230" i="17"/>
  <c r="AG230" i="17"/>
  <c r="AF230" i="17"/>
  <c r="AE230" i="17"/>
  <c r="AD230" i="17"/>
  <c r="AC230" i="17"/>
  <c r="AB230" i="17"/>
  <c r="AA230" i="17"/>
  <c r="Z230" i="17"/>
  <c r="Y230" i="17"/>
  <c r="X230" i="17"/>
  <c r="W230" i="17"/>
  <c r="V230" i="17"/>
  <c r="U230" i="17"/>
  <c r="T230" i="17"/>
  <c r="S230" i="17"/>
  <c r="R230" i="17"/>
  <c r="Q230" i="17"/>
  <c r="P230" i="17"/>
  <c r="O230" i="17"/>
  <c r="N230" i="17"/>
  <c r="M230" i="17"/>
  <c r="L230" i="17"/>
  <c r="K230" i="17"/>
  <c r="J230" i="17"/>
  <c r="I230" i="17"/>
  <c r="H230" i="17"/>
  <c r="G230" i="17"/>
  <c r="F230" i="17"/>
  <c r="AI229" i="17"/>
  <c r="AH229" i="17"/>
  <c r="AG229" i="17"/>
  <c r="AF229" i="17"/>
  <c r="AE229" i="17"/>
  <c r="AD229" i="17"/>
  <c r="AC229" i="17"/>
  <c r="AB229" i="17"/>
  <c r="AA229" i="17"/>
  <c r="Z229" i="17"/>
  <c r="Y229" i="17"/>
  <c r="X229" i="17"/>
  <c r="W229" i="17"/>
  <c r="V229" i="17"/>
  <c r="U229" i="17"/>
  <c r="T229" i="17"/>
  <c r="S229" i="17"/>
  <c r="R229" i="17"/>
  <c r="Q229" i="17"/>
  <c r="P229" i="17"/>
  <c r="O229" i="17"/>
  <c r="N229" i="17"/>
  <c r="M229" i="17"/>
  <c r="L229" i="17"/>
  <c r="K229" i="17"/>
  <c r="J229" i="17"/>
  <c r="I229" i="17"/>
  <c r="H229" i="17"/>
  <c r="G229" i="17"/>
  <c r="F229" i="17"/>
  <c r="AI228" i="17"/>
  <c r="AH228" i="17"/>
  <c r="AG228" i="17"/>
  <c r="AF228" i="17"/>
  <c r="AE228" i="17"/>
  <c r="AD228" i="17"/>
  <c r="AC228" i="17"/>
  <c r="AB228" i="17"/>
  <c r="AA228" i="17"/>
  <c r="Z228" i="17"/>
  <c r="Y228" i="17"/>
  <c r="X228" i="17"/>
  <c r="W228" i="17"/>
  <c r="V228" i="17"/>
  <c r="U228" i="17"/>
  <c r="T228" i="17"/>
  <c r="S228" i="17"/>
  <c r="R228" i="17"/>
  <c r="Q228" i="17"/>
  <c r="P228" i="17"/>
  <c r="O228" i="17"/>
  <c r="N228" i="17"/>
  <c r="M228" i="17"/>
  <c r="L228" i="17"/>
  <c r="K228" i="17"/>
  <c r="J228" i="17"/>
  <c r="I228" i="17"/>
  <c r="H228" i="17"/>
  <c r="G228" i="17"/>
  <c r="F228" i="17"/>
  <c r="AI227" i="17"/>
  <c r="AH227" i="17"/>
  <c r="AG227" i="17"/>
  <c r="AF227" i="17"/>
  <c r="AE227" i="17"/>
  <c r="AD227" i="17"/>
  <c r="AC227" i="17"/>
  <c r="AB227" i="17"/>
  <c r="AA227" i="17"/>
  <c r="Z227" i="17"/>
  <c r="Y227" i="17"/>
  <c r="X227" i="17"/>
  <c r="W227" i="17"/>
  <c r="V227" i="17"/>
  <c r="U227" i="17"/>
  <c r="T227" i="17"/>
  <c r="S227" i="17"/>
  <c r="R227" i="17"/>
  <c r="Q227" i="17"/>
  <c r="P227" i="17"/>
  <c r="O227" i="17"/>
  <c r="N227" i="17"/>
  <c r="M227" i="17"/>
  <c r="L227" i="17"/>
  <c r="K227" i="17"/>
  <c r="J227" i="17"/>
  <c r="I227" i="17"/>
  <c r="H227" i="17"/>
  <c r="G227" i="17"/>
  <c r="F227" i="17"/>
  <c r="AI226" i="17"/>
  <c r="AH226" i="17"/>
  <c r="AG226" i="17"/>
  <c r="AF226" i="17"/>
  <c r="AE226" i="17"/>
  <c r="AD226" i="17"/>
  <c r="AC226" i="17"/>
  <c r="AB226" i="17"/>
  <c r="AA226" i="17"/>
  <c r="Z226" i="17"/>
  <c r="Y226" i="17"/>
  <c r="X226" i="17"/>
  <c r="W226" i="17"/>
  <c r="V226" i="17"/>
  <c r="U226" i="17"/>
  <c r="T226" i="17"/>
  <c r="S226" i="17"/>
  <c r="R226" i="17"/>
  <c r="Q226" i="17"/>
  <c r="P226" i="17"/>
  <c r="O226" i="17"/>
  <c r="N226" i="17"/>
  <c r="M226" i="17"/>
  <c r="L226" i="17"/>
  <c r="K226" i="17"/>
  <c r="J226" i="17"/>
  <c r="I226" i="17"/>
  <c r="H226" i="17"/>
  <c r="G226" i="17"/>
  <c r="F226" i="17"/>
  <c r="AI225" i="17"/>
  <c r="AH225" i="17"/>
  <c r="AG225" i="17"/>
  <c r="AF225" i="17"/>
  <c r="AE225" i="17"/>
  <c r="AD225" i="17"/>
  <c r="AC225" i="17"/>
  <c r="AB225" i="17"/>
  <c r="AA225" i="17"/>
  <c r="Z225" i="17"/>
  <c r="Y225" i="17"/>
  <c r="X225" i="17"/>
  <c r="W225" i="17"/>
  <c r="V225" i="17"/>
  <c r="U225" i="17"/>
  <c r="T225" i="17"/>
  <c r="S225" i="17"/>
  <c r="R225" i="17"/>
  <c r="Q225" i="17"/>
  <c r="P225" i="17"/>
  <c r="O225" i="17"/>
  <c r="N225" i="17"/>
  <c r="M225" i="17"/>
  <c r="L225" i="17"/>
  <c r="K225" i="17"/>
  <c r="J225" i="17"/>
  <c r="I225" i="17"/>
  <c r="H225" i="17"/>
  <c r="G225" i="17"/>
  <c r="F225" i="17"/>
  <c r="AI224" i="17"/>
  <c r="AH224" i="17"/>
  <c r="AG224" i="17"/>
  <c r="AF224" i="17"/>
  <c r="AE224" i="17"/>
  <c r="AD224" i="17"/>
  <c r="AC224" i="17"/>
  <c r="AB224" i="17"/>
  <c r="AA224" i="17"/>
  <c r="Z224" i="17"/>
  <c r="Y224" i="17"/>
  <c r="X224" i="17"/>
  <c r="W224" i="17"/>
  <c r="V224" i="17"/>
  <c r="U224" i="17"/>
  <c r="T224" i="17"/>
  <c r="S224" i="17"/>
  <c r="R224" i="17"/>
  <c r="Q224" i="17"/>
  <c r="P224" i="17"/>
  <c r="O224" i="17"/>
  <c r="N224" i="17"/>
  <c r="M224" i="17"/>
  <c r="L224" i="17"/>
  <c r="K224" i="17"/>
  <c r="J224" i="17"/>
  <c r="I224" i="17"/>
  <c r="H224" i="17"/>
  <c r="G224" i="17"/>
  <c r="F224" i="17"/>
  <c r="AI223" i="17"/>
  <c r="AH223" i="17"/>
  <c r="AG223" i="17"/>
  <c r="AF223" i="17"/>
  <c r="AE223" i="17"/>
  <c r="AD223" i="17"/>
  <c r="AC223" i="17"/>
  <c r="AB223" i="17"/>
  <c r="AA223" i="17"/>
  <c r="Z223" i="17"/>
  <c r="Y223" i="17"/>
  <c r="X223" i="17"/>
  <c r="W223" i="17"/>
  <c r="V223" i="17"/>
  <c r="U223" i="17"/>
  <c r="T223" i="17"/>
  <c r="S223" i="17"/>
  <c r="R223" i="17"/>
  <c r="Q223" i="17"/>
  <c r="P223" i="17"/>
  <c r="O223" i="17"/>
  <c r="N223" i="17"/>
  <c r="M223" i="17"/>
  <c r="L223" i="17"/>
  <c r="K223" i="17"/>
  <c r="J223" i="17"/>
  <c r="I223" i="17"/>
  <c r="H223" i="17"/>
  <c r="G223" i="17"/>
  <c r="F223" i="17"/>
  <c r="AI222" i="17"/>
  <c r="AH222" i="17"/>
  <c r="AG222" i="17"/>
  <c r="AF222" i="17"/>
  <c r="AE222" i="17"/>
  <c r="AD222" i="17"/>
  <c r="AC222" i="17"/>
  <c r="AB222" i="17"/>
  <c r="AA222" i="17"/>
  <c r="Z222" i="17"/>
  <c r="Y222" i="17"/>
  <c r="X222" i="17"/>
  <c r="W222" i="17"/>
  <c r="V222" i="17"/>
  <c r="U222" i="17"/>
  <c r="T222" i="17"/>
  <c r="S222" i="17"/>
  <c r="R222" i="17"/>
  <c r="Q222" i="17"/>
  <c r="P222" i="17"/>
  <c r="O222" i="17"/>
  <c r="N222" i="17"/>
  <c r="M222" i="17"/>
  <c r="L222" i="17"/>
  <c r="K222" i="17"/>
  <c r="J222" i="17"/>
  <c r="I222" i="17"/>
  <c r="H222" i="17"/>
  <c r="G222" i="17"/>
  <c r="F222" i="17"/>
  <c r="AI221" i="17"/>
  <c r="AH221" i="17"/>
  <c r="AG221" i="17"/>
  <c r="AF221" i="17"/>
  <c r="AE221" i="17"/>
  <c r="AD221" i="17"/>
  <c r="AC221" i="17"/>
  <c r="AB221" i="17"/>
  <c r="AA221" i="17"/>
  <c r="Z221" i="17"/>
  <c r="Y221" i="17"/>
  <c r="X221" i="17"/>
  <c r="W221" i="17"/>
  <c r="V221" i="17"/>
  <c r="U221" i="17"/>
  <c r="T221" i="17"/>
  <c r="S221" i="17"/>
  <c r="R221" i="17"/>
  <c r="Q221" i="17"/>
  <c r="P221" i="17"/>
  <c r="O221" i="17"/>
  <c r="N221" i="17"/>
  <c r="M221" i="17"/>
  <c r="L221" i="17"/>
  <c r="K221" i="17"/>
  <c r="J221" i="17"/>
  <c r="I221" i="17"/>
  <c r="H221" i="17"/>
  <c r="G221" i="17"/>
  <c r="F221" i="17"/>
  <c r="AI220" i="17"/>
  <c r="AH220" i="17"/>
  <c r="AG220" i="17"/>
  <c r="AF220" i="17"/>
  <c r="AE220" i="17"/>
  <c r="AD220" i="17"/>
  <c r="AC220" i="17"/>
  <c r="AB220" i="17"/>
  <c r="AA220" i="17"/>
  <c r="Z220" i="17"/>
  <c r="Y220" i="17"/>
  <c r="X220" i="17"/>
  <c r="W220" i="17"/>
  <c r="V220" i="17"/>
  <c r="U220" i="17"/>
  <c r="T220" i="17"/>
  <c r="S220" i="17"/>
  <c r="R220" i="17"/>
  <c r="Q220" i="17"/>
  <c r="P220" i="17"/>
  <c r="O220" i="17"/>
  <c r="N220" i="17"/>
  <c r="M220" i="17"/>
  <c r="L220" i="17"/>
  <c r="K220" i="17"/>
  <c r="J220" i="17"/>
  <c r="I220" i="17"/>
  <c r="H220" i="17"/>
  <c r="G220" i="17"/>
  <c r="F220" i="17"/>
  <c r="AI219" i="17"/>
  <c r="AH219" i="17"/>
  <c r="AG219" i="17"/>
  <c r="AF219" i="17"/>
  <c r="AE219" i="17"/>
  <c r="AD219" i="17"/>
  <c r="AC219" i="17"/>
  <c r="AB219" i="17"/>
  <c r="AA219" i="17"/>
  <c r="Z219" i="17"/>
  <c r="Y219" i="17"/>
  <c r="X219" i="17"/>
  <c r="W219" i="17"/>
  <c r="V219" i="17"/>
  <c r="U219" i="17"/>
  <c r="T219" i="17"/>
  <c r="S219" i="17"/>
  <c r="R219" i="17"/>
  <c r="Q219" i="17"/>
  <c r="P219" i="17"/>
  <c r="O219" i="17"/>
  <c r="N219" i="17"/>
  <c r="M219" i="17"/>
  <c r="L219" i="17"/>
  <c r="K219" i="17"/>
  <c r="J219" i="17"/>
  <c r="I219" i="17"/>
  <c r="H219" i="17"/>
  <c r="G219" i="17"/>
  <c r="F219" i="17"/>
  <c r="AI218" i="17"/>
  <c r="AH218" i="17"/>
  <c r="AG218" i="17"/>
  <c r="AF218" i="17"/>
  <c r="AE218" i="17"/>
  <c r="AD218" i="17"/>
  <c r="AC218" i="17"/>
  <c r="AB218" i="17"/>
  <c r="AA218" i="17"/>
  <c r="Z218" i="17"/>
  <c r="Y218" i="17"/>
  <c r="X218" i="17"/>
  <c r="W218" i="17"/>
  <c r="V218" i="17"/>
  <c r="U218" i="17"/>
  <c r="T218" i="17"/>
  <c r="S218" i="17"/>
  <c r="R218" i="17"/>
  <c r="Q218" i="17"/>
  <c r="P218" i="17"/>
  <c r="O218" i="17"/>
  <c r="N218" i="17"/>
  <c r="M218" i="17"/>
  <c r="L218" i="17"/>
  <c r="K218" i="17"/>
  <c r="J218" i="17"/>
  <c r="I218" i="17"/>
  <c r="H218" i="17"/>
  <c r="G218" i="17"/>
  <c r="F218" i="17"/>
  <c r="AI217" i="17"/>
  <c r="AH217" i="17"/>
  <c r="AG217" i="17"/>
  <c r="AF217" i="17"/>
  <c r="AE217" i="17"/>
  <c r="AD217" i="17"/>
  <c r="AC217" i="17"/>
  <c r="AB217" i="17"/>
  <c r="AA217" i="17"/>
  <c r="Z217" i="17"/>
  <c r="Y217" i="17"/>
  <c r="X217" i="17"/>
  <c r="W217" i="17"/>
  <c r="V217" i="17"/>
  <c r="U217" i="17"/>
  <c r="T217" i="17"/>
  <c r="S217" i="17"/>
  <c r="R217" i="17"/>
  <c r="Q217" i="17"/>
  <c r="P217" i="17"/>
  <c r="O217" i="17"/>
  <c r="N217" i="17"/>
  <c r="M217" i="17"/>
  <c r="L217" i="17"/>
  <c r="K217" i="17"/>
  <c r="J217" i="17"/>
  <c r="I217" i="17"/>
  <c r="H217" i="17"/>
  <c r="G217" i="17"/>
  <c r="F217" i="17"/>
  <c r="AI216" i="17"/>
  <c r="AH216" i="17"/>
  <c r="AG216" i="17"/>
  <c r="AF216" i="17"/>
  <c r="AE216" i="17"/>
  <c r="AD216" i="17"/>
  <c r="AC216" i="17"/>
  <c r="AB216" i="17"/>
  <c r="AA216" i="17"/>
  <c r="Z216" i="17"/>
  <c r="Y216" i="17"/>
  <c r="X216" i="17"/>
  <c r="W216" i="17"/>
  <c r="V216" i="17"/>
  <c r="U216" i="17"/>
  <c r="T216" i="17"/>
  <c r="S216" i="17"/>
  <c r="R216" i="17"/>
  <c r="Q216" i="17"/>
  <c r="P216" i="17"/>
  <c r="O216" i="17"/>
  <c r="N216" i="17"/>
  <c r="M216" i="17"/>
  <c r="L216" i="17"/>
  <c r="K216" i="17"/>
  <c r="J216" i="17"/>
  <c r="I216" i="17"/>
  <c r="H216" i="17"/>
  <c r="G216" i="17"/>
  <c r="F216" i="17"/>
  <c r="AI215" i="17"/>
  <c r="AH215" i="17"/>
  <c r="AG215" i="17"/>
  <c r="AF215" i="17"/>
  <c r="AE215" i="17"/>
  <c r="AD215" i="17"/>
  <c r="AC215" i="17"/>
  <c r="AB215" i="17"/>
  <c r="AA215" i="17"/>
  <c r="Z215" i="17"/>
  <c r="Y215" i="17"/>
  <c r="X215" i="17"/>
  <c r="W215" i="17"/>
  <c r="V215" i="17"/>
  <c r="U215" i="17"/>
  <c r="T215" i="17"/>
  <c r="S215" i="17"/>
  <c r="R215" i="17"/>
  <c r="Q215" i="17"/>
  <c r="P215" i="17"/>
  <c r="O215" i="17"/>
  <c r="N215" i="17"/>
  <c r="M215" i="17"/>
  <c r="L215" i="17"/>
  <c r="K215" i="17"/>
  <c r="J215" i="17"/>
  <c r="I215" i="17"/>
  <c r="H215" i="17"/>
  <c r="G215" i="17"/>
  <c r="F215" i="17"/>
  <c r="AI214" i="17"/>
  <c r="AH214" i="17"/>
  <c r="AG214" i="17"/>
  <c r="AF214" i="17"/>
  <c r="AE214" i="17"/>
  <c r="AD214" i="17"/>
  <c r="AC214" i="17"/>
  <c r="AB214" i="17"/>
  <c r="AA214" i="17"/>
  <c r="Z214" i="17"/>
  <c r="Y214" i="17"/>
  <c r="X214" i="17"/>
  <c r="W214" i="17"/>
  <c r="V214" i="17"/>
  <c r="U214" i="17"/>
  <c r="T214" i="17"/>
  <c r="S214" i="17"/>
  <c r="R214" i="17"/>
  <c r="Q214" i="17"/>
  <c r="P214" i="17"/>
  <c r="O214" i="17"/>
  <c r="N214" i="17"/>
  <c r="M214" i="17"/>
  <c r="L214" i="17"/>
  <c r="K214" i="17"/>
  <c r="J214" i="17"/>
  <c r="I214" i="17"/>
  <c r="H214" i="17"/>
  <c r="G214" i="17"/>
  <c r="F214" i="17"/>
  <c r="AI213" i="17"/>
  <c r="AH213" i="17"/>
  <c r="AG213" i="17"/>
  <c r="AF213" i="17"/>
  <c r="AE213" i="17"/>
  <c r="AD213" i="17"/>
  <c r="AC213" i="17"/>
  <c r="AB213" i="17"/>
  <c r="AA213" i="17"/>
  <c r="Z213" i="17"/>
  <c r="Y213" i="17"/>
  <c r="X213" i="17"/>
  <c r="W213" i="17"/>
  <c r="V213" i="17"/>
  <c r="U213" i="17"/>
  <c r="T213" i="17"/>
  <c r="S213" i="17"/>
  <c r="R213" i="17"/>
  <c r="Q213" i="17"/>
  <c r="P213" i="17"/>
  <c r="O213" i="17"/>
  <c r="N213" i="17"/>
  <c r="M213" i="17"/>
  <c r="L213" i="17"/>
  <c r="K213" i="17"/>
  <c r="J213" i="17"/>
  <c r="I213" i="17"/>
  <c r="H213" i="17"/>
  <c r="G213" i="17"/>
  <c r="F213" i="17"/>
  <c r="AI212" i="17"/>
  <c r="AH212" i="17"/>
  <c r="AG212" i="17"/>
  <c r="AF212" i="17"/>
  <c r="AE212" i="17"/>
  <c r="AD212" i="17"/>
  <c r="AC212" i="17"/>
  <c r="AB212" i="17"/>
  <c r="AA212" i="17"/>
  <c r="Z212" i="17"/>
  <c r="Y212" i="17"/>
  <c r="X212" i="17"/>
  <c r="W212" i="17"/>
  <c r="V212" i="17"/>
  <c r="U212" i="17"/>
  <c r="T212" i="17"/>
  <c r="S212" i="17"/>
  <c r="R212" i="17"/>
  <c r="Q212" i="17"/>
  <c r="P212" i="17"/>
  <c r="O212" i="17"/>
  <c r="N212" i="17"/>
  <c r="M212" i="17"/>
  <c r="L212" i="17"/>
  <c r="K212" i="17"/>
  <c r="J212" i="17"/>
  <c r="I212" i="17"/>
  <c r="H212" i="17"/>
  <c r="G212" i="17"/>
  <c r="F212" i="17"/>
  <c r="AI211" i="17"/>
  <c r="AH211" i="17"/>
  <c r="AG211" i="17"/>
  <c r="AF211" i="17"/>
  <c r="AE211" i="17"/>
  <c r="AD211" i="17"/>
  <c r="AC211" i="17"/>
  <c r="AB211" i="17"/>
  <c r="AA211" i="17"/>
  <c r="Z211" i="17"/>
  <c r="Y211" i="17"/>
  <c r="X211" i="17"/>
  <c r="W211" i="17"/>
  <c r="V211" i="17"/>
  <c r="U211" i="17"/>
  <c r="T211" i="17"/>
  <c r="S211" i="17"/>
  <c r="R211" i="17"/>
  <c r="Q211" i="17"/>
  <c r="P211" i="17"/>
  <c r="O211" i="17"/>
  <c r="N211" i="17"/>
  <c r="M211" i="17"/>
  <c r="L211" i="17"/>
  <c r="K211" i="17"/>
  <c r="J211" i="17"/>
  <c r="I211" i="17"/>
  <c r="H211" i="17"/>
  <c r="G211" i="17"/>
  <c r="F211" i="17"/>
  <c r="AI210" i="17"/>
  <c r="AH210" i="17"/>
  <c r="AG210" i="17"/>
  <c r="AF210" i="17"/>
  <c r="AE210" i="17"/>
  <c r="AD210" i="17"/>
  <c r="AC210" i="17"/>
  <c r="AB210" i="17"/>
  <c r="AA210" i="17"/>
  <c r="Z210" i="17"/>
  <c r="Y210" i="17"/>
  <c r="X210" i="17"/>
  <c r="W210" i="17"/>
  <c r="V210" i="17"/>
  <c r="U210" i="17"/>
  <c r="T210" i="17"/>
  <c r="S210" i="17"/>
  <c r="R210" i="17"/>
  <c r="Q210" i="17"/>
  <c r="P210" i="17"/>
  <c r="O210" i="17"/>
  <c r="N210" i="17"/>
  <c r="M210" i="17"/>
  <c r="L210" i="17"/>
  <c r="K210" i="17"/>
  <c r="J210" i="17"/>
  <c r="I210" i="17"/>
  <c r="H210" i="17"/>
  <c r="G210" i="17"/>
  <c r="F210" i="17"/>
  <c r="AI209" i="17"/>
  <c r="AH209" i="17"/>
  <c r="AG209" i="17"/>
  <c r="AF209" i="17"/>
  <c r="AE209" i="17"/>
  <c r="AD209" i="17"/>
  <c r="AC209" i="17"/>
  <c r="AB209" i="17"/>
  <c r="AA209" i="17"/>
  <c r="Z209" i="17"/>
  <c r="Y209" i="17"/>
  <c r="X209" i="17"/>
  <c r="W209" i="17"/>
  <c r="V209" i="17"/>
  <c r="U209" i="17"/>
  <c r="T209" i="17"/>
  <c r="S209" i="17"/>
  <c r="R209" i="17"/>
  <c r="Q209" i="17"/>
  <c r="P209" i="17"/>
  <c r="O209" i="17"/>
  <c r="N209" i="17"/>
  <c r="M209" i="17"/>
  <c r="L209" i="17"/>
  <c r="K209" i="17"/>
  <c r="J209" i="17"/>
  <c r="I209" i="17"/>
  <c r="H209" i="17"/>
  <c r="G209" i="17"/>
  <c r="F209" i="17"/>
  <c r="AI204" i="17"/>
  <c r="AH204" i="17"/>
  <c r="AG204" i="17"/>
  <c r="AF204" i="17"/>
  <c r="AE204" i="17"/>
  <c r="AD204" i="17"/>
  <c r="AC204" i="17"/>
  <c r="AB204" i="17"/>
  <c r="AA204" i="17"/>
  <c r="Z204" i="17"/>
  <c r="Y204" i="17"/>
  <c r="X204" i="17"/>
  <c r="W204" i="17"/>
  <c r="V204" i="17"/>
  <c r="U204" i="17"/>
  <c r="T204" i="17"/>
  <c r="S204" i="17"/>
  <c r="R204" i="17"/>
  <c r="Q204" i="17"/>
  <c r="P204" i="17"/>
  <c r="O204" i="17"/>
  <c r="N204" i="17"/>
  <c r="M204" i="17"/>
  <c r="L204" i="17"/>
  <c r="K204" i="17"/>
  <c r="J204" i="17"/>
  <c r="I204" i="17"/>
  <c r="H204" i="17"/>
  <c r="G204" i="17"/>
  <c r="F204" i="17"/>
  <c r="AI203" i="17"/>
  <c r="AH203" i="17"/>
  <c r="AG203" i="17"/>
  <c r="AF203" i="17"/>
  <c r="AE203" i="17"/>
  <c r="AD203" i="17"/>
  <c r="AC203" i="17"/>
  <c r="AB203" i="17"/>
  <c r="AA203" i="17"/>
  <c r="Z203" i="17"/>
  <c r="Y203" i="17"/>
  <c r="X203" i="17"/>
  <c r="W203" i="17"/>
  <c r="V203" i="17"/>
  <c r="U203" i="17"/>
  <c r="T203" i="17"/>
  <c r="S203" i="17"/>
  <c r="R203" i="17"/>
  <c r="Q203" i="17"/>
  <c r="P203" i="17"/>
  <c r="O203" i="17"/>
  <c r="N203" i="17"/>
  <c r="M203" i="17"/>
  <c r="L203" i="17"/>
  <c r="K203" i="17"/>
  <c r="J203" i="17"/>
  <c r="I203" i="17"/>
  <c r="H203" i="17"/>
  <c r="G203" i="17"/>
  <c r="F203" i="17"/>
  <c r="AI202" i="17"/>
  <c r="AH202" i="17"/>
  <c r="AG202" i="17"/>
  <c r="AF202" i="17"/>
  <c r="AE202" i="17"/>
  <c r="AD202" i="17"/>
  <c r="AC202" i="17"/>
  <c r="AB202" i="17"/>
  <c r="AA202" i="17"/>
  <c r="Z202" i="17"/>
  <c r="Y202" i="17"/>
  <c r="X202" i="17"/>
  <c r="W202" i="17"/>
  <c r="V202" i="17"/>
  <c r="U202" i="17"/>
  <c r="T202" i="17"/>
  <c r="S202" i="17"/>
  <c r="R202" i="17"/>
  <c r="Q202" i="17"/>
  <c r="P202" i="17"/>
  <c r="O202" i="17"/>
  <c r="N202" i="17"/>
  <c r="M202" i="17"/>
  <c r="L202" i="17"/>
  <c r="K202" i="17"/>
  <c r="J202" i="17"/>
  <c r="I202" i="17"/>
  <c r="H202" i="17"/>
  <c r="G202" i="17"/>
  <c r="F202" i="17"/>
  <c r="AI201" i="17"/>
  <c r="AH201" i="17"/>
  <c r="AG201" i="17"/>
  <c r="AF201" i="17"/>
  <c r="AE201" i="17"/>
  <c r="AD201" i="17"/>
  <c r="AC201" i="17"/>
  <c r="AB201" i="17"/>
  <c r="AA201" i="17"/>
  <c r="Z201" i="17"/>
  <c r="Y201" i="17"/>
  <c r="X201" i="17"/>
  <c r="W201" i="17"/>
  <c r="V201" i="17"/>
  <c r="U201" i="17"/>
  <c r="T201" i="17"/>
  <c r="S201" i="17"/>
  <c r="R201" i="17"/>
  <c r="Q201" i="17"/>
  <c r="P201" i="17"/>
  <c r="O201" i="17"/>
  <c r="N201" i="17"/>
  <c r="M201" i="17"/>
  <c r="L201" i="17"/>
  <c r="K201" i="17"/>
  <c r="J201" i="17"/>
  <c r="I201" i="17"/>
  <c r="H201" i="17"/>
  <c r="G201" i="17"/>
  <c r="F201" i="17"/>
  <c r="AI200" i="17"/>
  <c r="AH200" i="17"/>
  <c r="AG200" i="17"/>
  <c r="AF200" i="17"/>
  <c r="AE200" i="17"/>
  <c r="AD200" i="17"/>
  <c r="AC200" i="17"/>
  <c r="AB200" i="17"/>
  <c r="AA200" i="17"/>
  <c r="Z200" i="17"/>
  <c r="Y200" i="17"/>
  <c r="X200" i="17"/>
  <c r="W200" i="17"/>
  <c r="V200" i="17"/>
  <c r="U200" i="17"/>
  <c r="T200" i="17"/>
  <c r="S200" i="17"/>
  <c r="R200" i="17"/>
  <c r="Q200" i="17"/>
  <c r="P200" i="17"/>
  <c r="O200" i="17"/>
  <c r="N200" i="17"/>
  <c r="M200" i="17"/>
  <c r="L200" i="17"/>
  <c r="K200" i="17"/>
  <c r="J200" i="17"/>
  <c r="I200" i="17"/>
  <c r="H200" i="17"/>
  <c r="G200" i="17"/>
  <c r="F200" i="17"/>
  <c r="AI199" i="17"/>
  <c r="AH199" i="17"/>
  <c r="AG199" i="17"/>
  <c r="AF199" i="17"/>
  <c r="AE199" i="17"/>
  <c r="AD199" i="17"/>
  <c r="AC199" i="17"/>
  <c r="AB199" i="17"/>
  <c r="AA199" i="17"/>
  <c r="Z199" i="17"/>
  <c r="Y199" i="17"/>
  <c r="X199" i="17"/>
  <c r="W199" i="17"/>
  <c r="V199" i="17"/>
  <c r="U199" i="17"/>
  <c r="T199" i="17"/>
  <c r="S199" i="17"/>
  <c r="R199" i="17"/>
  <c r="Q199" i="17"/>
  <c r="P199" i="17"/>
  <c r="O199" i="17"/>
  <c r="N199" i="17"/>
  <c r="M199" i="17"/>
  <c r="L199" i="17"/>
  <c r="K199" i="17"/>
  <c r="J199" i="17"/>
  <c r="I199" i="17"/>
  <c r="H199" i="17"/>
  <c r="G199" i="17"/>
  <c r="F199" i="17"/>
  <c r="AI198" i="17"/>
  <c r="AH198" i="17"/>
  <c r="AG198" i="17"/>
  <c r="AF198" i="17"/>
  <c r="AE198" i="17"/>
  <c r="AD198" i="17"/>
  <c r="AC198" i="17"/>
  <c r="AB198" i="17"/>
  <c r="AA198" i="17"/>
  <c r="Z198" i="17"/>
  <c r="Y198" i="17"/>
  <c r="X198" i="17"/>
  <c r="W198" i="17"/>
  <c r="V198" i="17"/>
  <c r="U198" i="17"/>
  <c r="T198" i="17"/>
  <c r="S198" i="17"/>
  <c r="R198" i="17"/>
  <c r="Q198" i="17"/>
  <c r="P198" i="17"/>
  <c r="O198" i="17"/>
  <c r="N198" i="17"/>
  <c r="M198" i="17"/>
  <c r="L198" i="17"/>
  <c r="K198" i="17"/>
  <c r="J198" i="17"/>
  <c r="I198" i="17"/>
  <c r="H198" i="17"/>
  <c r="G198" i="17"/>
  <c r="F198" i="17"/>
  <c r="AI197" i="17"/>
  <c r="AH197" i="17"/>
  <c r="AG197" i="17"/>
  <c r="AF197" i="17"/>
  <c r="AE197" i="17"/>
  <c r="AD197" i="17"/>
  <c r="AC197" i="17"/>
  <c r="AB197" i="17"/>
  <c r="AA197" i="17"/>
  <c r="Z197" i="17"/>
  <c r="Y197" i="17"/>
  <c r="X197" i="17"/>
  <c r="W197" i="17"/>
  <c r="V197" i="17"/>
  <c r="U197" i="17"/>
  <c r="T197" i="17"/>
  <c r="S197" i="17"/>
  <c r="R197" i="17"/>
  <c r="Q197" i="17"/>
  <c r="P197" i="17"/>
  <c r="O197" i="17"/>
  <c r="N197" i="17"/>
  <c r="M197" i="17"/>
  <c r="L197" i="17"/>
  <c r="K197" i="17"/>
  <c r="J197" i="17"/>
  <c r="I197" i="17"/>
  <c r="H197" i="17"/>
  <c r="G197" i="17"/>
  <c r="F197" i="17"/>
  <c r="AI196" i="17"/>
  <c r="AH196" i="17"/>
  <c r="AG196" i="17"/>
  <c r="AF196" i="17"/>
  <c r="AE196" i="17"/>
  <c r="AD196" i="17"/>
  <c r="AC196" i="17"/>
  <c r="AB196" i="17"/>
  <c r="AA196" i="17"/>
  <c r="Z196" i="17"/>
  <c r="Y196" i="17"/>
  <c r="X196" i="17"/>
  <c r="W196" i="17"/>
  <c r="V196" i="17"/>
  <c r="U196" i="17"/>
  <c r="T196" i="17"/>
  <c r="S196" i="17"/>
  <c r="R196" i="17"/>
  <c r="Q196" i="17"/>
  <c r="P196" i="17"/>
  <c r="O196" i="17"/>
  <c r="N196" i="17"/>
  <c r="M196" i="17"/>
  <c r="L196" i="17"/>
  <c r="K196" i="17"/>
  <c r="J196" i="17"/>
  <c r="I196" i="17"/>
  <c r="H196" i="17"/>
  <c r="G196" i="17"/>
  <c r="F196" i="17"/>
  <c r="AI195" i="17"/>
  <c r="AH195" i="17"/>
  <c r="AG195" i="17"/>
  <c r="AF195" i="17"/>
  <c r="AE195" i="17"/>
  <c r="AD195" i="17"/>
  <c r="AC195" i="17"/>
  <c r="AB195" i="17"/>
  <c r="AA195" i="17"/>
  <c r="Z195" i="17"/>
  <c r="Y195" i="17"/>
  <c r="X195" i="17"/>
  <c r="W195" i="17"/>
  <c r="V195" i="17"/>
  <c r="U195" i="17"/>
  <c r="T195" i="17"/>
  <c r="S195" i="17"/>
  <c r="R195" i="17"/>
  <c r="Q195" i="17"/>
  <c r="P195" i="17"/>
  <c r="O195" i="17"/>
  <c r="N195" i="17"/>
  <c r="M195" i="17"/>
  <c r="L195" i="17"/>
  <c r="K195" i="17"/>
  <c r="J195" i="17"/>
  <c r="I195" i="17"/>
  <c r="H195" i="17"/>
  <c r="G195" i="17"/>
  <c r="F195" i="17"/>
  <c r="AI194" i="17"/>
  <c r="AH194" i="17"/>
  <c r="AG194" i="17"/>
  <c r="AF194" i="17"/>
  <c r="AE194" i="17"/>
  <c r="AD194" i="17"/>
  <c r="AC194" i="17"/>
  <c r="AB194" i="17"/>
  <c r="AA194" i="17"/>
  <c r="Z194" i="17"/>
  <c r="Y194" i="17"/>
  <c r="X194" i="17"/>
  <c r="W194" i="17"/>
  <c r="V194" i="17"/>
  <c r="U194" i="17"/>
  <c r="T194" i="17"/>
  <c r="S194" i="17"/>
  <c r="R194" i="17"/>
  <c r="Q194" i="17"/>
  <c r="P194" i="17"/>
  <c r="O194" i="17"/>
  <c r="N194" i="17"/>
  <c r="M194" i="17"/>
  <c r="L194" i="17"/>
  <c r="K194" i="17"/>
  <c r="J194" i="17"/>
  <c r="I194" i="17"/>
  <c r="H194" i="17"/>
  <c r="G194" i="17"/>
  <c r="F194" i="17"/>
  <c r="AI193" i="17"/>
  <c r="AH193" i="17"/>
  <c r="AG193" i="17"/>
  <c r="AF193" i="17"/>
  <c r="AE193" i="17"/>
  <c r="AD193" i="17"/>
  <c r="AC193" i="17"/>
  <c r="AB193" i="17"/>
  <c r="AA193" i="17"/>
  <c r="Z193" i="17"/>
  <c r="Y193" i="17"/>
  <c r="X193" i="17"/>
  <c r="W193" i="17"/>
  <c r="V193" i="17"/>
  <c r="U193" i="17"/>
  <c r="T193" i="17"/>
  <c r="S193" i="17"/>
  <c r="R193" i="17"/>
  <c r="Q193" i="17"/>
  <c r="P193" i="17"/>
  <c r="O193" i="17"/>
  <c r="N193" i="17"/>
  <c r="M193" i="17"/>
  <c r="L193" i="17"/>
  <c r="K193" i="17"/>
  <c r="J193" i="17"/>
  <c r="I193" i="17"/>
  <c r="H193" i="17"/>
  <c r="G193" i="17"/>
  <c r="F193" i="17"/>
  <c r="AI192" i="17"/>
  <c r="AH192" i="17"/>
  <c r="AG192" i="17"/>
  <c r="AF192" i="17"/>
  <c r="AE192" i="17"/>
  <c r="AD192" i="17"/>
  <c r="AC192" i="17"/>
  <c r="AB192" i="17"/>
  <c r="AA192" i="17"/>
  <c r="Z192" i="17"/>
  <c r="Y192" i="17"/>
  <c r="X192" i="17"/>
  <c r="W192" i="17"/>
  <c r="V192" i="17"/>
  <c r="U192" i="17"/>
  <c r="T192" i="17"/>
  <c r="S192" i="17"/>
  <c r="R192" i="17"/>
  <c r="Q192" i="17"/>
  <c r="P192" i="17"/>
  <c r="O192" i="17"/>
  <c r="N192" i="17"/>
  <c r="M192" i="17"/>
  <c r="L192" i="17"/>
  <c r="K192" i="17"/>
  <c r="J192" i="17"/>
  <c r="I192" i="17"/>
  <c r="H192" i="17"/>
  <c r="G192" i="17"/>
  <c r="F192" i="17"/>
  <c r="AI191" i="17"/>
  <c r="AH191" i="17"/>
  <c r="AG191" i="17"/>
  <c r="AF191" i="17"/>
  <c r="AE191" i="17"/>
  <c r="AD191" i="17"/>
  <c r="AC191" i="17"/>
  <c r="AB191" i="17"/>
  <c r="AA191" i="17"/>
  <c r="Z191" i="17"/>
  <c r="Y191" i="17"/>
  <c r="X191" i="17"/>
  <c r="W191" i="17"/>
  <c r="V191" i="17"/>
  <c r="U191" i="17"/>
  <c r="T191" i="17"/>
  <c r="S191" i="17"/>
  <c r="R191" i="17"/>
  <c r="Q191" i="17"/>
  <c r="P191" i="17"/>
  <c r="O191" i="17"/>
  <c r="N191" i="17"/>
  <c r="M191" i="17"/>
  <c r="L191" i="17"/>
  <c r="K191" i="17"/>
  <c r="J191" i="17"/>
  <c r="I191" i="17"/>
  <c r="H191" i="17"/>
  <c r="G191" i="17"/>
  <c r="F191" i="17"/>
  <c r="AI190" i="17"/>
  <c r="AH190" i="17"/>
  <c r="AG190" i="17"/>
  <c r="AF190" i="17"/>
  <c r="AE190" i="17"/>
  <c r="AD190" i="17"/>
  <c r="AC190" i="17"/>
  <c r="AB190" i="17"/>
  <c r="AA190" i="17"/>
  <c r="Z190" i="17"/>
  <c r="Y190" i="17"/>
  <c r="X190" i="17"/>
  <c r="W190" i="17"/>
  <c r="V190" i="17"/>
  <c r="U190" i="17"/>
  <c r="T190" i="17"/>
  <c r="S190" i="17"/>
  <c r="R190" i="17"/>
  <c r="Q190" i="17"/>
  <c r="P190" i="17"/>
  <c r="O190" i="17"/>
  <c r="N190" i="17"/>
  <c r="M190" i="17"/>
  <c r="L190" i="17"/>
  <c r="K190" i="17"/>
  <c r="J190" i="17"/>
  <c r="I190" i="17"/>
  <c r="H190" i="17"/>
  <c r="G190" i="17"/>
  <c r="F190" i="17"/>
  <c r="AI189" i="17"/>
  <c r="AH189" i="17"/>
  <c r="AG189" i="17"/>
  <c r="AF189" i="17"/>
  <c r="AE189" i="17"/>
  <c r="AD189" i="17"/>
  <c r="AC189" i="17"/>
  <c r="AB189" i="17"/>
  <c r="AA189" i="17"/>
  <c r="Z189" i="17"/>
  <c r="Y189" i="17"/>
  <c r="X189" i="17"/>
  <c r="W189" i="17"/>
  <c r="V189" i="17"/>
  <c r="U189" i="17"/>
  <c r="T189" i="17"/>
  <c r="S189" i="17"/>
  <c r="R189" i="17"/>
  <c r="Q189" i="17"/>
  <c r="P189" i="17"/>
  <c r="O189" i="17"/>
  <c r="N189" i="17"/>
  <c r="M189" i="17"/>
  <c r="L189" i="17"/>
  <c r="K189" i="17"/>
  <c r="J189" i="17"/>
  <c r="I189" i="17"/>
  <c r="H189" i="17"/>
  <c r="G189" i="17"/>
  <c r="F189" i="17"/>
  <c r="AI188" i="17"/>
  <c r="AH188" i="17"/>
  <c r="AG188" i="17"/>
  <c r="AF188" i="17"/>
  <c r="AE188" i="17"/>
  <c r="AD188" i="17"/>
  <c r="AC188" i="17"/>
  <c r="AB188" i="17"/>
  <c r="AA188" i="17"/>
  <c r="Z188" i="17"/>
  <c r="Y188" i="17"/>
  <c r="X188" i="17"/>
  <c r="W188" i="17"/>
  <c r="V188" i="17"/>
  <c r="U188" i="17"/>
  <c r="T188" i="17"/>
  <c r="S188" i="17"/>
  <c r="R188" i="17"/>
  <c r="Q188" i="17"/>
  <c r="P188" i="17"/>
  <c r="O188" i="17"/>
  <c r="N188" i="17"/>
  <c r="M188" i="17"/>
  <c r="L188" i="17"/>
  <c r="K188" i="17"/>
  <c r="J188" i="17"/>
  <c r="I188" i="17"/>
  <c r="H188" i="17"/>
  <c r="G188" i="17"/>
  <c r="F188" i="17"/>
  <c r="AI187" i="17"/>
  <c r="AH187" i="17"/>
  <c r="AG187" i="17"/>
  <c r="AF187" i="17"/>
  <c r="AE187" i="17"/>
  <c r="AD187" i="17"/>
  <c r="AC187" i="17"/>
  <c r="AB187" i="17"/>
  <c r="AA187" i="17"/>
  <c r="Z187" i="17"/>
  <c r="Y187" i="17"/>
  <c r="X187" i="17"/>
  <c r="W187" i="17"/>
  <c r="V187" i="17"/>
  <c r="U187" i="17"/>
  <c r="T187" i="17"/>
  <c r="S187" i="17"/>
  <c r="R187" i="17"/>
  <c r="Q187" i="17"/>
  <c r="P187" i="17"/>
  <c r="O187" i="17"/>
  <c r="N187" i="17"/>
  <c r="M187" i="17"/>
  <c r="L187" i="17"/>
  <c r="K187" i="17"/>
  <c r="J187" i="17"/>
  <c r="I187" i="17"/>
  <c r="H187" i="17"/>
  <c r="G187" i="17"/>
  <c r="F187" i="17"/>
  <c r="AI186" i="17"/>
  <c r="AH186" i="17"/>
  <c r="AG186" i="17"/>
  <c r="AF186" i="17"/>
  <c r="AE186" i="17"/>
  <c r="AD186" i="17"/>
  <c r="AC186" i="17"/>
  <c r="AB186" i="17"/>
  <c r="AA186" i="17"/>
  <c r="Z186" i="17"/>
  <c r="Y186" i="17"/>
  <c r="X186" i="17"/>
  <c r="W186" i="17"/>
  <c r="V186" i="17"/>
  <c r="U186" i="17"/>
  <c r="T186" i="17"/>
  <c r="S186" i="17"/>
  <c r="R186" i="17"/>
  <c r="Q186" i="17"/>
  <c r="P186" i="17"/>
  <c r="O186" i="17"/>
  <c r="N186" i="17"/>
  <c r="M186" i="17"/>
  <c r="L186" i="17"/>
  <c r="K186" i="17"/>
  <c r="J186" i="17"/>
  <c r="I186" i="17"/>
  <c r="H186" i="17"/>
  <c r="G186" i="17"/>
  <c r="F186" i="17"/>
  <c r="AI185" i="17"/>
  <c r="AH185" i="17"/>
  <c r="AG185" i="17"/>
  <c r="AF185" i="17"/>
  <c r="AE185" i="17"/>
  <c r="AD185" i="17"/>
  <c r="AC185" i="17"/>
  <c r="AB185" i="17"/>
  <c r="AA185" i="17"/>
  <c r="Z185" i="17"/>
  <c r="Y185" i="17"/>
  <c r="X185" i="17"/>
  <c r="W185" i="17"/>
  <c r="V185" i="17"/>
  <c r="U185" i="17"/>
  <c r="T185" i="17"/>
  <c r="S185" i="17"/>
  <c r="R185" i="17"/>
  <c r="Q185" i="17"/>
  <c r="P185" i="17"/>
  <c r="O185" i="17"/>
  <c r="N185" i="17"/>
  <c r="M185" i="17"/>
  <c r="L185" i="17"/>
  <c r="K185" i="17"/>
  <c r="J185" i="17"/>
  <c r="I185" i="17"/>
  <c r="H185" i="17"/>
  <c r="G185" i="17"/>
  <c r="F185" i="17"/>
  <c r="AI184" i="17"/>
  <c r="AH184" i="17"/>
  <c r="AG184" i="17"/>
  <c r="AF184" i="17"/>
  <c r="AE184" i="17"/>
  <c r="AD184" i="17"/>
  <c r="AC184" i="17"/>
  <c r="AB184" i="17"/>
  <c r="AA184" i="17"/>
  <c r="Z184" i="17"/>
  <c r="Y184" i="17"/>
  <c r="X184" i="17"/>
  <c r="W184" i="17"/>
  <c r="V184" i="17"/>
  <c r="U184" i="17"/>
  <c r="T184" i="17"/>
  <c r="S184" i="17"/>
  <c r="R184" i="17"/>
  <c r="Q184" i="17"/>
  <c r="P184" i="17"/>
  <c r="O184" i="17"/>
  <c r="N184" i="17"/>
  <c r="M184" i="17"/>
  <c r="L184" i="17"/>
  <c r="K184" i="17"/>
  <c r="J184" i="17"/>
  <c r="I184" i="17"/>
  <c r="H184" i="17"/>
  <c r="G184" i="17"/>
  <c r="F184" i="17"/>
  <c r="AI183" i="17"/>
  <c r="AH183" i="17"/>
  <c r="AG183" i="17"/>
  <c r="AF183" i="17"/>
  <c r="AE183" i="17"/>
  <c r="AD183" i="17"/>
  <c r="AC183" i="17"/>
  <c r="AB183" i="17"/>
  <c r="AA183" i="17"/>
  <c r="Z183" i="17"/>
  <c r="Y183" i="17"/>
  <c r="X183" i="17"/>
  <c r="W183" i="17"/>
  <c r="V183" i="17"/>
  <c r="U183" i="17"/>
  <c r="T183" i="17"/>
  <c r="S183" i="17"/>
  <c r="R183" i="17"/>
  <c r="Q183" i="17"/>
  <c r="P183" i="17"/>
  <c r="O183" i="17"/>
  <c r="N183" i="17"/>
  <c r="M183" i="17"/>
  <c r="L183" i="17"/>
  <c r="K183" i="17"/>
  <c r="J183" i="17"/>
  <c r="I183" i="17"/>
  <c r="H183" i="17"/>
  <c r="G183" i="17"/>
  <c r="F183" i="17"/>
  <c r="AI182" i="17"/>
  <c r="AH182" i="17"/>
  <c r="AG182" i="17"/>
  <c r="AF182" i="17"/>
  <c r="AE182" i="17"/>
  <c r="AD182" i="17"/>
  <c r="AC182" i="17"/>
  <c r="AB182" i="17"/>
  <c r="AA182" i="17"/>
  <c r="Z182" i="17"/>
  <c r="Y182" i="17"/>
  <c r="X182" i="17"/>
  <c r="W182" i="17"/>
  <c r="V182" i="17"/>
  <c r="U182" i="17"/>
  <c r="T182" i="17"/>
  <c r="S182" i="17"/>
  <c r="R182" i="17"/>
  <c r="Q182" i="17"/>
  <c r="P182" i="17"/>
  <c r="O182" i="17"/>
  <c r="N182" i="17"/>
  <c r="M182" i="17"/>
  <c r="L182" i="17"/>
  <c r="K182" i="17"/>
  <c r="J182" i="17"/>
  <c r="I182" i="17"/>
  <c r="H182" i="17"/>
  <c r="G182" i="17"/>
  <c r="F182" i="17"/>
  <c r="AI181" i="17"/>
  <c r="AH181" i="17"/>
  <c r="AG181" i="17"/>
  <c r="AF181" i="17"/>
  <c r="AE181" i="17"/>
  <c r="AD181" i="17"/>
  <c r="AC181" i="17"/>
  <c r="AB181" i="17"/>
  <c r="AA181" i="17"/>
  <c r="Z181" i="17"/>
  <c r="Y181" i="17"/>
  <c r="X181" i="17"/>
  <c r="W181" i="17"/>
  <c r="V181" i="17"/>
  <c r="U181" i="17"/>
  <c r="T181" i="17"/>
  <c r="S181" i="17"/>
  <c r="R181" i="17"/>
  <c r="Q181" i="17"/>
  <c r="P181" i="17"/>
  <c r="O181" i="17"/>
  <c r="N181" i="17"/>
  <c r="M181" i="17"/>
  <c r="L181" i="17"/>
  <c r="K181" i="17"/>
  <c r="J181" i="17"/>
  <c r="I181" i="17"/>
  <c r="H181" i="17"/>
  <c r="G181" i="17"/>
  <c r="F181" i="17"/>
  <c r="AI180" i="17"/>
  <c r="AH180" i="17"/>
  <c r="AG180" i="17"/>
  <c r="AF180" i="17"/>
  <c r="AE180" i="17"/>
  <c r="AD180" i="17"/>
  <c r="AC180" i="17"/>
  <c r="AB180" i="17"/>
  <c r="AA180" i="17"/>
  <c r="Z180" i="17"/>
  <c r="Y180" i="17"/>
  <c r="X180" i="17"/>
  <c r="W180" i="17"/>
  <c r="V180" i="17"/>
  <c r="U180" i="17"/>
  <c r="T180" i="17"/>
  <c r="S180" i="17"/>
  <c r="R180" i="17"/>
  <c r="Q180" i="17"/>
  <c r="P180" i="17"/>
  <c r="O180" i="17"/>
  <c r="N180" i="17"/>
  <c r="M180" i="17"/>
  <c r="L180" i="17"/>
  <c r="K180" i="17"/>
  <c r="J180" i="17"/>
  <c r="I180" i="17"/>
  <c r="H180" i="17"/>
  <c r="G180" i="17"/>
  <c r="F180" i="17"/>
  <c r="AI179" i="17"/>
  <c r="AH179" i="17"/>
  <c r="AG179" i="17"/>
  <c r="AF179" i="17"/>
  <c r="AE179" i="17"/>
  <c r="AD179" i="17"/>
  <c r="AC179" i="17"/>
  <c r="AB179" i="17"/>
  <c r="AA179" i="17"/>
  <c r="Z179" i="17"/>
  <c r="Y179" i="17"/>
  <c r="X179" i="17"/>
  <c r="W179" i="17"/>
  <c r="V179" i="17"/>
  <c r="U179" i="17"/>
  <c r="T179" i="17"/>
  <c r="S179" i="17"/>
  <c r="R179" i="17"/>
  <c r="Q179" i="17"/>
  <c r="P179" i="17"/>
  <c r="O179" i="17"/>
  <c r="N179" i="17"/>
  <c r="M179" i="17"/>
  <c r="L179" i="17"/>
  <c r="K179" i="17"/>
  <c r="J179" i="17"/>
  <c r="I179" i="17"/>
  <c r="H179" i="17"/>
  <c r="G179" i="17"/>
  <c r="F179" i="17"/>
  <c r="AI178" i="17"/>
  <c r="AH178" i="17"/>
  <c r="AG178" i="17"/>
  <c r="AF178" i="17"/>
  <c r="AE178" i="17"/>
  <c r="AD178" i="17"/>
  <c r="AC178" i="17"/>
  <c r="AB178" i="17"/>
  <c r="AA178" i="17"/>
  <c r="Z178" i="17"/>
  <c r="Y178" i="17"/>
  <c r="X178" i="17"/>
  <c r="W178" i="17"/>
  <c r="V178" i="17"/>
  <c r="U178" i="17"/>
  <c r="T178" i="17"/>
  <c r="S178" i="17"/>
  <c r="R178" i="17"/>
  <c r="Q178" i="17"/>
  <c r="P178" i="17"/>
  <c r="O178" i="17"/>
  <c r="N178" i="17"/>
  <c r="M178" i="17"/>
  <c r="L178" i="17"/>
  <c r="K178" i="17"/>
  <c r="J178" i="17"/>
  <c r="I178" i="17"/>
  <c r="H178" i="17"/>
  <c r="G178" i="17"/>
  <c r="F178" i="17"/>
  <c r="AI177" i="17"/>
  <c r="AH177" i="17"/>
  <c r="AG177" i="17"/>
  <c r="AF177" i="17"/>
  <c r="AE177" i="17"/>
  <c r="AD177" i="17"/>
  <c r="AC177" i="17"/>
  <c r="AB177" i="17"/>
  <c r="AA177" i="17"/>
  <c r="Z177" i="17"/>
  <c r="Y177" i="17"/>
  <c r="X177" i="17"/>
  <c r="W177" i="17"/>
  <c r="V177" i="17"/>
  <c r="U177" i="17"/>
  <c r="T177" i="17"/>
  <c r="S177" i="17"/>
  <c r="R177" i="17"/>
  <c r="Q177" i="17"/>
  <c r="P177" i="17"/>
  <c r="O177" i="17"/>
  <c r="N177" i="17"/>
  <c r="M177" i="17"/>
  <c r="L177" i="17"/>
  <c r="K177" i="17"/>
  <c r="J177" i="17"/>
  <c r="I177" i="17"/>
  <c r="H177" i="17"/>
  <c r="G177" i="17"/>
  <c r="F177" i="17"/>
  <c r="AI176" i="17"/>
  <c r="AH176" i="17"/>
  <c r="AG176" i="17"/>
  <c r="AF176" i="17"/>
  <c r="AE176" i="17"/>
  <c r="AD176" i="17"/>
  <c r="AC176" i="17"/>
  <c r="AB176" i="17"/>
  <c r="AA176" i="17"/>
  <c r="Z176" i="17"/>
  <c r="Y176" i="17"/>
  <c r="X176" i="17"/>
  <c r="W176" i="17"/>
  <c r="V176" i="17"/>
  <c r="U176" i="17"/>
  <c r="T176" i="17"/>
  <c r="S176" i="17"/>
  <c r="R176" i="17"/>
  <c r="Q176" i="17"/>
  <c r="P176" i="17"/>
  <c r="O176" i="17"/>
  <c r="N176" i="17"/>
  <c r="M176" i="17"/>
  <c r="L176" i="17"/>
  <c r="K176" i="17"/>
  <c r="J176" i="17"/>
  <c r="I176" i="17"/>
  <c r="H176" i="17"/>
  <c r="G176" i="17"/>
  <c r="F176" i="17"/>
  <c r="AI175" i="17"/>
  <c r="AH175" i="17"/>
  <c r="AG175" i="17"/>
  <c r="AF175" i="17"/>
  <c r="AE175" i="17"/>
  <c r="AD175" i="17"/>
  <c r="AC175" i="17"/>
  <c r="AB175" i="17"/>
  <c r="AA175" i="17"/>
  <c r="Z175" i="17"/>
  <c r="Y175" i="17"/>
  <c r="X175" i="17"/>
  <c r="W175" i="17"/>
  <c r="V175" i="17"/>
  <c r="U175" i="17"/>
  <c r="T175" i="17"/>
  <c r="S175" i="17"/>
  <c r="R175" i="17"/>
  <c r="Q175" i="17"/>
  <c r="P175" i="17"/>
  <c r="O175" i="17"/>
  <c r="N175" i="17"/>
  <c r="M175" i="17"/>
  <c r="L175" i="17"/>
  <c r="K175" i="17"/>
  <c r="J175" i="17"/>
  <c r="I175" i="17"/>
  <c r="H175" i="17"/>
  <c r="G175" i="17"/>
  <c r="F175" i="17"/>
  <c r="AI170" i="17"/>
  <c r="AH170" i="17"/>
  <c r="AG170" i="17"/>
  <c r="AF170" i="17"/>
  <c r="AE170" i="17"/>
  <c r="AD170" i="17"/>
  <c r="AC170" i="17"/>
  <c r="AB170" i="17"/>
  <c r="AA170" i="17"/>
  <c r="Z170" i="17"/>
  <c r="Y170" i="17"/>
  <c r="X170" i="17"/>
  <c r="W170" i="17"/>
  <c r="V170" i="17"/>
  <c r="U170" i="17"/>
  <c r="T170" i="17"/>
  <c r="S170" i="17"/>
  <c r="R170" i="17"/>
  <c r="Q170" i="17"/>
  <c r="P170" i="17"/>
  <c r="O170" i="17"/>
  <c r="N170" i="17"/>
  <c r="M170" i="17"/>
  <c r="L170" i="17"/>
  <c r="K170" i="17"/>
  <c r="J170" i="17"/>
  <c r="I170" i="17"/>
  <c r="H170" i="17"/>
  <c r="G170" i="17"/>
  <c r="F170" i="17"/>
  <c r="AI169" i="17"/>
  <c r="AH169" i="17"/>
  <c r="AG169" i="17"/>
  <c r="AF169" i="17"/>
  <c r="AE169" i="17"/>
  <c r="AD169" i="17"/>
  <c r="AC169" i="17"/>
  <c r="AB169" i="17"/>
  <c r="AA169" i="17"/>
  <c r="Z169" i="17"/>
  <c r="Y169" i="17"/>
  <c r="X169" i="17"/>
  <c r="W169" i="17"/>
  <c r="V169" i="17"/>
  <c r="U169" i="17"/>
  <c r="T169" i="17"/>
  <c r="S169" i="17"/>
  <c r="R169" i="17"/>
  <c r="Q169" i="17"/>
  <c r="P169" i="17"/>
  <c r="O169" i="17"/>
  <c r="N169" i="17"/>
  <c r="M169" i="17"/>
  <c r="L169" i="17"/>
  <c r="K169" i="17"/>
  <c r="J169" i="17"/>
  <c r="I169" i="17"/>
  <c r="H169" i="17"/>
  <c r="G169" i="17"/>
  <c r="F169" i="17"/>
  <c r="AI168" i="17"/>
  <c r="AH168" i="17"/>
  <c r="AG168" i="17"/>
  <c r="AF168" i="17"/>
  <c r="AE168" i="17"/>
  <c r="AD168" i="17"/>
  <c r="AC168" i="17"/>
  <c r="AB168" i="17"/>
  <c r="AA168" i="17"/>
  <c r="Z168" i="17"/>
  <c r="Y168" i="17"/>
  <c r="X168" i="17"/>
  <c r="W168" i="17"/>
  <c r="V168" i="17"/>
  <c r="U168" i="17"/>
  <c r="T168" i="17"/>
  <c r="S168" i="17"/>
  <c r="R168" i="17"/>
  <c r="Q168" i="17"/>
  <c r="P168" i="17"/>
  <c r="O168" i="17"/>
  <c r="N168" i="17"/>
  <c r="M168" i="17"/>
  <c r="L168" i="17"/>
  <c r="K168" i="17"/>
  <c r="J168" i="17"/>
  <c r="I168" i="17"/>
  <c r="H168" i="17"/>
  <c r="G168" i="17"/>
  <c r="F168" i="17"/>
  <c r="AI167" i="17"/>
  <c r="AH167" i="17"/>
  <c r="AG167" i="17"/>
  <c r="AF167" i="17"/>
  <c r="AE167" i="17"/>
  <c r="AD167" i="17"/>
  <c r="AC167" i="17"/>
  <c r="AB167" i="17"/>
  <c r="AA167" i="17"/>
  <c r="Z167" i="17"/>
  <c r="Y167" i="17"/>
  <c r="X167" i="17"/>
  <c r="W167" i="17"/>
  <c r="V167" i="17"/>
  <c r="U167" i="17"/>
  <c r="T167" i="17"/>
  <c r="S167" i="17"/>
  <c r="R167" i="17"/>
  <c r="Q167" i="17"/>
  <c r="P167" i="17"/>
  <c r="O167" i="17"/>
  <c r="N167" i="17"/>
  <c r="M167" i="17"/>
  <c r="L167" i="17"/>
  <c r="K167" i="17"/>
  <c r="J167" i="17"/>
  <c r="I167" i="17"/>
  <c r="H167" i="17"/>
  <c r="G167" i="17"/>
  <c r="F167" i="17"/>
  <c r="AI166" i="17"/>
  <c r="AH166" i="17"/>
  <c r="AG166" i="17"/>
  <c r="AF166" i="17"/>
  <c r="AE166" i="17"/>
  <c r="AD166" i="17"/>
  <c r="AC166" i="17"/>
  <c r="AB166" i="17"/>
  <c r="AA166" i="17"/>
  <c r="Z166" i="17"/>
  <c r="Y166" i="17"/>
  <c r="X166" i="17"/>
  <c r="W166" i="17"/>
  <c r="V166" i="17"/>
  <c r="U166" i="17"/>
  <c r="T166" i="17"/>
  <c r="S166" i="17"/>
  <c r="R166" i="17"/>
  <c r="Q166" i="17"/>
  <c r="P166" i="17"/>
  <c r="O166" i="17"/>
  <c r="N166" i="17"/>
  <c r="M166" i="17"/>
  <c r="L166" i="17"/>
  <c r="K166" i="17"/>
  <c r="J166" i="17"/>
  <c r="I166" i="17"/>
  <c r="H166" i="17"/>
  <c r="G166" i="17"/>
  <c r="F166" i="17"/>
  <c r="AI165" i="17"/>
  <c r="AH165" i="17"/>
  <c r="AG165" i="17"/>
  <c r="AF165" i="17"/>
  <c r="AE165" i="17"/>
  <c r="AD165" i="17"/>
  <c r="AC165" i="17"/>
  <c r="AB165" i="17"/>
  <c r="AA165" i="17"/>
  <c r="Z165" i="17"/>
  <c r="Y165" i="17"/>
  <c r="X165" i="17"/>
  <c r="W165" i="17"/>
  <c r="V165" i="17"/>
  <c r="U165" i="17"/>
  <c r="T165" i="17"/>
  <c r="S165" i="17"/>
  <c r="R165" i="17"/>
  <c r="Q165" i="17"/>
  <c r="P165" i="17"/>
  <c r="O165" i="17"/>
  <c r="N165" i="17"/>
  <c r="M165" i="17"/>
  <c r="L165" i="17"/>
  <c r="K165" i="17"/>
  <c r="J165" i="17"/>
  <c r="I165" i="17"/>
  <c r="H165" i="17"/>
  <c r="G165" i="17"/>
  <c r="F165" i="17"/>
  <c r="AI164" i="17"/>
  <c r="AH164" i="17"/>
  <c r="AG164" i="17"/>
  <c r="AF164" i="17"/>
  <c r="AE164" i="17"/>
  <c r="AD164" i="17"/>
  <c r="AC164" i="17"/>
  <c r="AB164" i="17"/>
  <c r="AA164" i="17"/>
  <c r="Z164" i="17"/>
  <c r="Y164" i="17"/>
  <c r="X164" i="17"/>
  <c r="W164" i="17"/>
  <c r="V164" i="17"/>
  <c r="U164" i="17"/>
  <c r="T164" i="17"/>
  <c r="S164" i="17"/>
  <c r="R164" i="17"/>
  <c r="Q164" i="17"/>
  <c r="P164" i="17"/>
  <c r="O164" i="17"/>
  <c r="N164" i="17"/>
  <c r="M164" i="17"/>
  <c r="L164" i="17"/>
  <c r="K164" i="17"/>
  <c r="J164" i="17"/>
  <c r="I164" i="17"/>
  <c r="H164" i="17"/>
  <c r="G164" i="17"/>
  <c r="F164" i="17"/>
  <c r="AI163" i="17"/>
  <c r="AH163" i="17"/>
  <c r="AG163" i="17"/>
  <c r="AF163" i="17"/>
  <c r="AE163" i="17"/>
  <c r="AD163" i="17"/>
  <c r="AC163" i="17"/>
  <c r="AB163" i="17"/>
  <c r="AA163" i="17"/>
  <c r="Z163" i="17"/>
  <c r="Y163" i="17"/>
  <c r="X163" i="17"/>
  <c r="W163" i="17"/>
  <c r="V163" i="17"/>
  <c r="U163" i="17"/>
  <c r="T163" i="17"/>
  <c r="S163" i="17"/>
  <c r="R163" i="17"/>
  <c r="Q163" i="17"/>
  <c r="P163" i="17"/>
  <c r="O163" i="17"/>
  <c r="N163" i="17"/>
  <c r="M163" i="17"/>
  <c r="L163" i="17"/>
  <c r="K163" i="17"/>
  <c r="J163" i="17"/>
  <c r="I163" i="17"/>
  <c r="H163" i="17"/>
  <c r="G163" i="17"/>
  <c r="F163" i="17"/>
  <c r="AI162" i="17"/>
  <c r="AH162" i="17"/>
  <c r="AG162" i="17"/>
  <c r="AF162" i="17"/>
  <c r="AE162" i="17"/>
  <c r="AD162" i="17"/>
  <c r="AC162" i="17"/>
  <c r="AB162" i="17"/>
  <c r="AA162" i="17"/>
  <c r="Z162" i="17"/>
  <c r="Y162" i="17"/>
  <c r="X162" i="17"/>
  <c r="W162" i="17"/>
  <c r="V162" i="17"/>
  <c r="U162" i="17"/>
  <c r="T162" i="17"/>
  <c r="S162" i="17"/>
  <c r="R162" i="17"/>
  <c r="Q162" i="17"/>
  <c r="P162" i="17"/>
  <c r="O162" i="17"/>
  <c r="N162" i="17"/>
  <c r="M162" i="17"/>
  <c r="L162" i="17"/>
  <c r="K162" i="17"/>
  <c r="J162" i="17"/>
  <c r="I162" i="17"/>
  <c r="H162" i="17"/>
  <c r="G162" i="17"/>
  <c r="F162" i="17"/>
  <c r="AI161" i="17"/>
  <c r="AH161" i="17"/>
  <c r="AG161" i="17"/>
  <c r="AF161" i="17"/>
  <c r="AE161" i="17"/>
  <c r="AD161" i="17"/>
  <c r="AC161" i="17"/>
  <c r="AB161" i="17"/>
  <c r="AA161" i="17"/>
  <c r="Z161" i="17"/>
  <c r="Y161" i="17"/>
  <c r="X161" i="17"/>
  <c r="W161" i="17"/>
  <c r="V161" i="17"/>
  <c r="U161" i="17"/>
  <c r="T161" i="17"/>
  <c r="S161" i="17"/>
  <c r="R161" i="17"/>
  <c r="Q161" i="17"/>
  <c r="P161" i="17"/>
  <c r="O161" i="17"/>
  <c r="N161" i="17"/>
  <c r="M161" i="17"/>
  <c r="L161" i="17"/>
  <c r="K161" i="17"/>
  <c r="J161" i="17"/>
  <c r="I161" i="17"/>
  <c r="H161" i="17"/>
  <c r="G161" i="17"/>
  <c r="F161" i="17"/>
  <c r="AI160" i="17"/>
  <c r="AH160" i="17"/>
  <c r="AG160" i="17"/>
  <c r="AF160" i="17"/>
  <c r="AE160" i="17"/>
  <c r="AD160" i="17"/>
  <c r="AC160" i="17"/>
  <c r="AB160" i="17"/>
  <c r="AA160" i="17"/>
  <c r="Z160" i="17"/>
  <c r="Y160" i="17"/>
  <c r="X160" i="17"/>
  <c r="W160" i="17"/>
  <c r="V160" i="17"/>
  <c r="U160" i="17"/>
  <c r="T160" i="17"/>
  <c r="S160" i="17"/>
  <c r="R160" i="17"/>
  <c r="Q160" i="17"/>
  <c r="P160" i="17"/>
  <c r="O160" i="17"/>
  <c r="N160" i="17"/>
  <c r="M160" i="17"/>
  <c r="L160" i="17"/>
  <c r="K160" i="17"/>
  <c r="J160" i="17"/>
  <c r="I160" i="17"/>
  <c r="H160" i="17"/>
  <c r="G160" i="17"/>
  <c r="F160" i="17"/>
  <c r="AI159" i="17"/>
  <c r="AH159" i="17"/>
  <c r="AG159" i="17"/>
  <c r="AF159" i="17"/>
  <c r="AE159" i="17"/>
  <c r="AD159" i="17"/>
  <c r="AC159" i="17"/>
  <c r="AB159" i="17"/>
  <c r="AA159" i="17"/>
  <c r="Z159" i="17"/>
  <c r="Y159" i="17"/>
  <c r="X159" i="17"/>
  <c r="W159" i="17"/>
  <c r="V159" i="17"/>
  <c r="U159" i="17"/>
  <c r="T159" i="17"/>
  <c r="S159" i="17"/>
  <c r="R159" i="17"/>
  <c r="Q159" i="17"/>
  <c r="P159" i="17"/>
  <c r="O159" i="17"/>
  <c r="N159" i="17"/>
  <c r="M159" i="17"/>
  <c r="L159" i="17"/>
  <c r="K159" i="17"/>
  <c r="J159" i="17"/>
  <c r="I159" i="17"/>
  <c r="H159" i="17"/>
  <c r="G159" i="17"/>
  <c r="F159" i="17"/>
  <c r="AI158" i="17"/>
  <c r="AH158" i="17"/>
  <c r="AG158" i="17"/>
  <c r="AF158" i="17"/>
  <c r="AE158" i="17"/>
  <c r="AD158" i="17"/>
  <c r="AC158" i="17"/>
  <c r="AB158" i="17"/>
  <c r="AA158" i="17"/>
  <c r="Z158" i="17"/>
  <c r="Y158" i="17"/>
  <c r="X158" i="17"/>
  <c r="W158" i="17"/>
  <c r="V158" i="17"/>
  <c r="U158" i="17"/>
  <c r="T158" i="17"/>
  <c r="S158" i="17"/>
  <c r="R158" i="17"/>
  <c r="Q158" i="17"/>
  <c r="P158" i="17"/>
  <c r="O158" i="17"/>
  <c r="N158" i="17"/>
  <c r="M158" i="17"/>
  <c r="L158" i="17"/>
  <c r="K158" i="17"/>
  <c r="J158" i="17"/>
  <c r="I158" i="17"/>
  <c r="H158" i="17"/>
  <c r="G158" i="17"/>
  <c r="F158" i="17"/>
  <c r="AI157" i="17"/>
  <c r="AH157" i="17"/>
  <c r="AG157" i="17"/>
  <c r="AF157" i="17"/>
  <c r="AE157" i="17"/>
  <c r="AD157" i="17"/>
  <c r="AC157" i="17"/>
  <c r="AB157" i="17"/>
  <c r="AA157" i="17"/>
  <c r="Z157" i="17"/>
  <c r="Y157" i="17"/>
  <c r="X157" i="17"/>
  <c r="W157" i="17"/>
  <c r="V157" i="17"/>
  <c r="U157" i="17"/>
  <c r="T157" i="17"/>
  <c r="S157" i="17"/>
  <c r="R157" i="17"/>
  <c r="Q157" i="17"/>
  <c r="P157" i="17"/>
  <c r="O157" i="17"/>
  <c r="N157" i="17"/>
  <c r="M157" i="17"/>
  <c r="L157" i="17"/>
  <c r="K157" i="17"/>
  <c r="J157" i="17"/>
  <c r="I157" i="17"/>
  <c r="H157" i="17"/>
  <c r="G157" i="17"/>
  <c r="F157" i="17"/>
  <c r="AI156" i="17"/>
  <c r="AH156" i="17"/>
  <c r="AG156" i="17"/>
  <c r="AF156" i="17"/>
  <c r="AE156" i="17"/>
  <c r="AD156" i="17"/>
  <c r="AC156" i="17"/>
  <c r="AB156" i="17"/>
  <c r="AA156" i="17"/>
  <c r="Z156" i="17"/>
  <c r="Y156" i="17"/>
  <c r="X156" i="17"/>
  <c r="W156" i="17"/>
  <c r="V156" i="17"/>
  <c r="U156" i="17"/>
  <c r="T156" i="17"/>
  <c r="S156" i="17"/>
  <c r="R156" i="17"/>
  <c r="Q156" i="17"/>
  <c r="P156" i="17"/>
  <c r="O156" i="17"/>
  <c r="N156" i="17"/>
  <c r="M156" i="17"/>
  <c r="L156" i="17"/>
  <c r="K156" i="17"/>
  <c r="J156" i="17"/>
  <c r="I156" i="17"/>
  <c r="H156" i="17"/>
  <c r="G156" i="17"/>
  <c r="F156" i="17"/>
  <c r="AI155" i="17"/>
  <c r="AH155" i="17"/>
  <c r="AG155" i="17"/>
  <c r="AF155" i="17"/>
  <c r="AE155" i="17"/>
  <c r="AD155" i="17"/>
  <c r="AC155" i="17"/>
  <c r="AB155" i="17"/>
  <c r="AA155" i="17"/>
  <c r="Z155" i="17"/>
  <c r="Y155" i="17"/>
  <c r="X155" i="17"/>
  <c r="W155" i="17"/>
  <c r="V155" i="17"/>
  <c r="U155" i="17"/>
  <c r="T155" i="17"/>
  <c r="S155" i="17"/>
  <c r="R155" i="17"/>
  <c r="Q155" i="17"/>
  <c r="P155" i="17"/>
  <c r="O155" i="17"/>
  <c r="N155" i="17"/>
  <c r="M155" i="17"/>
  <c r="L155" i="17"/>
  <c r="K155" i="17"/>
  <c r="J155" i="17"/>
  <c r="I155" i="17"/>
  <c r="H155" i="17"/>
  <c r="G155" i="17"/>
  <c r="F155" i="17"/>
  <c r="AI154" i="17"/>
  <c r="AH154" i="17"/>
  <c r="AG154" i="17"/>
  <c r="AF154" i="17"/>
  <c r="AE154" i="17"/>
  <c r="AD154" i="17"/>
  <c r="AC154" i="17"/>
  <c r="AB154" i="17"/>
  <c r="AA154" i="17"/>
  <c r="Z154" i="17"/>
  <c r="Y154" i="17"/>
  <c r="X154" i="17"/>
  <c r="W154" i="17"/>
  <c r="V154" i="17"/>
  <c r="U154" i="17"/>
  <c r="T154" i="17"/>
  <c r="S154" i="17"/>
  <c r="R154" i="17"/>
  <c r="Q154" i="17"/>
  <c r="P154" i="17"/>
  <c r="O154" i="17"/>
  <c r="N154" i="17"/>
  <c r="M154" i="17"/>
  <c r="L154" i="17"/>
  <c r="K154" i="17"/>
  <c r="J154" i="17"/>
  <c r="I154" i="17"/>
  <c r="H154" i="17"/>
  <c r="G154" i="17"/>
  <c r="F154" i="17"/>
  <c r="AI153" i="17"/>
  <c r="AH153" i="17"/>
  <c r="AG153" i="17"/>
  <c r="AF153" i="17"/>
  <c r="AE153" i="17"/>
  <c r="AD153" i="17"/>
  <c r="AC153" i="17"/>
  <c r="AB153" i="17"/>
  <c r="AA153" i="17"/>
  <c r="Z153" i="17"/>
  <c r="Y153" i="17"/>
  <c r="X153" i="17"/>
  <c r="W153" i="17"/>
  <c r="V153" i="17"/>
  <c r="U153" i="17"/>
  <c r="T153" i="17"/>
  <c r="S153" i="17"/>
  <c r="R153" i="17"/>
  <c r="Q153" i="17"/>
  <c r="P153" i="17"/>
  <c r="O153" i="17"/>
  <c r="N153" i="17"/>
  <c r="M153" i="17"/>
  <c r="L153" i="17"/>
  <c r="K153" i="17"/>
  <c r="J153" i="17"/>
  <c r="I153" i="17"/>
  <c r="H153" i="17"/>
  <c r="G153" i="17"/>
  <c r="F153" i="17"/>
  <c r="AI152" i="17"/>
  <c r="AH152" i="17"/>
  <c r="AG152" i="17"/>
  <c r="AF152" i="17"/>
  <c r="AE152" i="17"/>
  <c r="AD152" i="17"/>
  <c r="AC152" i="17"/>
  <c r="AB152" i="17"/>
  <c r="AA152" i="17"/>
  <c r="Z152" i="17"/>
  <c r="Y152" i="17"/>
  <c r="X152" i="17"/>
  <c r="W152" i="17"/>
  <c r="V152" i="17"/>
  <c r="U152" i="17"/>
  <c r="T152" i="17"/>
  <c r="S152" i="17"/>
  <c r="R152" i="17"/>
  <c r="Q152" i="17"/>
  <c r="P152" i="17"/>
  <c r="O152" i="17"/>
  <c r="N152" i="17"/>
  <c r="M152" i="17"/>
  <c r="L152" i="17"/>
  <c r="K152" i="17"/>
  <c r="J152" i="17"/>
  <c r="I152" i="17"/>
  <c r="H152" i="17"/>
  <c r="G152" i="17"/>
  <c r="F152" i="17"/>
  <c r="AI151" i="17"/>
  <c r="AH151" i="17"/>
  <c r="AG151" i="17"/>
  <c r="AF151" i="17"/>
  <c r="AE151" i="17"/>
  <c r="AD151" i="17"/>
  <c r="AC151" i="17"/>
  <c r="AB151" i="17"/>
  <c r="AA151" i="17"/>
  <c r="Z151" i="17"/>
  <c r="Y151" i="17"/>
  <c r="X151" i="17"/>
  <c r="W151" i="17"/>
  <c r="V151" i="17"/>
  <c r="U151" i="17"/>
  <c r="T151" i="17"/>
  <c r="S151" i="17"/>
  <c r="R151" i="17"/>
  <c r="Q151" i="17"/>
  <c r="P151" i="17"/>
  <c r="O151" i="17"/>
  <c r="N151" i="17"/>
  <c r="M151" i="17"/>
  <c r="L151" i="17"/>
  <c r="K151" i="17"/>
  <c r="J151" i="17"/>
  <c r="I151" i="17"/>
  <c r="H151" i="17"/>
  <c r="G151" i="17"/>
  <c r="F151" i="17"/>
  <c r="AI150" i="17"/>
  <c r="AH150" i="17"/>
  <c r="AG150" i="17"/>
  <c r="AF150" i="17"/>
  <c r="AE150" i="17"/>
  <c r="AD150" i="17"/>
  <c r="AC150" i="17"/>
  <c r="AB150" i="17"/>
  <c r="AA150" i="17"/>
  <c r="Z150" i="17"/>
  <c r="Y150" i="17"/>
  <c r="X150" i="17"/>
  <c r="W150" i="17"/>
  <c r="V150" i="17"/>
  <c r="U150" i="17"/>
  <c r="T150" i="17"/>
  <c r="S150" i="17"/>
  <c r="R150" i="17"/>
  <c r="Q150" i="17"/>
  <c r="P150" i="17"/>
  <c r="O150" i="17"/>
  <c r="N150" i="17"/>
  <c r="M150" i="17"/>
  <c r="L150" i="17"/>
  <c r="K150" i="17"/>
  <c r="J150" i="17"/>
  <c r="I150" i="17"/>
  <c r="H150" i="17"/>
  <c r="G150" i="17"/>
  <c r="F150" i="17"/>
  <c r="AI149" i="17"/>
  <c r="AH149" i="17"/>
  <c r="AG149" i="17"/>
  <c r="AF149" i="17"/>
  <c r="AE149" i="17"/>
  <c r="AD149" i="17"/>
  <c r="AC149" i="17"/>
  <c r="AB149" i="17"/>
  <c r="AA149" i="17"/>
  <c r="Z149" i="17"/>
  <c r="Y149" i="17"/>
  <c r="X149" i="17"/>
  <c r="W149" i="17"/>
  <c r="V149" i="17"/>
  <c r="U149" i="17"/>
  <c r="T149" i="17"/>
  <c r="S149" i="17"/>
  <c r="R149" i="17"/>
  <c r="Q149" i="17"/>
  <c r="P149" i="17"/>
  <c r="O149" i="17"/>
  <c r="N149" i="17"/>
  <c r="M149" i="17"/>
  <c r="L149" i="17"/>
  <c r="K149" i="17"/>
  <c r="J149" i="17"/>
  <c r="I149" i="17"/>
  <c r="H149" i="17"/>
  <c r="G149" i="17"/>
  <c r="F149" i="17"/>
  <c r="AI148" i="17"/>
  <c r="AH148" i="17"/>
  <c r="AG148" i="17"/>
  <c r="AF148" i="17"/>
  <c r="AE148" i="17"/>
  <c r="AD148" i="17"/>
  <c r="AC148" i="17"/>
  <c r="AB148" i="17"/>
  <c r="AA148" i="17"/>
  <c r="Z148" i="17"/>
  <c r="Y148" i="17"/>
  <c r="X148" i="17"/>
  <c r="W148" i="17"/>
  <c r="V148" i="17"/>
  <c r="U148" i="17"/>
  <c r="T148" i="17"/>
  <c r="S148" i="17"/>
  <c r="R148" i="17"/>
  <c r="Q148" i="17"/>
  <c r="P148" i="17"/>
  <c r="O148" i="17"/>
  <c r="N148" i="17"/>
  <c r="M148" i="17"/>
  <c r="L148" i="17"/>
  <c r="K148" i="17"/>
  <c r="J148" i="17"/>
  <c r="I148" i="17"/>
  <c r="H148" i="17"/>
  <c r="G148" i="17"/>
  <c r="F148" i="17"/>
  <c r="AI147" i="17"/>
  <c r="AH147" i="17"/>
  <c r="AG147" i="17"/>
  <c r="AF147" i="17"/>
  <c r="AE147" i="17"/>
  <c r="AD147" i="17"/>
  <c r="AC147" i="17"/>
  <c r="AB147" i="17"/>
  <c r="AA147" i="17"/>
  <c r="Z147" i="17"/>
  <c r="Y147" i="17"/>
  <c r="X147" i="17"/>
  <c r="W147" i="17"/>
  <c r="V147" i="17"/>
  <c r="U147" i="17"/>
  <c r="T147" i="17"/>
  <c r="S147" i="17"/>
  <c r="R147" i="17"/>
  <c r="Q147" i="17"/>
  <c r="P147" i="17"/>
  <c r="O147" i="17"/>
  <c r="N147" i="17"/>
  <c r="M147" i="17"/>
  <c r="L147" i="17"/>
  <c r="K147" i="17"/>
  <c r="J147" i="17"/>
  <c r="I147" i="17"/>
  <c r="H147" i="17"/>
  <c r="G147" i="17"/>
  <c r="F147" i="17"/>
  <c r="AI146" i="17"/>
  <c r="AH146" i="17"/>
  <c r="AG146" i="17"/>
  <c r="AF146" i="17"/>
  <c r="AE146" i="17"/>
  <c r="AD146" i="17"/>
  <c r="AC146" i="17"/>
  <c r="AB146" i="17"/>
  <c r="AA146" i="17"/>
  <c r="Z146" i="17"/>
  <c r="Y146" i="17"/>
  <c r="X146" i="17"/>
  <c r="W146" i="17"/>
  <c r="V146" i="17"/>
  <c r="U146" i="17"/>
  <c r="T146" i="17"/>
  <c r="S146" i="17"/>
  <c r="R146" i="17"/>
  <c r="Q146" i="17"/>
  <c r="P146" i="17"/>
  <c r="O146" i="17"/>
  <c r="N146" i="17"/>
  <c r="M146" i="17"/>
  <c r="L146" i="17"/>
  <c r="K146" i="17"/>
  <c r="J146" i="17"/>
  <c r="I146" i="17"/>
  <c r="H146" i="17"/>
  <c r="G146" i="17"/>
  <c r="F146" i="17"/>
  <c r="AI145" i="17"/>
  <c r="AH145" i="17"/>
  <c r="AG145" i="17"/>
  <c r="AF145" i="17"/>
  <c r="AE145" i="17"/>
  <c r="AD145" i="17"/>
  <c r="AC145" i="17"/>
  <c r="AB145" i="17"/>
  <c r="AA145" i="17"/>
  <c r="Z145" i="17"/>
  <c r="Y145" i="17"/>
  <c r="X145" i="17"/>
  <c r="W145" i="17"/>
  <c r="V145" i="17"/>
  <c r="U145" i="17"/>
  <c r="T145" i="17"/>
  <c r="S145" i="17"/>
  <c r="R145" i="17"/>
  <c r="Q145" i="17"/>
  <c r="P145" i="17"/>
  <c r="O145" i="17"/>
  <c r="N145" i="17"/>
  <c r="M145" i="17"/>
  <c r="L145" i="17"/>
  <c r="K145" i="17"/>
  <c r="J145" i="17"/>
  <c r="I145" i="17"/>
  <c r="H145" i="17"/>
  <c r="G145" i="17"/>
  <c r="F145" i="17"/>
  <c r="AI144" i="17"/>
  <c r="AH144" i="17"/>
  <c r="AG144" i="17"/>
  <c r="AF144" i="17"/>
  <c r="AE144" i="17"/>
  <c r="AD144" i="17"/>
  <c r="AC144" i="17"/>
  <c r="AB144" i="17"/>
  <c r="AA144" i="17"/>
  <c r="Z144" i="17"/>
  <c r="Y144" i="17"/>
  <c r="X144" i="17"/>
  <c r="W144" i="17"/>
  <c r="V144" i="17"/>
  <c r="U144" i="17"/>
  <c r="T144" i="17"/>
  <c r="S144" i="17"/>
  <c r="R144" i="17"/>
  <c r="Q144" i="17"/>
  <c r="P144" i="17"/>
  <c r="O144" i="17"/>
  <c r="N144" i="17"/>
  <c r="M144" i="17"/>
  <c r="L144" i="17"/>
  <c r="K144" i="17"/>
  <c r="J144" i="17"/>
  <c r="I144" i="17"/>
  <c r="H144" i="17"/>
  <c r="G144" i="17"/>
  <c r="F144" i="17"/>
  <c r="AI143" i="17"/>
  <c r="AH143" i="17"/>
  <c r="AG143" i="17"/>
  <c r="AF143" i="17"/>
  <c r="AE143" i="17"/>
  <c r="AD143" i="17"/>
  <c r="AC143" i="17"/>
  <c r="AB143" i="17"/>
  <c r="AA143" i="17"/>
  <c r="Z143" i="17"/>
  <c r="Y143" i="17"/>
  <c r="X143" i="17"/>
  <c r="W143" i="17"/>
  <c r="V143" i="17"/>
  <c r="U143" i="17"/>
  <c r="T143" i="17"/>
  <c r="S143" i="17"/>
  <c r="R143" i="17"/>
  <c r="Q143" i="17"/>
  <c r="P143" i="17"/>
  <c r="O143" i="17"/>
  <c r="N143" i="17"/>
  <c r="M143" i="17"/>
  <c r="L143" i="17"/>
  <c r="K143" i="17"/>
  <c r="J143" i="17"/>
  <c r="I143" i="17"/>
  <c r="H143" i="17"/>
  <c r="G143" i="17"/>
  <c r="F143" i="17"/>
  <c r="AI142" i="17"/>
  <c r="AH142" i="17"/>
  <c r="AG142" i="17"/>
  <c r="AF142" i="17"/>
  <c r="AE142" i="17"/>
  <c r="AD142" i="17"/>
  <c r="AC142" i="17"/>
  <c r="AB142" i="17"/>
  <c r="AA142" i="17"/>
  <c r="Z142" i="17"/>
  <c r="Y142" i="17"/>
  <c r="X142" i="17"/>
  <c r="W142" i="17"/>
  <c r="V142" i="17"/>
  <c r="U142" i="17"/>
  <c r="T142" i="17"/>
  <c r="S142" i="17"/>
  <c r="R142" i="17"/>
  <c r="Q142" i="17"/>
  <c r="P142" i="17"/>
  <c r="O142" i="17"/>
  <c r="N142" i="17"/>
  <c r="M142" i="17"/>
  <c r="L142" i="17"/>
  <c r="K142" i="17"/>
  <c r="J142" i="17"/>
  <c r="I142" i="17"/>
  <c r="H142" i="17"/>
  <c r="G142" i="17"/>
  <c r="F142" i="17"/>
  <c r="AI141" i="17"/>
  <c r="AH141" i="17"/>
  <c r="AG141" i="17"/>
  <c r="AF141" i="17"/>
  <c r="AE141" i="17"/>
  <c r="AD141" i="17"/>
  <c r="AC141" i="17"/>
  <c r="AB141" i="17"/>
  <c r="AA141" i="17"/>
  <c r="Z141" i="17"/>
  <c r="Y141" i="17"/>
  <c r="X141" i="17"/>
  <c r="W141" i="17"/>
  <c r="V141" i="17"/>
  <c r="U141" i="17"/>
  <c r="T141" i="17"/>
  <c r="S141" i="17"/>
  <c r="R141" i="17"/>
  <c r="Q141" i="17"/>
  <c r="P141" i="17"/>
  <c r="O141" i="17"/>
  <c r="N141" i="17"/>
  <c r="M141" i="17"/>
  <c r="L141" i="17"/>
  <c r="K141" i="17"/>
  <c r="J141" i="17"/>
  <c r="I141" i="17"/>
  <c r="H141" i="17"/>
  <c r="G141" i="17"/>
  <c r="F141" i="17"/>
  <c r="AI136" i="17"/>
  <c r="AH136" i="17"/>
  <c r="AG136" i="17"/>
  <c r="AF136" i="17"/>
  <c r="AE136" i="17"/>
  <c r="AD136" i="17"/>
  <c r="AC136" i="17"/>
  <c r="AB136" i="17"/>
  <c r="AA136" i="17"/>
  <c r="Z136" i="17"/>
  <c r="Y136" i="17"/>
  <c r="X136" i="17"/>
  <c r="W136" i="17"/>
  <c r="V136" i="17"/>
  <c r="U136" i="17"/>
  <c r="T136" i="17"/>
  <c r="S136" i="17"/>
  <c r="R136" i="17"/>
  <c r="Q136" i="17"/>
  <c r="P136" i="17"/>
  <c r="O136" i="17"/>
  <c r="N136" i="17"/>
  <c r="M136" i="17"/>
  <c r="L136" i="17"/>
  <c r="K136" i="17"/>
  <c r="J136" i="17"/>
  <c r="I136" i="17"/>
  <c r="H136" i="17"/>
  <c r="G136" i="17"/>
  <c r="F136" i="17"/>
  <c r="AI135" i="17"/>
  <c r="AH135" i="17"/>
  <c r="AG135" i="17"/>
  <c r="AF135" i="17"/>
  <c r="AE135" i="17"/>
  <c r="AD135" i="17"/>
  <c r="AC135" i="17"/>
  <c r="AB135" i="17"/>
  <c r="AA135" i="17"/>
  <c r="Z135" i="17"/>
  <c r="Y135" i="17"/>
  <c r="X135" i="17"/>
  <c r="W135" i="17"/>
  <c r="V135" i="17"/>
  <c r="U135" i="17"/>
  <c r="T135" i="17"/>
  <c r="S135" i="17"/>
  <c r="R135" i="17"/>
  <c r="Q135" i="17"/>
  <c r="P135" i="17"/>
  <c r="O135" i="17"/>
  <c r="N135" i="17"/>
  <c r="M135" i="17"/>
  <c r="L135" i="17"/>
  <c r="K135" i="17"/>
  <c r="J135" i="17"/>
  <c r="I135" i="17"/>
  <c r="H135" i="17"/>
  <c r="G135" i="17"/>
  <c r="F135" i="17"/>
  <c r="AI134" i="17"/>
  <c r="AH134" i="17"/>
  <c r="AG134" i="17"/>
  <c r="AF134" i="17"/>
  <c r="AE134" i="17"/>
  <c r="AD134" i="17"/>
  <c r="AC134" i="17"/>
  <c r="AB134" i="17"/>
  <c r="AA134" i="17"/>
  <c r="Z134" i="17"/>
  <c r="Y134" i="17"/>
  <c r="X134" i="17"/>
  <c r="W134" i="17"/>
  <c r="V134" i="17"/>
  <c r="U134" i="17"/>
  <c r="T134" i="17"/>
  <c r="S134" i="17"/>
  <c r="R134" i="17"/>
  <c r="Q134" i="17"/>
  <c r="P134" i="17"/>
  <c r="O134" i="17"/>
  <c r="N134" i="17"/>
  <c r="M134" i="17"/>
  <c r="L134" i="17"/>
  <c r="K134" i="17"/>
  <c r="J134" i="17"/>
  <c r="I134" i="17"/>
  <c r="H134" i="17"/>
  <c r="G134" i="17"/>
  <c r="F134" i="17"/>
  <c r="AI133" i="17"/>
  <c r="AH133" i="17"/>
  <c r="AG133" i="17"/>
  <c r="AF133" i="17"/>
  <c r="AE133" i="17"/>
  <c r="AD133" i="17"/>
  <c r="AC133" i="17"/>
  <c r="AB133" i="17"/>
  <c r="AA133" i="17"/>
  <c r="Z133" i="17"/>
  <c r="Y133" i="17"/>
  <c r="X133" i="17"/>
  <c r="W133" i="17"/>
  <c r="V133" i="17"/>
  <c r="U133" i="17"/>
  <c r="T133" i="17"/>
  <c r="S133" i="17"/>
  <c r="R133" i="17"/>
  <c r="Q133" i="17"/>
  <c r="P133" i="17"/>
  <c r="O133" i="17"/>
  <c r="N133" i="17"/>
  <c r="M133" i="17"/>
  <c r="L133" i="17"/>
  <c r="K133" i="17"/>
  <c r="J133" i="17"/>
  <c r="I133" i="17"/>
  <c r="H133" i="17"/>
  <c r="G133" i="17"/>
  <c r="F133" i="17"/>
  <c r="AI132" i="17"/>
  <c r="AH132" i="17"/>
  <c r="AG132" i="17"/>
  <c r="AF132" i="17"/>
  <c r="AE132" i="17"/>
  <c r="AD132" i="17"/>
  <c r="AC132" i="17"/>
  <c r="AB132" i="17"/>
  <c r="AA132" i="17"/>
  <c r="Z132" i="17"/>
  <c r="Y132" i="17"/>
  <c r="X132" i="17"/>
  <c r="W132" i="17"/>
  <c r="V132" i="17"/>
  <c r="U132" i="17"/>
  <c r="T132" i="17"/>
  <c r="S132" i="17"/>
  <c r="R132" i="17"/>
  <c r="Q132" i="17"/>
  <c r="P132" i="17"/>
  <c r="O132" i="17"/>
  <c r="N132" i="17"/>
  <c r="M132" i="17"/>
  <c r="L132" i="17"/>
  <c r="K132" i="17"/>
  <c r="J132" i="17"/>
  <c r="I132" i="17"/>
  <c r="H132" i="17"/>
  <c r="G132" i="17"/>
  <c r="F132" i="17"/>
  <c r="AI131" i="17"/>
  <c r="AH131" i="17"/>
  <c r="AG131" i="17"/>
  <c r="AF131" i="17"/>
  <c r="AE131" i="17"/>
  <c r="AD131" i="17"/>
  <c r="AC131" i="17"/>
  <c r="AB131" i="17"/>
  <c r="AA131" i="17"/>
  <c r="Z131" i="17"/>
  <c r="Y131" i="17"/>
  <c r="X131" i="17"/>
  <c r="W131" i="17"/>
  <c r="V131" i="17"/>
  <c r="U131" i="17"/>
  <c r="T131" i="17"/>
  <c r="S131" i="17"/>
  <c r="R131" i="17"/>
  <c r="Q131" i="17"/>
  <c r="P131" i="17"/>
  <c r="O131" i="17"/>
  <c r="N131" i="17"/>
  <c r="M131" i="17"/>
  <c r="L131" i="17"/>
  <c r="K131" i="17"/>
  <c r="J131" i="17"/>
  <c r="I131" i="17"/>
  <c r="H131" i="17"/>
  <c r="G131" i="17"/>
  <c r="F131" i="17"/>
  <c r="AI130" i="17"/>
  <c r="AH130" i="17"/>
  <c r="AG130" i="17"/>
  <c r="AF130" i="17"/>
  <c r="AE130" i="17"/>
  <c r="AD130" i="17"/>
  <c r="AC130" i="17"/>
  <c r="AB130" i="17"/>
  <c r="AA130" i="17"/>
  <c r="Z130" i="17"/>
  <c r="Y130" i="17"/>
  <c r="X130" i="17"/>
  <c r="W130" i="17"/>
  <c r="V130" i="17"/>
  <c r="U130" i="17"/>
  <c r="T130" i="17"/>
  <c r="S130" i="17"/>
  <c r="R130" i="17"/>
  <c r="Q130" i="17"/>
  <c r="P130" i="17"/>
  <c r="O130" i="17"/>
  <c r="N130" i="17"/>
  <c r="M130" i="17"/>
  <c r="L130" i="17"/>
  <c r="K130" i="17"/>
  <c r="J130" i="17"/>
  <c r="I130" i="17"/>
  <c r="H130" i="17"/>
  <c r="G130" i="17"/>
  <c r="F130" i="17"/>
  <c r="AI129" i="17"/>
  <c r="AH129" i="17"/>
  <c r="AG129" i="17"/>
  <c r="AF129" i="17"/>
  <c r="AE129" i="17"/>
  <c r="AD129" i="17"/>
  <c r="AC129" i="17"/>
  <c r="AB129" i="17"/>
  <c r="AA129" i="17"/>
  <c r="Z129" i="17"/>
  <c r="Y129" i="17"/>
  <c r="X129" i="17"/>
  <c r="W129" i="17"/>
  <c r="V129" i="17"/>
  <c r="U129" i="17"/>
  <c r="T129" i="17"/>
  <c r="S129" i="17"/>
  <c r="R129" i="17"/>
  <c r="Q129" i="17"/>
  <c r="P129" i="17"/>
  <c r="O129" i="17"/>
  <c r="N129" i="17"/>
  <c r="M129" i="17"/>
  <c r="L129" i="17"/>
  <c r="K129" i="17"/>
  <c r="J129" i="17"/>
  <c r="I129" i="17"/>
  <c r="H129" i="17"/>
  <c r="G129" i="17"/>
  <c r="F129" i="17"/>
  <c r="AI128" i="17"/>
  <c r="AH128" i="17"/>
  <c r="AG128" i="17"/>
  <c r="AF128" i="17"/>
  <c r="AE128" i="17"/>
  <c r="AD128" i="17"/>
  <c r="AC128" i="17"/>
  <c r="AB128" i="17"/>
  <c r="AA128" i="17"/>
  <c r="Z128" i="17"/>
  <c r="Y128" i="17"/>
  <c r="X128" i="17"/>
  <c r="W128" i="17"/>
  <c r="V128" i="17"/>
  <c r="U128" i="17"/>
  <c r="T128" i="17"/>
  <c r="S128" i="17"/>
  <c r="R128" i="17"/>
  <c r="Q128" i="17"/>
  <c r="P128" i="17"/>
  <c r="O128" i="17"/>
  <c r="N128" i="17"/>
  <c r="M128" i="17"/>
  <c r="L128" i="17"/>
  <c r="K128" i="17"/>
  <c r="J128" i="17"/>
  <c r="I128" i="17"/>
  <c r="H128" i="17"/>
  <c r="G128" i="17"/>
  <c r="F128" i="17"/>
  <c r="AI127" i="17"/>
  <c r="AH127" i="17"/>
  <c r="AG127" i="17"/>
  <c r="AF127" i="17"/>
  <c r="AE127" i="17"/>
  <c r="AD127" i="17"/>
  <c r="AC127" i="17"/>
  <c r="AB127" i="17"/>
  <c r="AA127" i="17"/>
  <c r="Z127" i="17"/>
  <c r="Y127" i="17"/>
  <c r="X127" i="17"/>
  <c r="W127" i="17"/>
  <c r="V127" i="17"/>
  <c r="U127" i="17"/>
  <c r="T127" i="17"/>
  <c r="S127" i="17"/>
  <c r="R127" i="17"/>
  <c r="Q127" i="17"/>
  <c r="P127" i="17"/>
  <c r="O127" i="17"/>
  <c r="N127" i="17"/>
  <c r="M127" i="17"/>
  <c r="L127" i="17"/>
  <c r="K127" i="17"/>
  <c r="J127" i="17"/>
  <c r="I127" i="17"/>
  <c r="H127" i="17"/>
  <c r="G127" i="17"/>
  <c r="F127" i="17"/>
  <c r="AI126" i="17"/>
  <c r="AH126" i="17"/>
  <c r="AG126" i="17"/>
  <c r="AF126" i="17"/>
  <c r="AE126" i="17"/>
  <c r="AD126" i="17"/>
  <c r="AC126" i="17"/>
  <c r="AB126" i="17"/>
  <c r="AA126" i="17"/>
  <c r="Z126" i="17"/>
  <c r="Y126" i="17"/>
  <c r="X126" i="17"/>
  <c r="W126" i="17"/>
  <c r="V126" i="17"/>
  <c r="U126" i="17"/>
  <c r="T126" i="17"/>
  <c r="S126" i="17"/>
  <c r="R126" i="17"/>
  <c r="Q126" i="17"/>
  <c r="P126" i="17"/>
  <c r="O126" i="17"/>
  <c r="N126" i="17"/>
  <c r="M126" i="17"/>
  <c r="L126" i="17"/>
  <c r="K126" i="17"/>
  <c r="J126" i="17"/>
  <c r="I126" i="17"/>
  <c r="H126" i="17"/>
  <c r="G126" i="17"/>
  <c r="F126" i="17"/>
  <c r="AI125" i="17"/>
  <c r="AH125" i="17"/>
  <c r="AG125" i="17"/>
  <c r="AF125" i="17"/>
  <c r="AE125" i="17"/>
  <c r="AD125" i="17"/>
  <c r="AC125" i="17"/>
  <c r="AB125" i="17"/>
  <c r="AA125" i="17"/>
  <c r="Z125" i="17"/>
  <c r="Y125" i="17"/>
  <c r="X125" i="17"/>
  <c r="W125" i="17"/>
  <c r="V125" i="17"/>
  <c r="U125" i="17"/>
  <c r="T125" i="17"/>
  <c r="S125" i="17"/>
  <c r="R125" i="17"/>
  <c r="Q125" i="17"/>
  <c r="P125" i="17"/>
  <c r="O125" i="17"/>
  <c r="N125" i="17"/>
  <c r="M125" i="17"/>
  <c r="L125" i="17"/>
  <c r="K125" i="17"/>
  <c r="J125" i="17"/>
  <c r="I125" i="17"/>
  <c r="H125" i="17"/>
  <c r="G125" i="17"/>
  <c r="F125" i="17"/>
  <c r="AI124" i="17"/>
  <c r="AH124" i="17"/>
  <c r="AG124" i="17"/>
  <c r="AF124" i="17"/>
  <c r="AE124" i="17"/>
  <c r="AD124" i="17"/>
  <c r="AC124" i="17"/>
  <c r="AB124" i="17"/>
  <c r="AA124" i="17"/>
  <c r="Z124" i="17"/>
  <c r="Y124" i="17"/>
  <c r="X124" i="17"/>
  <c r="W124" i="17"/>
  <c r="V124" i="17"/>
  <c r="U124" i="17"/>
  <c r="T124" i="17"/>
  <c r="S124" i="17"/>
  <c r="R124" i="17"/>
  <c r="Q124" i="17"/>
  <c r="P124" i="17"/>
  <c r="O124" i="17"/>
  <c r="N124" i="17"/>
  <c r="M124" i="17"/>
  <c r="L124" i="17"/>
  <c r="K124" i="17"/>
  <c r="J124" i="17"/>
  <c r="I124" i="17"/>
  <c r="H124" i="17"/>
  <c r="G124" i="17"/>
  <c r="F124" i="17"/>
  <c r="AI123" i="17"/>
  <c r="AH123" i="17"/>
  <c r="AG123" i="17"/>
  <c r="AF123" i="17"/>
  <c r="AE123" i="17"/>
  <c r="AD123" i="17"/>
  <c r="AC123" i="17"/>
  <c r="AB123" i="17"/>
  <c r="AA123" i="17"/>
  <c r="Z123" i="17"/>
  <c r="Y123" i="17"/>
  <c r="X123" i="17"/>
  <c r="W123" i="17"/>
  <c r="V123" i="17"/>
  <c r="U123" i="17"/>
  <c r="T123" i="17"/>
  <c r="S123" i="17"/>
  <c r="R123" i="17"/>
  <c r="Q123" i="17"/>
  <c r="P123" i="17"/>
  <c r="O123" i="17"/>
  <c r="N123" i="17"/>
  <c r="M123" i="17"/>
  <c r="L123" i="17"/>
  <c r="K123" i="17"/>
  <c r="J123" i="17"/>
  <c r="I123" i="17"/>
  <c r="H123" i="17"/>
  <c r="G123" i="17"/>
  <c r="F123" i="17"/>
  <c r="AI122" i="17"/>
  <c r="AH122" i="17"/>
  <c r="AG122" i="17"/>
  <c r="AF122" i="17"/>
  <c r="AE122" i="17"/>
  <c r="AD122" i="17"/>
  <c r="AC122" i="17"/>
  <c r="AB122" i="17"/>
  <c r="AA122" i="17"/>
  <c r="Z122" i="17"/>
  <c r="Y122" i="17"/>
  <c r="X122" i="17"/>
  <c r="W122" i="17"/>
  <c r="V122" i="17"/>
  <c r="U122" i="17"/>
  <c r="T122" i="17"/>
  <c r="S122" i="17"/>
  <c r="R122" i="17"/>
  <c r="Q122" i="17"/>
  <c r="P122" i="17"/>
  <c r="O122" i="17"/>
  <c r="N122" i="17"/>
  <c r="M122" i="17"/>
  <c r="L122" i="17"/>
  <c r="K122" i="17"/>
  <c r="J122" i="17"/>
  <c r="I122" i="17"/>
  <c r="H122" i="17"/>
  <c r="G122" i="17"/>
  <c r="F122" i="17"/>
  <c r="AI121" i="17"/>
  <c r="AH121" i="17"/>
  <c r="AG121" i="17"/>
  <c r="AF121" i="17"/>
  <c r="AE121" i="17"/>
  <c r="AD121" i="17"/>
  <c r="AC121" i="17"/>
  <c r="AB121" i="17"/>
  <c r="AA121" i="17"/>
  <c r="Z121" i="17"/>
  <c r="Y121" i="17"/>
  <c r="X121" i="17"/>
  <c r="W121" i="17"/>
  <c r="V121" i="17"/>
  <c r="U121" i="17"/>
  <c r="T121" i="17"/>
  <c r="S121" i="17"/>
  <c r="R121" i="17"/>
  <c r="Q121" i="17"/>
  <c r="P121" i="17"/>
  <c r="O121" i="17"/>
  <c r="N121" i="17"/>
  <c r="M121" i="17"/>
  <c r="L121" i="17"/>
  <c r="K121" i="17"/>
  <c r="J121" i="17"/>
  <c r="I121" i="17"/>
  <c r="H121" i="17"/>
  <c r="G121" i="17"/>
  <c r="F121" i="17"/>
  <c r="AI120" i="17"/>
  <c r="AH120" i="17"/>
  <c r="AG120" i="17"/>
  <c r="AF120" i="17"/>
  <c r="AE120" i="17"/>
  <c r="AD120" i="17"/>
  <c r="AC120" i="17"/>
  <c r="AB120" i="17"/>
  <c r="AA120" i="17"/>
  <c r="Z120" i="17"/>
  <c r="Y120" i="17"/>
  <c r="X120" i="17"/>
  <c r="W120" i="17"/>
  <c r="V120" i="17"/>
  <c r="U120" i="17"/>
  <c r="T120" i="17"/>
  <c r="S120" i="17"/>
  <c r="R120" i="17"/>
  <c r="Q120" i="17"/>
  <c r="P120" i="17"/>
  <c r="O120" i="17"/>
  <c r="N120" i="17"/>
  <c r="M120" i="17"/>
  <c r="L120" i="17"/>
  <c r="K120" i="17"/>
  <c r="J120" i="17"/>
  <c r="I120" i="17"/>
  <c r="H120" i="17"/>
  <c r="G120" i="17"/>
  <c r="F120" i="17"/>
  <c r="AI119" i="17"/>
  <c r="AH119" i="17"/>
  <c r="AG119" i="17"/>
  <c r="AF119" i="17"/>
  <c r="AE119" i="17"/>
  <c r="AD119" i="17"/>
  <c r="AC119" i="17"/>
  <c r="AB119" i="17"/>
  <c r="AA119" i="17"/>
  <c r="Z119" i="17"/>
  <c r="Y119" i="17"/>
  <c r="X119" i="17"/>
  <c r="W119" i="17"/>
  <c r="V119" i="17"/>
  <c r="U119" i="17"/>
  <c r="T119" i="17"/>
  <c r="S119" i="17"/>
  <c r="R119" i="17"/>
  <c r="Q119" i="17"/>
  <c r="P119" i="17"/>
  <c r="O119" i="17"/>
  <c r="N119" i="17"/>
  <c r="M119" i="17"/>
  <c r="L119" i="17"/>
  <c r="K119" i="17"/>
  <c r="J119" i="17"/>
  <c r="I119" i="17"/>
  <c r="H119" i="17"/>
  <c r="G119" i="17"/>
  <c r="F119" i="17"/>
  <c r="AI118" i="17"/>
  <c r="AH118" i="17"/>
  <c r="AG118" i="17"/>
  <c r="AF118" i="17"/>
  <c r="AE118" i="17"/>
  <c r="AD118" i="17"/>
  <c r="AC118" i="17"/>
  <c r="AB118" i="17"/>
  <c r="AA118" i="17"/>
  <c r="Z118" i="17"/>
  <c r="Y118" i="17"/>
  <c r="X118" i="17"/>
  <c r="W118" i="17"/>
  <c r="V118" i="17"/>
  <c r="U118" i="17"/>
  <c r="T118" i="17"/>
  <c r="S118" i="17"/>
  <c r="R118" i="17"/>
  <c r="Q118" i="17"/>
  <c r="P118" i="17"/>
  <c r="O118" i="17"/>
  <c r="N118" i="17"/>
  <c r="M118" i="17"/>
  <c r="L118" i="17"/>
  <c r="K118" i="17"/>
  <c r="J118" i="17"/>
  <c r="I118" i="17"/>
  <c r="H118" i="17"/>
  <c r="G118" i="17"/>
  <c r="F118" i="17"/>
  <c r="AI117" i="17"/>
  <c r="AH117" i="17"/>
  <c r="AG117" i="17"/>
  <c r="AF117" i="17"/>
  <c r="AE117" i="17"/>
  <c r="AD117" i="17"/>
  <c r="AC117" i="17"/>
  <c r="AB117" i="17"/>
  <c r="AA117" i="17"/>
  <c r="Z117" i="17"/>
  <c r="Y117" i="17"/>
  <c r="X117" i="17"/>
  <c r="W117" i="17"/>
  <c r="V117" i="17"/>
  <c r="U117" i="17"/>
  <c r="T117" i="17"/>
  <c r="S117" i="17"/>
  <c r="R117" i="17"/>
  <c r="Q117" i="17"/>
  <c r="P117" i="17"/>
  <c r="O117" i="17"/>
  <c r="N117" i="17"/>
  <c r="M117" i="17"/>
  <c r="L117" i="17"/>
  <c r="K117" i="17"/>
  <c r="J117" i="17"/>
  <c r="I117" i="17"/>
  <c r="H117" i="17"/>
  <c r="G117" i="17"/>
  <c r="F117" i="17"/>
  <c r="AI116" i="17"/>
  <c r="AH116" i="17"/>
  <c r="AG116" i="17"/>
  <c r="AF116" i="17"/>
  <c r="AE116" i="17"/>
  <c r="AD116" i="17"/>
  <c r="AC116" i="17"/>
  <c r="AB116" i="17"/>
  <c r="AA116" i="17"/>
  <c r="Z116" i="17"/>
  <c r="Y116" i="17"/>
  <c r="X116" i="17"/>
  <c r="W116" i="17"/>
  <c r="V116" i="17"/>
  <c r="U116" i="17"/>
  <c r="T116" i="17"/>
  <c r="S116" i="17"/>
  <c r="R116" i="17"/>
  <c r="Q116" i="17"/>
  <c r="P116" i="17"/>
  <c r="O116" i="17"/>
  <c r="N116" i="17"/>
  <c r="M116" i="17"/>
  <c r="L116" i="17"/>
  <c r="K116" i="17"/>
  <c r="J116" i="17"/>
  <c r="I116" i="17"/>
  <c r="H116" i="17"/>
  <c r="G116" i="17"/>
  <c r="F116" i="17"/>
  <c r="AI115" i="17"/>
  <c r="AH115" i="17"/>
  <c r="AG115" i="17"/>
  <c r="AF115" i="17"/>
  <c r="AE115" i="17"/>
  <c r="AD115" i="17"/>
  <c r="AC115" i="17"/>
  <c r="AB115" i="17"/>
  <c r="AA115" i="17"/>
  <c r="Z115" i="17"/>
  <c r="Y115" i="17"/>
  <c r="X115" i="17"/>
  <c r="W115" i="17"/>
  <c r="V115" i="17"/>
  <c r="U115" i="17"/>
  <c r="T115" i="17"/>
  <c r="S115" i="17"/>
  <c r="R115" i="17"/>
  <c r="Q115" i="17"/>
  <c r="P115" i="17"/>
  <c r="O115" i="17"/>
  <c r="N115" i="17"/>
  <c r="M115" i="17"/>
  <c r="L115" i="17"/>
  <c r="K115" i="17"/>
  <c r="J115" i="17"/>
  <c r="I115" i="17"/>
  <c r="H115" i="17"/>
  <c r="G115" i="17"/>
  <c r="F115" i="17"/>
  <c r="AI114" i="17"/>
  <c r="AH114" i="17"/>
  <c r="AG114" i="17"/>
  <c r="AF114" i="17"/>
  <c r="AE114" i="17"/>
  <c r="AD114" i="17"/>
  <c r="AC114" i="17"/>
  <c r="AB114" i="17"/>
  <c r="AA114" i="17"/>
  <c r="Z114" i="17"/>
  <c r="Y114" i="17"/>
  <c r="X114" i="17"/>
  <c r="W114" i="17"/>
  <c r="V114" i="17"/>
  <c r="U114" i="17"/>
  <c r="T114" i="17"/>
  <c r="S114" i="17"/>
  <c r="R114" i="17"/>
  <c r="Q114" i="17"/>
  <c r="P114" i="17"/>
  <c r="O114" i="17"/>
  <c r="N114" i="17"/>
  <c r="M114" i="17"/>
  <c r="L114" i="17"/>
  <c r="K114" i="17"/>
  <c r="J114" i="17"/>
  <c r="I114" i="17"/>
  <c r="H114" i="17"/>
  <c r="G114" i="17"/>
  <c r="F114" i="17"/>
  <c r="AI113" i="17"/>
  <c r="AH113" i="17"/>
  <c r="AG113" i="17"/>
  <c r="AF113" i="17"/>
  <c r="AE113" i="17"/>
  <c r="AD113" i="17"/>
  <c r="AC113" i="17"/>
  <c r="AB113" i="17"/>
  <c r="AA113" i="17"/>
  <c r="Z113" i="17"/>
  <c r="Y113" i="17"/>
  <c r="X113" i="17"/>
  <c r="W113" i="17"/>
  <c r="V113" i="17"/>
  <c r="U113" i="17"/>
  <c r="T113" i="17"/>
  <c r="S113" i="17"/>
  <c r="R113" i="17"/>
  <c r="Q113" i="17"/>
  <c r="P113" i="17"/>
  <c r="O113" i="17"/>
  <c r="N113" i="17"/>
  <c r="M113" i="17"/>
  <c r="L113" i="17"/>
  <c r="K113" i="17"/>
  <c r="J113" i="17"/>
  <c r="I113" i="17"/>
  <c r="H113" i="17"/>
  <c r="G113" i="17"/>
  <c r="F113" i="17"/>
  <c r="AI112" i="17"/>
  <c r="AH112" i="17"/>
  <c r="AG112" i="17"/>
  <c r="AF112" i="17"/>
  <c r="AE112" i="17"/>
  <c r="AD112" i="17"/>
  <c r="AC112" i="17"/>
  <c r="AB112" i="17"/>
  <c r="AA112" i="17"/>
  <c r="Z112" i="17"/>
  <c r="Y112" i="17"/>
  <c r="X112" i="17"/>
  <c r="W112" i="17"/>
  <c r="V112" i="17"/>
  <c r="U112" i="17"/>
  <c r="T112" i="17"/>
  <c r="S112" i="17"/>
  <c r="R112" i="17"/>
  <c r="Q112" i="17"/>
  <c r="P112" i="17"/>
  <c r="O112" i="17"/>
  <c r="N112" i="17"/>
  <c r="M112" i="17"/>
  <c r="L112" i="17"/>
  <c r="K112" i="17"/>
  <c r="J112" i="17"/>
  <c r="I112" i="17"/>
  <c r="H112" i="17"/>
  <c r="G112" i="17"/>
  <c r="F112" i="17"/>
  <c r="AI111" i="17"/>
  <c r="AH111" i="17"/>
  <c r="AG111" i="17"/>
  <c r="AF111" i="17"/>
  <c r="AE111" i="17"/>
  <c r="AD111" i="17"/>
  <c r="AC111" i="17"/>
  <c r="AB111" i="17"/>
  <c r="AA111" i="17"/>
  <c r="Z111" i="17"/>
  <c r="Y111" i="17"/>
  <c r="X111" i="17"/>
  <c r="W111" i="17"/>
  <c r="V111" i="17"/>
  <c r="U111" i="17"/>
  <c r="T111" i="17"/>
  <c r="S111" i="17"/>
  <c r="R111" i="17"/>
  <c r="Q111" i="17"/>
  <c r="P111" i="17"/>
  <c r="O111" i="17"/>
  <c r="N111" i="17"/>
  <c r="M111" i="17"/>
  <c r="L111" i="17"/>
  <c r="K111" i="17"/>
  <c r="J111" i="17"/>
  <c r="I111" i="17"/>
  <c r="H111" i="17"/>
  <c r="G111" i="17"/>
  <c r="F111" i="17"/>
  <c r="AI110" i="17"/>
  <c r="AH110" i="17"/>
  <c r="AG110" i="17"/>
  <c r="AF110" i="17"/>
  <c r="AE110" i="17"/>
  <c r="AD110" i="17"/>
  <c r="AC110" i="17"/>
  <c r="AB110" i="17"/>
  <c r="AA110" i="17"/>
  <c r="Z110" i="17"/>
  <c r="Y110" i="17"/>
  <c r="X110" i="17"/>
  <c r="W110" i="17"/>
  <c r="V110" i="17"/>
  <c r="U110" i="17"/>
  <c r="T110" i="17"/>
  <c r="S110" i="17"/>
  <c r="R110" i="17"/>
  <c r="Q110" i="17"/>
  <c r="P110" i="17"/>
  <c r="O110" i="17"/>
  <c r="N110" i="17"/>
  <c r="M110" i="17"/>
  <c r="L110" i="17"/>
  <c r="K110" i="17"/>
  <c r="J110" i="17"/>
  <c r="I110" i="17"/>
  <c r="H110" i="17"/>
  <c r="G110" i="17"/>
  <c r="F110" i="17"/>
  <c r="AI109" i="17"/>
  <c r="AH109" i="17"/>
  <c r="AG109" i="17"/>
  <c r="AF109" i="17"/>
  <c r="AE109" i="17"/>
  <c r="AD109" i="17"/>
  <c r="AC109" i="17"/>
  <c r="AB109" i="17"/>
  <c r="AA109" i="17"/>
  <c r="Z109" i="17"/>
  <c r="Y109" i="17"/>
  <c r="X109" i="17"/>
  <c r="W109" i="17"/>
  <c r="V109" i="17"/>
  <c r="U109" i="17"/>
  <c r="T109" i="17"/>
  <c r="S109" i="17"/>
  <c r="R109" i="17"/>
  <c r="Q109" i="17"/>
  <c r="P109" i="17"/>
  <c r="O109" i="17"/>
  <c r="N109" i="17"/>
  <c r="M109" i="17"/>
  <c r="L109" i="17"/>
  <c r="K109" i="17"/>
  <c r="J109" i="17"/>
  <c r="I109" i="17"/>
  <c r="H109" i="17"/>
  <c r="G109" i="17"/>
  <c r="F109" i="17"/>
  <c r="AI108" i="17"/>
  <c r="AH108" i="17"/>
  <c r="AG108" i="17"/>
  <c r="AF108" i="17"/>
  <c r="AE108" i="17"/>
  <c r="AD108" i="17"/>
  <c r="AC108" i="17"/>
  <c r="AB108" i="17"/>
  <c r="AA108" i="17"/>
  <c r="Z108" i="17"/>
  <c r="Y108" i="17"/>
  <c r="X108" i="17"/>
  <c r="W108" i="17"/>
  <c r="V108" i="17"/>
  <c r="U108" i="17"/>
  <c r="T108" i="17"/>
  <c r="S108" i="17"/>
  <c r="R108" i="17"/>
  <c r="Q108" i="17"/>
  <c r="P108" i="17"/>
  <c r="O108" i="17"/>
  <c r="N108" i="17"/>
  <c r="M108" i="17"/>
  <c r="L108" i="17"/>
  <c r="K108" i="17"/>
  <c r="J108" i="17"/>
  <c r="I108" i="17"/>
  <c r="H108" i="17"/>
  <c r="G108" i="17"/>
  <c r="F108" i="17"/>
  <c r="AI107" i="17"/>
  <c r="AH107" i="17"/>
  <c r="AG107" i="17"/>
  <c r="AF107" i="17"/>
  <c r="AE107" i="17"/>
  <c r="AD107" i="17"/>
  <c r="AC107" i="17"/>
  <c r="AB107" i="17"/>
  <c r="AA107" i="17"/>
  <c r="Z107" i="17"/>
  <c r="Y107" i="17"/>
  <c r="X107" i="17"/>
  <c r="W107" i="17"/>
  <c r="V107" i="17"/>
  <c r="U107" i="17"/>
  <c r="T107" i="17"/>
  <c r="S107" i="17"/>
  <c r="R107" i="17"/>
  <c r="Q107" i="17"/>
  <c r="P107" i="17"/>
  <c r="O107" i="17"/>
  <c r="N107" i="17"/>
  <c r="M107" i="17"/>
  <c r="L107" i="17"/>
  <c r="K107" i="17"/>
  <c r="J107" i="17"/>
  <c r="I107" i="17"/>
  <c r="H107" i="17"/>
  <c r="G107" i="17"/>
  <c r="F107" i="17"/>
  <c r="AI102" i="17"/>
  <c r="AH102" i="17"/>
  <c r="AG102" i="17"/>
  <c r="AF102" i="17"/>
  <c r="AE102" i="17"/>
  <c r="AD102" i="17"/>
  <c r="AC102" i="17"/>
  <c r="AB102" i="17"/>
  <c r="AA102" i="17"/>
  <c r="Z102" i="17"/>
  <c r="Y102" i="17"/>
  <c r="X102" i="17"/>
  <c r="W102" i="17"/>
  <c r="V102" i="17"/>
  <c r="U102" i="17"/>
  <c r="T102" i="17"/>
  <c r="S102" i="17"/>
  <c r="R102" i="17"/>
  <c r="Q102" i="17"/>
  <c r="P102" i="17"/>
  <c r="O102" i="17"/>
  <c r="N102" i="17"/>
  <c r="M102" i="17"/>
  <c r="L102" i="17"/>
  <c r="K102" i="17"/>
  <c r="J102" i="17"/>
  <c r="I102" i="17"/>
  <c r="H102" i="17"/>
  <c r="G102" i="17"/>
  <c r="F102" i="17"/>
  <c r="AI101" i="17"/>
  <c r="AH101" i="17"/>
  <c r="AG101" i="17"/>
  <c r="AF101" i="17"/>
  <c r="AE101" i="17"/>
  <c r="AD101" i="17"/>
  <c r="AC101" i="17"/>
  <c r="AB101" i="17"/>
  <c r="AA101" i="17"/>
  <c r="Z101" i="17"/>
  <c r="Y101" i="17"/>
  <c r="X101" i="17"/>
  <c r="W101" i="17"/>
  <c r="V101" i="17"/>
  <c r="U101" i="17"/>
  <c r="T101" i="17"/>
  <c r="S101" i="17"/>
  <c r="R101" i="17"/>
  <c r="Q101" i="17"/>
  <c r="P101" i="17"/>
  <c r="O101" i="17"/>
  <c r="N101" i="17"/>
  <c r="M101" i="17"/>
  <c r="L101" i="17"/>
  <c r="K101" i="17"/>
  <c r="J101" i="17"/>
  <c r="I101" i="17"/>
  <c r="H101" i="17"/>
  <c r="G101" i="17"/>
  <c r="F101" i="17"/>
  <c r="AI100" i="17"/>
  <c r="AH100" i="17"/>
  <c r="AG100" i="17"/>
  <c r="AF100" i="17"/>
  <c r="AE100" i="17"/>
  <c r="AD100" i="17"/>
  <c r="AC100" i="17"/>
  <c r="AB100" i="17"/>
  <c r="AA100" i="17"/>
  <c r="Z100" i="17"/>
  <c r="Y100" i="17"/>
  <c r="X100" i="17"/>
  <c r="W100" i="17"/>
  <c r="V100" i="17"/>
  <c r="U100" i="17"/>
  <c r="T100" i="17"/>
  <c r="S100" i="17"/>
  <c r="R100" i="17"/>
  <c r="Q100" i="17"/>
  <c r="P100" i="17"/>
  <c r="O100" i="17"/>
  <c r="N100" i="17"/>
  <c r="M100" i="17"/>
  <c r="L100" i="17"/>
  <c r="K100" i="17"/>
  <c r="J100" i="17"/>
  <c r="I100" i="17"/>
  <c r="H100" i="17"/>
  <c r="G100" i="17"/>
  <c r="F100" i="17"/>
  <c r="AI99" i="17"/>
  <c r="AH99" i="17"/>
  <c r="AG99" i="17"/>
  <c r="AF99" i="17"/>
  <c r="AE99" i="17"/>
  <c r="AD99" i="17"/>
  <c r="AC99" i="17"/>
  <c r="AB99" i="17"/>
  <c r="AA99" i="17"/>
  <c r="Z99" i="17"/>
  <c r="Y99" i="17"/>
  <c r="X99" i="17"/>
  <c r="W99" i="17"/>
  <c r="V99" i="17"/>
  <c r="U99" i="17"/>
  <c r="T99" i="17"/>
  <c r="S99" i="17"/>
  <c r="R99" i="17"/>
  <c r="Q99" i="17"/>
  <c r="P99" i="17"/>
  <c r="O99" i="17"/>
  <c r="N99" i="17"/>
  <c r="M99" i="17"/>
  <c r="L99" i="17"/>
  <c r="K99" i="17"/>
  <c r="J99" i="17"/>
  <c r="I99" i="17"/>
  <c r="H99" i="17"/>
  <c r="G99" i="17"/>
  <c r="F99" i="17"/>
  <c r="AI98" i="17"/>
  <c r="AH98" i="17"/>
  <c r="AG98" i="17"/>
  <c r="AF98" i="17"/>
  <c r="AE98" i="17"/>
  <c r="AD98" i="17"/>
  <c r="AC98" i="17"/>
  <c r="AB98" i="17"/>
  <c r="AA98" i="17"/>
  <c r="Z98" i="17"/>
  <c r="Y98" i="17"/>
  <c r="X98" i="17"/>
  <c r="W98" i="17"/>
  <c r="V98" i="17"/>
  <c r="U98" i="17"/>
  <c r="T98" i="17"/>
  <c r="S98" i="17"/>
  <c r="R98" i="17"/>
  <c r="Q98" i="17"/>
  <c r="P98" i="17"/>
  <c r="O98" i="17"/>
  <c r="N98" i="17"/>
  <c r="M98" i="17"/>
  <c r="L98" i="17"/>
  <c r="K98" i="17"/>
  <c r="J98" i="17"/>
  <c r="I98" i="17"/>
  <c r="H98" i="17"/>
  <c r="G98" i="17"/>
  <c r="F98" i="17"/>
  <c r="AI97" i="17"/>
  <c r="AH97" i="17"/>
  <c r="AG97" i="17"/>
  <c r="AF97" i="17"/>
  <c r="AE97" i="17"/>
  <c r="AD97" i="17"/>
  <c r="AC97" i="17"/>
  <c r="AB97" i="17"/>
  <c r="AA97" i="17"/>
  <c r="Z97" i="17"/>
  <c r="Y97" i="17"/>
  <c r="X97" i="17"/>
  <c r="W97" i="17"/>
  <c r="V97" i="17"/>
  <c r="U97" i="17"/>
  <c r="T97" i="17"/>
  <c r="S97" i="17"/>
  <c r="R97" i="17"/>
  <c r="Q97" i="17"/>
  <c r="P97" i="17"/>
  <c r="O97" i="17"/>
  <c r="N97" i="17"/>
  <c r="M97" i="17"/>
  <c r="L97" i="17"/>
  <c r="K97" i="17"/>
  <c r="J97" i="17"/>
  <c r="I97" i="17"/>
  <c r="H97" i="17"/>
  <c r="G97" i="17"/>
  <c r="F97" i="17"/>
  <c r="AI96" i="17"/>
  <c r="AH96" i="17"/>
  <c r="AG96" i="17"/>
  <c r="AF96" i="17"/>
  <c r="AE96" i="17"/>
  <c r="AD96" i="17"/>
  <c r="AC96" i="17"/>
  <c r="AB96" i="17"/>
  <c r="AA96" i="17"/>
  <c r="Z96" i="17"/>
  <c r="Y96" i="17"/>
  <c r="X96" i="17"/>
  <c r="W96" i="17"/>
  <c r="V96" i="17"/>
  <c r="U96" i="17"/>
  <c r="T96" i="17"/>
  <c r="S96" i="17"/>
  <c r="R96" i="17"/>
  <c r="Q96" i="17"/>
  <c r="P96" i="17"/>
  <c r="O96" i="17"/>
  <c r="N96" i="17"/>
  <c r="M96" i="17"/>
  <c r="L96" i="17"/>
  <c r="K96" i="17"/>
  <c r="J96" i="17"/>
  <c r="I96" i="17"/>
  <c r="H96" i="17"/>
  <c r="G96" i="17"/>
  <c r="F96" i="17"/>
  <c r="AI95" i="17"/>
  <c r="AH95" i="17"/>
  <c r="AG95" i="17"/>
  <c r="AF95" i="17"/>
  <c r="AE95" i="17"/>
  <c r="AD95" i="17"/>
  <c r="AC95" i="17"/>
  <c r="AB95" i="17"/>
  <c r="AA95" i="17"/>
  <c r="Z95" i="17"/>
  <c r="Y95" i="17"/>
  <c r="X95" i="17"/>
  <c r="W95" i="17"/>
  <c r="V95" i="17"/>
  <c r="U95" i="17"/>
  <c r="T95" i="17"/>
  <c r="S95" i="17"/>
  <c r="R95" i="17"/>
  <c r="Q95" i="17"/>
  <c r="P95" i="17"/>
  <c r="O95" i="17"/>
  <c r="N95" i="17"/>
  <c r="M95" i="17"/>
  <c r="L95" i="17"/>
  <c r="K95" i="17"/>
  <c r="J95" i="17"/>
  <c r="I95" i="17"/>
  <c r="H95" i="17"/>
  <c r="G95" i="17"/>
  <c r="F95" i="17"/>
  <c r="AI94" i="17"/>
  <c r="AH94" i="17"/>
  <c r="AG94" i="17"/>
  <c r="AF94" i="17"/>
  <c r="AE94" i="17"/>
  <c r="AD94" i="17"/>
  <c r="AC94" i="17"/>
  <c r="AB94" i="17"/>
  <c r="AA94" i="17"/>
  <c r="Z94" i="17"/>
  <c r="Y94" i="17"/>
  <c r="X94" i="17"/>
  <c r="W94" i="17"/>
  <c r="V94" i="17"/>
  <c r="U94" i="17"/>
  <c r="T94" i="17"/>
  <c r="S94" i="17"/>
  <c r="R94" i="17"/>
  <c r="Q94" i="17"/>
  <c r="P94" i="17"/>
  <c r="O94" i="17"/>
  <c r="N94" i="17"/>
  <c r="M94" i="17"/>
  <c r="L94" i="17"/>
  <c r="K94" i="17"/>
  <c r="J94" i="17"/>
  <c r="I94" i="17"/>
  <c r="H94" i="17"/>
  <c r="G94" i="17"/>
  <c r="F94" i="17"/>
  <c r="AI93" i="17"/>
  <c r="AH93" i="17"/>
  <c r="AG93" i="17"/>
  <c r="AF93" i="17"/>
  <c r="AE93" i="17"/>
  <c r="AD93" i="17"/>
  <c r="AC93" i="17"/>
  <c r="AB93" i="17"/>
  <c r="AA93" i="17"/>
  <c r="Z93" i="17"/>
  <c r="Y93" i="17"/>
  <c r="X93" i="17"/>
  <c r="W93" i="17"/>
  <c r="V93" i="17"/>
  <c r="U93" i="17"/>
  <c r="T93" i="17"/>
  <c r="S93" i="17"/>
  <c r="R93" i="17"/>
  <c r="Q93" i="17"/>
  <c r="P93" i="17"/>
  <c r="O93" i="17"/>
  <c r="N93" i="17"/>
  <c r="M93" i="17"/>
  <c r="L93" i="17"/>
  <c r="K93" i="17"/>
  <c r="J93" i="17"/>
  <c r="I93" i="17"/>
  <c r="H93" i="17"/>
  <c r="G93" i="17"/>
  <c r="F93" i="17"/>
  <c r="AI92" i="17"/>
  <c r="AH92" i="17"/>
  <c r="AG92" i="17"/>
  <c r="AF92" i="17"/>
  <c r="AE92" i="17"/>
  <c r="AD92" i="17"/>
  <c r="AC92" i="17"/>
  <c r="AB92" i="17"/>
  <c r="AA92" i="17"/>
  <c r="Z92" i="17"/>
  <c r="Y92" i="17"/>
  <c r="X92" i="17"/>
  <c r="W92" i="17"/>
  <c r="V92" i="17"/>
  <c r="U92" i="17"/>
  <c r="T92" i="17"/>
  <c r="S92" i="17"/>
  <c r="R92" i="17"/>
  <c r="Q92" i="17"/>
  <c r="P92" i="17"/>
  <c r="O92" i="17"/>
  <c r="N92" i="17"/>
  <c r="M92" i="17"/>
  <c r="L92" i="17"/>
  <c r="K92" i="17"/>
  <c r="J92" i="17"/>
  <c r="I92" i="17"/>
  <c r="H92" i="17"/>
  <c r="G92" i="17"/>
  <c r="F92" i="17"/>
  <c r="AI91" i="17"/>
  <c r="AH91" i="17"/>
  <c r="AG91" i="17"/>
  <c r="AF91" i="17"/>
  <c r="AE91" i="17"/>
  <c r="AD91" i="17"/>
  <c r="AC91" i="17"/>
  <c r="AB91" i="17"/>
  <c r="AA91" i="17"/>
  <c r="Z91" i="17"/>
  <c r="Y91" i="17"/>
  <c r="X91" i="17"/>
  <c r="W91" i="17"/>
  <c r="V91" i="17"/>
  <c r="U91" i="17"/>
  <c r="T91" i="17"/>
  <c r="S91" i="17"/>
  <c r="R91" i="17"/>
  <c r="Q91" i="17"/>
  <c r="P91" i="17"/>
  <c r="O91" i="17"/>
  <c r="N91" i="17"/>
  <c r="M91" i="17"/>
  <c r="L91" i="17"/>
  <c r="K91" i="17"/>
  <c r="J91" i="17"/>
  <c r="I91" i="17"/>
  <c r="H91" i="17"/>
  <c r="G91" i="17"/>
  <c r="F91" i="17"/>
  <c r="AI90" i="17"/>
  <c r="AH90" i="17"/>
  <c r="AG90" i="17"/>
  <c r="AF90" i="17"/>
  <c r="AE90" i="17"/>
  <c r="AD90" i="17"/>
  <c r="AC90" i="17"/>
  <c r="AB90" i="17"/>
  <c r="AA90" i="17"/>
  <c r="Z90" i="17"/>
  <c r="Y90" i="17"/>
  <c r="X90" i="17"/>
  <c r="W90" i="17"/>
  <c r="V90" i="17"/>
  <c r="U90" i="17"/>
  <c r="T90" i="17"/>
  <c r="S90" i="17"/>
  <c r="R90" i="17"/>
  <c r="Q90" i="17"/>
  <c r="P90" i="17"/>
  <c r="O90" i="17"/>
  <c r="N90" i="17"/>
  <c r="M90" i="17"/>
  <c r="L90" i="17"/>
  <c r="K90" i="17"/>
  <c r="J90" i="17"/>
  <c r="I90" i="17"/>
  <c r="H90" i="17"/>
  <c r="G90" i="17"/>
  <c r="F90" i="17"/>
  <c r="AI89" i="17"/>
  <c r="AH89" i="17"/>
  <c r="AG89" i="17"/>
  <c r="AF89" i="17"/>
  <c r="AE89" i="17"/>
  <c r="AD89" i="17"/>
  <c r="AC89" i="17"/>
  <c r="AB89" i="17"/>
  <c r="AA89" i="17"/>
  <c r="Z89" i="17"/>
  <c r="Y89" i="17"/>
  <c r="X89" i="17"/>
  <c r="W89" i="17"/>
  <c r="V89" i="17"/>
  <c r="U89" i="17"/>
  <c r="T89" i="17"/>
  <c r="S89" i="17"/>
  <c r="R89" i="17"/>
  <c r="Q89" i="17"/>
  <c r="P89" i="17"/>
  <c r="O89" i="17"/>
  <c r="N89" i="17"/>
  <c r="M89" i="17"/>
  <c r="L89" i="17"/>
  <c r="K89" i="17"/>
  <c r="J89" i="17"/>
  <c r="I89" i="17"/>
  <c r="H89" i="17"/>
  <c r="G89" i="17"/>
  <c r="F89" i="17"/>
  <c r="AI88" i="17"/>
  <c r="AH88" i="17"/>
  <c r="AG88" i="17"/>
  <c r="AF88" i="17"/>
  <c r="AE88" i="17"/>
  <c r="AD88" i="17"/>
  <c r="AC88" i="17"/>
  <c r="AB88" i="17"/>
  <c r="AA88" i="17"/>
  <c r="Z88" i="17"/>
  <c r="Y88" i="17"/>
  <c r="X88" i="17"/>
  <c r="W88" i="17"/>
  <c r="V88" i="17"/>
  <c r="U88" i="17"/>
  <c r="T88" i="17"/>
  <c r="S88" i="17"/>
  <c r="R88" i="17"/>
  <c r="Q88" i="17"/>
  <c r="P88" i="17"/>
  <c r="O88" i="17"/>
  <c r="N88" i="17"/>
  <c r="M88" i="17"/>
  <c r="L88" i="17"/>
  <c r="K88" i="17"/>
  <c r="J88" i="17"/>
  <c r="I88" i="17"/>
  <c r="H88" i="17"/>
  <c r="G88" i="17"/>
  <c r="F88" i="17"/>
  <c r="AI87" i="17"/>
  <c r="AH87" i="17"/>
  <c r="AG87" i="17"/>
  <c r="AF87" i="17"/>
  <c r="AE87" i="17"/>
  <c r="AD87" i="17"/>
  <c r="AC87" i="17"/>
  <c r="AB87" i="17"/>
  <c r="AA87" i="17"/>
  <c r="Z87" i="17"/>
  <c r="Y87" i="17"/>
  <c r="X87" i="17"/>
  <c r="W87" i="17"/>
  <c r="V87" i="17"/>
  <c r="U87" i="17"/>
  <c r="T87" i="17"/>
  <c r="S87" i="17"/>
  <c r="R87" i="17"/>
  <c r="Q87" i="17"/>
  <c r="P87" i="17"/>
  <c r="O87" i="17"/>
  <c r="N87" i="17"/>
  <c r="M87" i="17"/>
  <c r="L87" i="17"/>
  <c r="K87" i="17"/>
  <c r="J87" i="17"/>
  <c r="I87" i="17"/>
  <c r="H87" i="17"/>
  <c r="G87" i="17"/>
  <c r="F87" i="17"/>
  <c r="AI86" i="17"/>
  <c r="AH86" i="17"/>
  <c r="AG86" i="17"/>
  <c r="AF86" i="17"/>
  <c r="AE86" i="17"/>
  <c r="AD86" i="17"/>
  <c r="AC86" i="17"/>
  <c r="AB86" i="17"/>
  <c r="AA86" i="17"/>
  <c r="Z86" i="17"/>
  <c r="Y86" i="17"/>
  <c r="X86" i="17"/>
  <c r="W86" i="17"/>
  <c r="V86" i="17"/>
  <c r="U86" i="17"/>
  <c r="T86" i="17"/>
  <c r="S86" i="17"/>
  <c r="R86" i="17"/>
  <c r="Q86" i="17"/>
  <c r="P86" i="17"/>
  <c r="O86" i="17"/>
  <c r="N86" i="17"/>
  <c r="M86" i="17"/>
  <c r="L86" i="17"/>
  <c r="K86" i="17"/>
  <c r="J86" i="17"/>
  <c r="I86" i="17"/>
  <c r="H86" i="17"/>
  <c r="G86" i="17"/>
  <c r="F86" i="17"/>
  <c r="AI85" i="17"/>
  <c r="AH85" i="17"/>
  <c r="AG85" i="17"/>
  <c r="AF85" i="17"/>
  <c r="AE85" i="17"/>
  <c r="AD85" i="17"/>
  <c r="AC85" i="17"/>
  <c r="AB85" i="17"/>
  <c r="AA85" i="17"/>
  <c r="Z85" i="17"/>
  <c r="Y85" i="17"/>
  <c r="X85" i="17"/>
  <c r="W85" i="17"/>
  <c r="V85" i="17"/>
  <c r="U85" i="17"/>
  <c r="T85" i="17"/>
  <c r="S85" i="17"/>
  <c r="R85" i="17"/>
  <c r="Q85" i="17"/>
  <c r="P85" i="17"/>
  <c r="O85" i="17"/>
  <c r="N85" i="17"/>
  <c r="M85" i="17"/>
  <c r="L85" i="17"/>
  <c r="K85" i="17"/>
  <c r="J85" i="17"/>
  <c r="I85" i="17"/>
  <c r="H85" i="17"/>
  <c r="G85" i="17"/>
  <c r="F85" i="17"/>
  <c r="AI84" i="17"/>
  <c r="AH84" i="17"/>
  <c r="AG84" i="17"/>
  <c r="AF84" i="17"/>
  <c r="AE84" i="17"/>
  <c r="AD84" i="17"/>
  <c r="AC84" i="17"/>
  <c r="AB84" i="17"/>
  <c r="AA84" i="17"/>
  <c r="Z84" i="17"/>
  <c r="Y84" i="17"/>
  <c r="X84" i="17"/>
  <c r="W84" i="17"/>
  <c r="V84" i="17"/>
  <c r="U84" i="17"/>
  <c r="T84" i="17"/>
  <c r="S84" i="17"/>
  <c r="R84" i="17"/>
  <c r="Q84" i="17"/>
  <c r="P84" i="17"/>
  <c r="O84" i="17"/>
  <c r="N84" i="17"/>
  <c r="M84" i="17"/>
  <c r="L84" i="17"/>
  <c r="K84" i="17"/>
  <c r="J84" i="17"/>
  <c r="I84" i="17"/>
  <c r="H84" i="17"/>
  <c r="G84" i="17"/>
  <c r="F84" i="17"/>
  <c r="AI83" i="17"/>
  <c r="AH83" i="17"/>
  <c r="AG83" i="17"/>
  <c r="AF83" i="17"/>
  <c r="AE83" i="17"/>
  <c r="AD83" i="17"/>
  <c r="AC83" i="17"/>
  <c r="AB83" i="17"/>
  <c r="AA83" i="17"/>
  <c r="Z83" i="17"/>
  <c r="Y83" i="17"/>
  <c r="X83" i="17"/>
  <c r="W83" i="17"/>
  <c r="V83" i="17"/>
  <c r="U83" i="17"/>
  <c r="T83" i="17"/>
  <c r="S83" i="17"/>
  <c r="R83" i="17"/>
  <c r="Q83" i="17"/>
  <c r="P83" i="17"/>
  <c r="O83" i="17"/>
  <c r="N83" i="17"/>
  <c r="M83" i="17"/>
  <c r="L83" i="17"/>
  <c r="K83" i="17"/>
  <c r="J83" i="17"/>
  <c r="I83" i="17"/>
  <c r="H83" i="17"/>
  <c r="G83" i="17"/>
  <c r="F83" i="17"/>
  <c r="AI82" i="17"/>
  <c r="AH82" i="17"/>
  <c r="AG82" i="17"/>
  <c r="AF82" i="17"/>
  <c r="AE82" i="17"/>
  <c r="AD82" i="17"/>
  <c r="AC82" i="17"/>
  <c r="AB82" i="17"/>
  <c r="AA82" i="17"/>
  <c r="Z82" i="17"/>
  <c r="Y82" i="17"/>
  <c r="X82" i="17"/>
  <c r="W82" i="17"/>
  <c r="V82" i="17"/>
  <c r="U82" i="17"/>
  <c r="T82" i="17"/>
  <c r="S82" i="17"/>
  <c r="R82" i="17"/>
  <c r="Q82" i="17"/>
  <c r="P82" i="17"/>
  <c r="O82" i="17"/>
  <c r="N82" i="17"/>
  <c r="M82" i="17"/>
  <c r="L82" i="17"/>
  <c r="K82" i="17"/>
  <c r="J82" i="17"/>
  <c r="I82" i="17"/>
  <c r="H82" i="17"/>
  <c r="G82" i="17"/>
  <c r="F82" i="17"/>
  <c r="AI81" i="17"/>
  <c r="AH81" i="17"/>
  <c r="AG81" i="17"/>
  <c r="AF81" i="17"/>
  <c r="AE81" i="17"/>
  <c r="AD81" i="17"/>
  <c r="AC81" i="17"/>
  <c r="AB81" i="17"/>
  <c r="AA81" i="17"/>
  <c r="Z81" i="17"/>
  <c r="Y81" i="17"/>
  <c r="X81" i="17"/>
  <c r="W81" i="17"/>
  <c r="V81" i="17"/>
  <c r="U81" i="17"/>
  <c r="T81" i="17"/>
  <c r="S81" i="17"/>
  <c r="R81" i="17"/>
  <c r="Q81" i="17"/>
  <c r="P81" i="17"/>
  <c r="O81" i="17"/>
  <c r="N81" i="17"/>
  <c r="M81" i="17"/>
  <c r="L81" i="17"/>
  <c r="K81" i="17"/>
  <c r="J81" i="17"/>
  <c r="I81" i="17"/>
  <c r="H81" i="17"/>
  <c r="G81" i="17"/>
  <c r="F81" i="17"/>
  <c r="AI80" i="17"/>
  <c r="AH80" i="17"/>
  <c r="AG80" i="17"/>
  <c r="AF80" i="17"/>
  <c r="AE80" i="17"/>
  <c r="AD80" i="17"/>
  <c r="AC80" i="17"/>
  <c r="AB80" i="17"/>
  <c r="AA80" i="17"/>
  <c r="Z80" i="17"/>
  <c r="Y80" i="17"/>
  <c r="X80" i="17"/>
  <c r="W80" i="17"/>
  <c r="V80" i="17"/>
  <c r="U80" i="17"/>
  <c r="T80" i="17"/>
  <c r="S80" i="17"/>
  <c r="R80" i="17"/>
  <c r="Q80" i="17"/>
  <c r="P80" i="17"/>
  <c r="O80" i="17"/>
  <c r="N80" i="17"/>
  <c r="M80" i="17"/>
  <c r="L80" i="17"/>
  <c r="K80" i="17"/>
  <c r="J80" i="17"/>
  <c r="I80" i="17"/>
  <c r="H80" i="17"/>
  <c r="G80" i="17"/>
  <c r="F80" i="17"/>
  <c r="AI79" i="17"/>
  <c r="AH79" i="17"/>
  <c r="AG79" i="17"/>
  <c r="AF79" i="17"/>
  <c r="AE79" i="17"/>
  <c r="AD79" i="17"/>
  <c r="AC79" i="17"/>
  <c r="AB79" i="17"/>
  <c r="AA79" i="17"/>
  <c r="Z79" i="17"/>
  <c r="Y79" i="17"/>
  <c r="X79" i="17"/>
  <c r="W79" i="17"/>
  <c r="V79" i="17"/>
  <c r="U79" i="17"/>
  <c r="T79" i="17"/>
  <c r="S79" i="17"/>
  <c r="R79" i="17"/>
  <c r="Q79" i="17"/>
  <c r="P79" i="17"/>
  <c r="O79" i="17"/>
  <c r="N79" i="17"/>
  <c r="M79" i="17"/>
  <c r="L79" i="17"/>
  <c r="K79" i="17"/>
  <c r="J79" i="17"/>
  <c r="I79" i="17"/>
  <c r="H79" i="17"/>
  <c r="G79" i="17"/>
  <c r="F79" i="17"/>
  <c r="AI78" i="17"/>
  <c r="AH78" i="17"/>
  <c r="AG78" i="17"/>
  <c r="AF78" i="17"/>
  <c r="AE78" i="17"/>
  <c r="AD78" i="17"/>
  <c r="AC78" i="17"/>
  <c r="AB78" i="17"/>
  <c r="AA78" i="17"/>
  <c r="Z78" i="17"/>
  <c r="Y78" i="17"/>
  <c r="X78" i="17"/>
  <c r="W78" i="17"/>
  <c r="V78" i="17"/>
  <c r="U78" i="17"/>
  <c r="T78" i="17"/>
  <c r="S78" i="17"/>
  <c r="R78" i="17"/>
  <c r="Q78" i="17"/>
  <c r="P78" i="17"/>
  <c r="O78" i="17"/>
  <c r="N78" i="17"/>
  <c r="M78" i="17"/>
  <c r="L78" i="17"/>
  <c r="K78" i="17"/>
  <c r="J78" i="17"/>
  <c r="I78" i="17"/>
  <c r="H78" i="17"/>
  <c r="G78" i="17"/>
  <c r="F78" i="17"/>
  <c r="AI77" i="17"/>
  <c r="AH77" i="17"/>
  <c r="AG77" i="17"/>
  <c r="AF77" i="17"/>
  <c r="AE77" i="17"/>
  <c r="AD77" i="17"/>
  <c r="AC77" i="17"/>
  <c r="AB77" i="17"/>
  <c r="AA77" i="17"/>
  <c r="Z77" i="17"/>
  <c r="Y77" i="17"/>
  <c r="X77" i="17"/>
  <c r="W77" i="17"/>
  <c r="V77" i="17"/>
  <c r="U77" i="17"/>
  <c r="T77" i="17"/>
  <c r="S77" i="17"/>
  <c r="R77" i="17"/>
  <c r="Q77" i="17"/>
  <c r="P77" i="17"/>
  <c r="O77" i="17"/>
  <c r="N77" i="17"/>
  <c r="M77" i="17"/>
  <c r="L77" i="17"/>
  <c r="K77" i="17"/>
  <c r="J77" i="17"/>
  <c r="I77" i="17"/>
  <c r="H77" i="17"/>
  <c r="G77" i="17"/>
  <c r="F77" i="17"/>
  <c r="AI76" i="17"/>
  <c r="AH76" i="17"/>
  <c r="AG76" i="17"/>
  <c r="AF76" i="17"/>
  <c r="AE76" i="17"/>
  <c r="AD76" i="17"/>
  <c r="AC76" i="17"/>
  <c r="AB76" i="17"/>
  <c r="AA76" i="17"/>
  <c r="Z76" i="17"/>
  <c r="Y76" i="17"/>
  <c r="X76" i="17"/>
  <c r="W76" i="17"/>
  <c r="V76" i="17"/>
  <c r="U76" i="17"/>
  <c r="T76" i="17"/>
  <c r="S76" i="17"/>
  <c r="R76" i="17"/>
  <c r="Q76" i="17"/>
  <c r="P76" i="17"/>
  <c r="O76" i="17"/>
  <c r="N76" i="17"/>
  <c r="M76" i="17"/>
  <c r="L76" i="17"/>
  <c r="K76" i="17"/>
  <c r="J76" i="17"/>
  <c r="I76" i="17"/>
  <c r="H76" i="17"/>
  <c r="G76" i="17"/>
  <c r="F76" i="17"/>
  <c r="AI75" i="17"/>
  <c r="AH75" i="17"/>
  <c r="AG75" i="17"/>
  <c r="AF75" i="17"/>
  <c r="AE75" i="17"/>
  <c r="AD75" i="17"/>
  <c r="AC75" i="17"/>
  <c r="AB75" i="17"/>
  <c r="AA75" i="17"/>
  <c r="Z75" i="17"/>
  <c r="Y75" i="17"/>
  <c r="X75" i="17"/>
  <c r="W75" i="17"/>
  <c r="V75" i="17"/>
  <c r="U75" i="17"/>
  <c r="T75" i="17"/>
  <c r="S75" i="17"/>
  <c r="R75" i="17"/>
  <c r="Q75" i="17"/>
  <c r="P75" i="17"/>
  <c r="O75" i="17"/>
  <c r="N75" i="17"/>
  <c r="M75" i="17"/>
  <c r="L75" i="17"/>
  <c r="K75" i="17"/>
  <c r="J75" i="17"/>
  <c r="I75" i="17"/>
  <c r="H75" i="17"/>
  <c r="G75" i="17"/>
  <c r="F75" i="17"/>
  <c r="AI74" i="17"/>
  <c r="AH74" i="17"/>
  <c r="AG74" i="17"/>
  <c r="AF74" i="17"/>
  <c r="AE74" i="17"/>
  <c r="AD74" i="17"/>
  <c r="AC74" i="17"/>
  <c r="AB74" i="17"/>
  <c r="AA74" i="17"/>
  <c r="Z74" i="17"/>
  <c r="Y74" i="17"/>
  <c r="X74" i="17"/>
  <c r="W74" i="17"/>
  <c r="V74" i="17"/>
  <c r="U74" i="17"/>
  <c r="T74" i="17"/>
  <c r="S74" i="17"/>
  <c r="R74" i="17"/>
  <c r="Q74" i="17"/>
  <c r="P74" i="17"/>
  <c r="O74" i="17"/>
  <c r="N74" i="17"/>
  <c r="M74" i="17"/>
  <c r="L74" i="17"/>
  <c r="K74" i="17"/>
  <c r="J74" i="17"/>
  <c r="I74" i="17"/>
  <c r="H74" i="17"/>
  <c r="G74" i="17"/>
  <c r="F74" i="17"/>
  <c r="AI73" i="17"/>
  <c r="AH73" i="17"/>
  <c r="AG73" i="17"/>
  <c r="AF73" i="17"/>
  <c r="AE73" i="17"/>
  <c r="AD73" i="17"/>
  <c r="AC73" i="17"/>
  <c r="AB73" i="17"/>
  <c r="AA73" i="17"/>
  <c r="Z73" i="17"/>
  <c r="Y73" i="17"/>
  <c r="X73" i="17"/>
  <c r="W73" i="17"/>
  <c r="V73" i="17"/>
  <c r="U73" i="17"/>
  <c r="T73" i="17"/>
  <c r="S73" i="17"/>
  <c r="R73" i="17"/>
  <c r="Q73" i="17"/>
  <c r="P73" i="17"/>
  <c r="O73" i="17"/>
  <c r="N73" i="17"/>
  <c r="M73" i="17"/>
  <c r="L73" i="17"/>
  <c r="K73" i="17"/>
  <c r="J73" i="17"/>
  <c r="I73" i="17"/>
  <c r="H73" i="17"/>
  <c r="G73" i="17"/>
  <c r="F73" i="17"/>
  <c r="AI68" i="17"/>
  <c r="AH68" i="17"/>
  <c r="AG68" i="17"/>
  <c r="AF68" i="17"/>
  <c r="AE68" i="17"/>
  <c r="AD68" i="17"/>
  <c r="AC68" i="17"/>
  <c r="AB68" i="17"/>
  <c r="AA68" i="17"/>
  <c r="Z68" i="17"/>
  <c r="Y68" i="17"/>
  <c r="X68" i="17"/>
  <c r="W68" i="17"/>
  <c r="V68" i="17"/>
  <c r="U68" i="17"/>
  <c r="T68" i="17"/>
  <c r="S68" i="17"/>
  <c r="R68" i="17"/>
  <c r="Q68" i="17"/>
  <c r="P68" i="17"/>
  <c r="O68" i="17"/>
  <c r="N68" i="17"/>
  <c r="M68" i="17"/>
  <c r="L68" i="17"/>
  <c r="K68" i="17"/>
  <c r="J68" i="17"/>
  <c r="I68" i="17"/>
  <c r="H68" i="17"/>
  <c r="G68" i="17"/>
  <c r="F68" i="17"/>
  <c r="AI67" i="17"/>
  <c r="AH67" i="17"/>
  <c r="AG67" i="17"/>
  <c r="AF67" i="17"/>
  <c r="AE67" i="17"/>
  <c r="AD67" i="17"/>
  <c r="AC67" i="17"/>
  <c r="AB67" i="17"/>
  <c r="AA67" i="17"/>
  <c r="Z67" i="17"/>
  <c r="Y67" i="17"/>
  <c r="X67" i="17"/>
  <c r="W67" i="17"/>
  <c r="V67" i="17"/>
  <c r="U67" i="17"/>
  <c r="T67" i="17"/>
  <c r="S67" i="17"/>
  <c r="R67" i="17"/>
  <c r="Q67" i="17"/>
  <c r="P67" i="17"/>
  <c r="O67" i="17"/>
  <c r="N67" i="17"/>
  <c r="M67" i="17"/>
  <c r="L67" i="17"/>
  <c r="K67" i="17"/>
  <c r="J67" i="17"/>
  <c r="I67" i="17"/>
  <c r="H67" i="17"/>
  <c r="G67" i="17"/>
  <c r="F67" i="17"/>
  <c r="AI66" i="17"/>
  <c r="AH66" i="17"/>
  <c r="AG66" i="17"/>
  <c r="AF66" i="17"/>
  <c r="AE66" i="17"/>
  <c r="AD66" i="17"/>
  <c r="AC66" i="17"/>
  <c r="AB66" i="17"/>
  <c r="AA66" i="17"/>
  <c r="Z66" i="17"/>
  <c r="Y66" i="17"/>
  <c r="X66" i="17"/>
  <c r="W66" i="17"/>
  <c r="V66" i="17"/>
  <c r="U66" i="17"/>
  <c r="T66" i="17"/>
  <c r="S66" i="17"/>
  <c r="R66" i="17"/>
  <c r="Q66" i="17"/>
  <c r="P66" i="17"/>
  <c r="O66" i="17"/>
  <c r="N66" i="17"/>
  <c r="M66" i="17"/>
  <c r="L66" i="17"/>
  <c r="K66" i="17"/>
  <c r="J66" i="17"/>
  <c r="I66" i="17"/>
  <c r="H66" i="17"/>
  <c r="G66" i="17"/>
  <c r="F66" i="17"/>
  <c r="AI65" i="17"/>
  <c r="AH65" i="17"/>
  <c r="AG65" i="17"/>
  <c r="AF65" i="17"/>
  <c r="AE65" i="17"/>
  <c r="AD65" i="17"/>
  <c r="AC65" i="17"/>
  <c r="AB65" i="17"/>
  <c r="AA65" i="17"/>
  <c r="Z65" i="17"/>
  <c r="Y65" i="17"/>
  <c r="X65" i="17"/>
  <c r="W65" i="17"/>
  <c r="V65" i="17"/>
  <c r="U65" i="17"/>
  <c r="T65" i="17"/>
  <c r="S65" i="17"/>
  <c r="R65" i="17"/>
  <c r="Q65" i="17"/>
  <c r="P65" i="17"/>
  <c r="O65" i="17"/>
  <c r="N65" i="17"/>
  <c r="M65" i="17"/>
  <c r="L65" i="17"/>
  <c r="K65" i="17"/>
  <c r="J65" i="17"/>
  <c r="I65" i="17"/>
  <c r="H65" i="17"/>
  <c r="G65" i="17"/>
  <c r="F65" i="17"/>
  <c r="AI64" i="17"/>
  <c r="AH64" i="17"/>
  <c r="AG64" i="17"/>
  <c r="AF64" i="17"/>
  <c r="AE64" i="17"/>
  <c r="AD64" i="17"/>
  <c r="AC64" i="17"/>
  <c r="AB64" i="17"/>
  <c r="AA64" i="17"/>
  <c r="Z64" i="17"/>
  <c r="Y64" i="17"/>
  <c r="X64" i="17"/>
  <c r="W64" i="17"/>
  <c r="V64" i="17"/>
  <c r="U64" i="17"/>
  <c r="T64" i="17"/>
  <c r="S64" i="17"/>
  <c r="R64" i="17"/>
  <c r="Q64" i="17"/>
  <c r="P64" i="17"/>
  <c r="O64" i="17"/>
  <c r="N64" i="17"/>
  <c r="M64" i="17"/>
  <c r="L64" i="17"/>
  <c r="K64" i="17"/>
  <c r="J64" i="17"/>
  <c r="I64" i="17"/>
  <c r="H64" i="17"/>
  <c r="G64" i="17"/>
  <c r="F64" i="17"/>
  <c r="AI63" i="17"/>
  <c r="AH63" i="17"/>
  <c r="AG63" i="17"/>
  <c r="AF63" i="17"/>
  <c r="AE63" i="17"/>
  <c r="AD63" i="17"/>
  <c r="AC63" i="17"/>
  <c r="AB63" i="17"/>
  <c r="AA63" i="17"/>
  <c r="Z63" i="17"/>
  <c r="Y63" i="17"/>
  <c r="X63" i="17"/>
  <c r="W63" i="17"/>
  <c r="V63" i="17"/>
  <c r="U63" i="17"/>
  <c r="T63" i="17"/>
  <c r="S63" i="17"/>
  <c r="R63" i="17"/>
  <c r="Q63" i="17"/>
  <c r="P63" i="17"/>
  <c r="O63" i="17"/>
  <c r="N63" i="17"/>
  <c r="M63" i="17"/>
  <c r="L63" i="17"/>
  <c r="K63" i="17"/>
  <c r="J63" i="17"/>
  <c r="I63" i="17"/>
  <c r="H63" i="17"/>
  <c r="G63" i="17"/>
  <c r="F63" i="17"/>
  <c r="AI62" i="17"/>
  <c r="AH62" i="17"/>
  <c r="AG62" i="17"/>
  <c r="AF62" i="17"/>
  <c r="AE62" i="17"/>
  <c r="AD62" i="17"/>
  <c r="AC62" i="17"/>
  <c r="AB62" i="17"/>
  <c r="AA62" i="17"/>
  <c r="Z62" i="17"/>
  <c r="Y62" i="17"/>
  <c r="X62" i="17"/>
  <c r="W62" i="17"/>
  <c r="V62" i="17"/>
  <c r="U62" i="17"/>
  <c r="T62" i="17"/>
  <c r="S62" i="17"/>
  <c r="R62" i="17"/>
  <c r="Q62" i="17"/>
  <c r="P62" i="17"/>
  <c r="O62" i="17"/>
  <c r="N62" i="17"/>
  <c r="M62" i="17"/>
  <c r="L62" i="17"/>
  <c r="K62" i="17"/>
  <c r="J62" i="17"/>
  <c r="I62" i="17"/>
  <c r="H62" i="17"/>
  <c r="G62" i="17"/>
  <c r="F62" i="17"/>
  <c r="AI61" i="17"/>
  <c r="AH61" i="17"/>
  <c r="AG61" i="17"/>
  <c r="AF61" i="17"/>
  <c r="AE61" i="17"/>
  <c r="AD61" i="17"/>
  <c r="AC61" i="17"/>
  <c r="AB61" i="17"/>
  <c r="AA61" i="17"/>
  <c r="Z61" i="17"/>
  <c r="Y61" i="17"/>
  <c r="X61" i="17"/>
  <c r="W61" i="17"/>
  <c r="V61" i="17"/>
  <c r="U61" i="17"/>
  <c r="T61" i="17"/>
  <c r="S61" i="17"/>
  <c r="R61" i="17"/>
  <c r="Q61" i="17"/>
  <c r="P61" i="17"/>
  <c r="O61" i="17"/>
  <c r="N61" i="17"/>
  <c r="M61" i="17"/>
  <c r="L61" i="17"/>
  <c r="K61" i="17"/>
  <c r="J61" i="17"/>
  <c r="I61" i="17"/>
  <c r="H61" i="17"/>
  <c r="G61" i="17"/>
  <c r="F61" i="17"/>
  <c r="AI60" i="17"/>
  <c r="AH60" i="17"/>
  <c r="AG60" i="17"/>
  <c r="AF60" i="17"/>
  <c r="AE60" i="17"/>
  <c r="AD60" i="17"/>
  <c r="AC60" i="17"/>
  <c r="AB60" i="17"/>
  <c r="AA60" i="17"/>
  <c r="Z60" i="17"/>
  <c r="Y60" i="17"/>
  <c r="X60" i="17"/>
  <c r="W60" i="17"/>
  <c r="V60" i="17"/>
  <c r="U60" i="17"/>
  <c r="T60" i="17"/>
  <c r="S60" i="17"/>
  <c r="R60" i="17"/>
  <c r="Q60" i="17"/>
  <c r="P60" i="17"/>
  <c r="O60" i="17"/>
  <c r="N60" i="17"/>
  <c r="M60" i="17"/>
  <c r="L60" i="17"/>
  <c r="K60" i="17"/>
  <c r="J60" i="17"/>
  <c r="I60" i="17"/>
  <c r="H60" i="17"/>
  <c r="G60" i="17"/>
  <c r="F60" i="17"/>
  <c r="AI59" i="17"/>
  <c r="AH59" i="17"/>
  <c r="AG59" i="17"/>
  <c r="AF59" i="17"/>
  <c r="AE59" i="17"/>
  <c r="AD59" i="17"/>
  <c r="AC59" i="17"/>
  <c r="AB59" i="17"/>
  <c r="AA59" i="17"/>
  <c r="Z59" i="17"/>
  <c r="Y59" i="17"/>
  <c r="X59" i="17"/>
  <c r="W59" i="17"/>
  <c r="V59" i="17"/>
  <c r="U59" i="17"/>
  <c r="T59" i="17"/>
  <c r="S59" i="17"/>
  <c r="R59" i="17"/>
  <c r="Q59" i="17"/>
  <c r="P59" i="17"/>
  <c r="O59" i="17"/>
  <c r="N59" i="17"/>
  <c r="M59" i="17"/>
  <c r="L59" i="17"/>
  <c r="K59" i="17"/>
  <c r="J59" i="17"/>
  <c r="I59" i="17"/>
  <c r="H59" i="17"/>
  <c r="G59" i="17"/>
  <c r="F59" i="17"/>
  <c r="AI58" i="17"/>
  <c r="AH58" i="17"/>
  <c r="AG58" i="17"/>
  <c r="AF58" i="17"/>
  <c r="AE58" i="17"/>
  <c r="AD58" i="17"/>
  <c r="AC58" i="17"/>
  <c r="AB58" i="17"/>
  <c r="AA58" i="17"/>
  <c r="Z58" i="17"/>
  <c r="Y58" i="17"/>
  <c r="X58" i="17"/>
  <c r="W58" i="17"/>
  <c r="V58" i="17"/>
  <c r="U58" i="17"/>
  <c r="T58" i="17"/>
  <c r="S58" i="17"/>
  <c r="R58" i="17"/>
  <c r="Q58" i="17"/>
  <c r="P58" i="17"/>
  <c r="O58" i="17"/>
  <c r="N58" i="17"/>
  <c r="M58" i="17"/>
  <c r="L58" i="17"/>
  <c r="K58" i="17"/>
  <c r="J58" i="17"/>
  <c r="I58" i="17"/>
  <c r="H58" i="17"/>
  <c r="G58" i="17"/>
  <c r="F58" i="17"/>
  <c r="AI57" i="17"/>
  <c r="AH57" i="17"/>
  <c r="AG57" i="17"/>
  <c r="AF57" i="17"/>
  <c r="AE57" i="17"/>
  <c r="AD57" i="17"/>
  <c r="AC57" i="17"/>
  <c r="AB57" i="17"/>
  <c r="AA57" i="17"/>
  <c r="Z57" i="17"/>
  <c r="Y57" i="17"/>
  <c r="X57" i="17"/>
  <c r="W57" i="17"/>
  <c r="V57" i="17"/>
  <c r="U57" i="17"/>
  <c r="T57" i="17"/>
  <c r="S57" i="17"/>
  <c r="R57" i="17"/>
  <c r="Q57" i="17"/>
  <c r="P57" i="17"/>
  <c r="O57" i="17"/>
  <c r="N57" i="17"/>
  <c r="M57" i="17"/>
  <c r="L57" i="17"/>
  <c r="K57" i="17"/>
  <c r="J57" i="17"/>
  <c r="I57" i="17"/>
  <c r="H57" i="17"/>
  <c r="G57" i="17"/>
  <c r="F57" i="17"/>
  <c r="AI56" i="17"/>
  <c r="AH56" i="17"/>
  <c r="AG56" i="17"/>
  <c r="AF56" i="17"/>
  <c r="AE56" i="17"/>
  <c r="AD56" i="17"/>
  <c r="AC56" i="17"/>
  <c r="AB56" i="17"/>
  <c r="AA56" i="17"/>
  <c r="Z56" i="17"/>
  <c r="Y56" i="17"/>
  <c r="X56" i="17"/>
  <c r="W56" i="17"/>
  <c r="V56" i="17"/>
  <c r="U56" i="17"/>
  <c r="T56" i="17"/>
  <c r="S56" i="17"/>
  <c r="R56" i="17"/>
  <c r="Q56" i="17"/>
  <c r="P56" i="17"/>
  <c r="O56" i="17"/>
  <c r="N56" i="17"/>
  <c r="M56" i="17"/>
  <c r="L56" i="17"/>
  <c r="K56" i="17"/>
  <c r="J56" i="17"/>
  <c r="I56" i="17"/>
  <c r="H56" i="17"/>
  <c r="G56" i="17"/>
  <c r="F56" i="17"/>
  <c r="AI55" i="17"/>
  <c r="AH55" i="17"/>
  <c r="AG55" i="17"/>
  <c r="AF55" i="17"/>
  <c r="AE55" i="17"/>
  <c r="AD55" i="17"/>
  <c r="AC55" i="17"/>
  <c r="AB55" i="17"/>
  <c r="AA55" i="17"/>
  <c r="Z55" i="17"/>
  <c r="Y55" i="17"/>
  <c r="X55" i="17"/>
  <c r="W55" i="17"/>
  <c r="V55" i="17"/>
  <c r="U55" i="17"/>
  <c r="T55" i="17"/>
  <c r="S55" i="17"/>
  <c r="R55" i="17"/>
  <c r="Q55" i="17"/>
  <c r="P55" i="17"/>
  <c r="O55" i="17"/>
  <c r="N55" i="17"/>
  <c r="M55" i="17"/>
  <c r="L55" i="17"/>
  <c r="K55" i="17"/>
  <c r="J55" i="17"/>
  <c r="I55" i="17"/>
  <c r="H55" i="17"/>
  <c r="G55" i="17"/>
  <c r="F55" i="17"/>
  <c r="AI54" i="17"/>
  <c r="AH54" i="17"/>
  <c r="AG54" i="17"/>
  <c r="AF54" i="17"/>
  <c r="AE54" i="17"/>
  <c r="AD54" i="17"/>
  <c r="AC54" i="17"/>
  <c r="AB54" i="17"/>
  <c r="AA54" i="17"/>
  <c r="Z54" i="17"/>
  <c r="Y54" i="17"/>
  <c r="X54" i="17"/>
  <c r="W54" i="17"/>
  <c r="V54" i="17"/>
  <c r="U54" i="17"/>
  <c r="T54" i="17"/>
  <c r="S54" i="17"/>
  <c r="R54" i="17"/>
  <c r="Q54" i="17"/>
  <c r="P54" i="17"/>
  <c r="O54" i="17"/>
  <c r="N54" i="17"/>
  <c r="M54" i="17"/>
  <c r="L54" i="17"/>
  <c r="K54" i="17"/>
  <c r="J54" i="17"/>
  <c r="I54" i="17"/>
  <c r="H54" i="17"/>
  <c r="G54" i="17"/>
  <c r="F54" i="17"/>
  <c r="AI53" i="17"/>
  <c r="AH53" i="17"/>
  <c r="AG53" i="17"/>
  <c r="AF53" i="17"/>
  <c r="AE53" i="17"/>
  <c r="AD53" i="17"/>
  <c r="AC53" i="17"/>
  <c r="AB53" i="17"/>
  <c r="AA53" i="17"/>
  <c r="Z53" i="17"/>
  <c r="Y53" i="17"/>
  <c r="X53" i="17"/>
  <c r="W53" i="17"/>
  <c r="V53" i="17"/>
  <c r="U53" i="17"/>
  <c r="T53" i="17"/>
  <c r="S53" i="17"/>
  <c r="R53" i="17"/>
  <c r="Q53" i="17"/>
  <c r="P53" i="17"/>
  <c r="O53" i="17"/>
  <c r="N53" i="17"/>
  <c r="M53" i="17"/>
  <c r="L53" i="17"/>
  <c r="K53" i="17"/>
  <c r="J53" i="17"/>
  <c r="I53" i="17"/>
  <c r="H53" i="17"/>
  <c r="G53" i="17"/>
  <c r="F53" i="17"/>
  <c r="AI52" i="17"/>
  <c r="AH52" i="17"/>
  <c r="AG52" i="17"/>
  <c r="AF52" i="17"/>
  <c r="AE52" i="17"/>
  <c r="AD52" i="17"/>
  <c r="AC52" i="17"/>
  <c r="AB52" i="17"/>
  <c r="AA52" i="17"/>
  <c r="Z52" i="17"/>
  <c r="Y52" i="17"/>
  <c r="X52" i="17"/>
  <c r="W52" i="17"/>
  <c r="V52" i="17"/>
  <c r="U52" i="17"/>
  <c r="T52" i="17"/>
  <c r="S52" i="17"/>
  <c r="R52" i="17"/>
  <c r="Q52" i="17"/>
  <c r="P52" i="17"/>
  <c r="O52" i="17"/>
  <c r="N52" i="17"/>
  <c r="M52" i="17"/>
  <c r="L52" i="17"/>
  <c r="K52" i="17"/>
  <c r="J52" i="17"/>
  <c r="I52" i="17"/>
  <c r="H52" i="17"/>
  <c r="G52" i="17"/>
  <c r="F52" i="17"/>
  <c r="AI51" i="17"/>
  <c r="AH51" i="17"/>
  <c r="AG51" i="17"/>
  <c r="AF51" i="17"/>
  <c r="AE51" i="17"/>
  <c r="AD51" i="17"/>
  <c r="AC51" i="17"/>
  <c r="AB51" i="17"/>
  <c r="AA51" i="17"/>
  <c r="Z51" i="17"/>
  <c r="Y51" i="17"/>
  <c r="X51" i="17"/>
  <c r="W51" i="17"/>
  <c r="V51" i="17"/>
  <c r="U51" i="17"/>
  <c r="T51" i="17"/>
  <c r="S51" i="17"/>
  <c r="R51" i="17"/>
  <c r="Q51" i="17"/>
  <c r="P51" i="17"/>
  <c r="O51" i="17"/>
  <c r="N51" i="17"/>
  <c r="M51" i="17"/>
  <c r="L51" i="17"/>
  <c r="K51" i="17"/>
  <c r="J51" i="17"/>
  <c r="I51" i="17"/>
  <c r="H51" i="17"/>
  <c r="G51" i="17"/>
  <c r="F51" i="17"/>
  <c r="AI50" i="17"/>
  <c r="AH50" i="17"/>
  <c r="AG50" i="17"/>
  <c r="AF50" i="17"/>
  <c r="AE50" i="17"/>
  <c r="AD50" i="17"/>
  <c r="AC50" i="17"/>
  <c r="AB50" i="17"/>
  <c r="AA50" i="17"/>
  <c r="Z50" i="17"/>
  <c r="Y50" i="17"/>
  <c r="X50" i="17"/>
  <c r="W50" i="17"/>
  <c r="V50" i="17"/>
  <c r="U50" i="17"/>
  <c r="T50" i="17"/>
  <c r="S50" i="17"/>
  <c r="R50" i="17"/>
  <c r="Q50" i="17"/>
  <c r="P50" i="17"/>
  <c r="O50" i="17"/>
  <c r="N50" i="17"/>
  <c r="M50" i="17"/>
  <c r="L50" i="17"/>
  <c r="K50" i="17"/>
  <c r="J50" i="17"/>
  <c r="I50" i="17"/>
  <c r="H50" i="17"/>
  <c r="G50" i="17"/>
  <c r="F50" i="17"/>
  <c r="AI49" i="17"/>
  <c r="AH49" i="17"/>
  <c r="AG49" i="17"/>
  <c r="AF49" i="17"/>
  <c r="AE49" i="17"/>
  <c r="AD49" i="17"/>
  <c r="AC49" i="17"/>
  <c r="AB49" i="17"/>
  <c r="AA49" i="17"/>
  <c r="Z49" i="17"/>
  <c r="Y49" i="17"/>
  <c r="X49" i="17"/>
  <c r="W49" i="17"/>
  <c r="V49" i="17"/>
  <c r="U49" i="17"/>
  <c r="T49" i="17"/>
  <c r="S49" i="17"/>
  <c r="R49" i="17"/>
  <c r="Q49" i="17"/>
  <c r="P49" i="17"/>
  <c r="O49" i="17"/>
  <c r="N49" i="17"/>
  <c r="M49" i="17"/>
  <c r="L49" i="17"/>
  <c r="K49" i="17"/>
  <c r="J49" i="17"/>
  <c r="I49" i="17"/>
  <c r="H49" i="17"/>
  <c r="G49" i="17"/>
  <c r="F49" i="17"/>
  <c r="AI48" i="17"/>
  <c r="AH48" i="17"/>
  <c r="AG48" i="17"/>
  <c r="AF48" i="17"/>
  <c r="AE48" i="17"/>
  <c r="AD48" i="17"/>
  <c r="AC48" i="17"/>
  <c r="AB48" i="17"/>
  <c r="AA48" i="17"/>
  <c r="Z48" i="17"/>
  <c r="Y48" i="17"/>
  <c r="X48" i="17"/>
  <c r="W48" i="17"/>
  <c r="V48" i="17"/>
  <c r="U48" i="17"/>
  <c r="T48" i="17"/>
  <c r="S48" i="17"/>
  <c r="R48" i="17"/>
  <c r="Q48" i="17"/>
  <c r="P48" i="17"/>
  <c r="O48" i="17"/>
  <c r="N48" i="17"/>
  <c r="M48" i="17"/>
  <c r="L48" i="17"/>
  <c r="K48" i="17"/>
  <c r="J48" i="17"/>
  <c r="I48" i="17"/>
  <c r="H48" i="17"/>
  <c r="G48" i="17"/>
  <c r="F48" i="17"/>
  <c r="AI47" i="17"/>
  <c r="AH47" i="17"/>
  <c r="AG47" i="17"/>
  <c r="AF47" i="17"/>
  <c r="AE47" i="17"/>
  <c r="AD47" i="17"/>
  <c r="AC47" i="17"/>
  <c r="AB47" i="17"/>
  <c r="AA47" i="17"/>
  <c r="Z47" i="17"/>
  <c r="Y47" i="17"/>
  <c r="X47" i="17"/>
  <c r="W47" i="17"/>
  <c r="V47" i="17"/>
  <c r="U47" i="17"/>
  <c r="T47" i="17"/>
  <c r="S47" i="17"/>
  <c r="R47" i="17"/>
  <c r="Q47" i="17"/>
  <c r="P47" i="17"/>
  <c r="O47" i="17"/>
  <c r="N47" i="17"/>
  <c r="M47" i="17"/>
  <c r="L47" i="17"/>
  <c r="K47" i="17"/>
  <c r="J47" i="17"/>
  <c r="I47" i="17"/>
  <c r="H47" i="17"/>
  <c r="G47" i="17"/>
  <c r="F47" i="17"/>
  <c r="AI46" i="17"/>
  <c r="AH46" i="17"/>
  <c r="AG46" i="17"/>
  <c r="AF46" i="17"/>
  <c r="AE46" i="17"/>
  <c r="AD46" i="17"/>
  <c r="AC46" i="17"/>
  <c r="AB46" i="17"/>
  <c r="AA46" i="17"/>
  <c r="Z46" i="17"/>
  <c r="Y46" i="17"/>
  <c r="X46" i="17"/>
  <c r="W46" i="17"/>
  <c r="V46" i="17"/>
  <c r="U46" i="17"/>
  <c r="T46" i="17"/>
  <c r="S46" i="17"/>
  <c r="R46" i="17"/>
  <c r="Q46" i="17"/>
  <c r="P46" i="17"/>
  <c r="O46" i="17"/>
  <c r="N46" i="17"/>
  <c r="M46" i="17"/>
  <c r="L46" i="17"/>
  <c r="K46" i="17"/>
  <c r="J46" i="17"/>
  <c r="I46" i="17"/>
  <c r="H46" i="17"/>
  <c r="G46" i="17"/>
  <c r="F46" i="17"/>
  <c r="AI45" i="17"/>
  <c r="AH45" i="17"/>
  <c r="AG45" i="17"/>
  <c r="AF45" i="17"/>
  <c r="AE45" i="17"/>
  <c r="AD45" i="17"/>
  <c r="AC45" i="17"/>
  <c r="AB45" i="17"/>
  <c r="AA45" i="17"/>
  <c r="Z45" i="17"/>
  <c r="Y45" i="17"/>
  <c r="X45" i="17"/>
  <c r="W45" i="17"/>
  <c r="V45" i="17"/>
  <c r="U45" i="17"/>
  <c r="T45" i="17"/>
  <c r="S45" i="17"/>
  <c r="R45" i="17"/>
  <c r="Q45" i="17"/>
  <c r="P45" i="17"/>
  <c r="O45" i="17"/>
  <c r="N45" i="17"/>
  <c r="M45" i="17"/>
  <c r="L45" i="17"/>
  <c r="K45" i="17"/>
  <c r="J45" i="17"/>
  <c r="I45" i="17"/>
  <c r="H45" i="17"/>
  <c r="G45" i="17"/>
  <c r="F45" i="17"/>
  <c r="AI44" i="17"/>
  <c r="AH44" i="17"/>
  <c r="AG44" i="17"/>
  <c r="AF44" i="17"/>
  <c r="AE44" i="17"/>
  <c r="AD44" i="17"/>
  <c r="AC44" i="17"/>
  <c r="AB44" i="17"/>
  <c r="AA44" i="17"/>
  <c r="Z44" i="17"/>
  <c r="Y44" i="17"/>
  <c r="X44" i="17"/>
  <c r="W44" i="17"/>
  <c r="V44" i="17"/>
  <c r="U44" i="17"/>
  <c r="T44" i="17"/>
  <c r="S44" i="17"/>
  <c r="R44" i="17"/>
  <c r="Q44" i="17"/>
  <c r="P44" i="17"/>
  <c r="O44" i="17"/>
  <c r="N44" i="17"/>
  <c r="M44" i="17"/>
  <c r="L44" i="17"/>
  <c r="K44" i="17"/>
  <c r="J44" i="17"/>
  <c r="I44" i="17"/>
  <c r="H44" i="17"/>
  <c r="G44" i="17"/>
  <c r="F44" i="17"/>
  <c r="AI43" i="17"/>
  <c r="AH43" i="17"/>
  <c r="AG43" i="17"/>
  <c r="AF43" i="17"/>
  <c r="AE43" i="17"/>
  <c r="AD43" i="17"/>
  <c r="AC43" i="17"/>
  <c r="AB43" i="17"/>
  <c r="AA43" i="17"/>
  <c r="Z43" i="17"/>
  <c r="Y43" i="17"/>
  <c r="X43" i="17"/>
  <c r="W43" i="17"/>
  <c r="V43" i="17"/>
  <c r="U43" i="17"/>
  <c r="T43" i="17"/>
  <c r="S43" i="17"/>
  <c r="R43" i="17"/>
  <c r="Q43" i="17"/>
  <c r="P43" i="17"/>
  <c r="O43" i="17"/>
  <c r="N43" i="17"/>
  <c r="M43" i="17"/>
  <c r="L43" i="17"/>
  <c r="K43" i="17"/>
  <c r="J43" i="17"/>
  <c r="I43" i="17"/>
  <c r="H43" i="17"/>
  <c r="G43" i="17"/>
  <c r="F43" i="17"/>
  <c r="AI42" i="17"/>
  <c r="AH42" i="17"/>
  <c r="AG42" i="17"/>
  <c r="AF42" i="17"/>
  <c r="AE42" i="17"/>
  <c r="AD42" i="17"/>
  <c r="AC42" i="17"/>
  <c r="AB42" i="17"/>
  <c r="AA42" i="17"/>
  <c r="Z42" i="17"/>
  <c r="Y42" i="17"/>
  <c r="X42" i="17"/>
  <c r="W42" i="17"/>
  <c r="V42" i="17"/>
  <c r="U42" i="17"/>
  <c r="T42" i="17"/>
  <c r="S42" i="17"/>
  <c r="R42" i="17"/>
  <c r="Q42" i="17"/>
  <c r="P42" i="17"/>
  <c r="O42" i="17"/>
  <c r="N42" i="17"/>
  <c r="M42" i="17"/>
  <c r="L42" i="17"/>
  <c r="K42" i="17"/>
  <c r="J42" i="17"/>
  <c r="I42" i="17"/>
  <c r="H42" i="17"/>
  <c r="G42" i="17"/>
  <c r="F42" i="17"/>
  <c r="AI41" i="17"/>
  <c r="AH41" i="17"/>
  <c r="AG41" i="17"/>
  <c r="AF41" i="17"/>
  <c r="AE41" i="17"/>
  <c r="AD41" i="17"/>
  <c r="AC41" i="17"/>
  <c r="AB41" i="17"/>
  <c r="AA41" i="17"/>
  <c r="Z41" i="17"/>
  <c r="Y41" i="17"/>
  <c r="X41" i="17"/>
  <c r="W41" i="17"/>
  <c r="V41" i="17"/>
  <c r="U41" i="17"/>
  <c r="T41" i="17"/>
  <c r="S41" i="17"/>
  <c r="R41" i="17"/>
  <c r="Q41" i="17"/>
  <c r="P41" i="17"/>
  <c r="O41" i="17"/>
  <c r="N41" i="17"/>
  <c r="M41" i="17"/>
  <c r="L41" i="17"/>
  <c r="K41" i="17"/>
  <c r="J41" i="17"/>
  <c r="I41" i="17"/>
  <c r="H41" i="17"/>
  <c r="G41" i="17"/>
  <c r="F41" i="17"/>
  <c r="AI40" i="17"/>
  <c r="AH40" i="17"/>
  <c r="AG40" i="17"/>
  <c r="AF40" i="17"/>
  <c r="AE40" i="17"/>
  <c r="AD40" i="17"/>
  <c r="AC40" i="17"/>
  <c r="AB40" i="17"/>
  <c r="AA40" i="17"/>
  <c r="Z40" i="17"/>
  <c r="Y40" i="17"/>
  <c r="X40" i="17"/>
  <c r="W40" i="17"/>
  <c r="V40" i="17"/>
  <c r="U40" i="17"/>
  <c r="T40" i="17"/>
  <c r="S40" i="17"/>
  <c r="R40" i="17"/>
  <c r="Q40" i="17"/>
  <c r="P40" i="17"/>
  <c r="O40" i="17"/>
  <c r="N40" i="17"/>
  <c r="M40" i="17"/>
  <c r="L40" i="17"/>
  <c r="K40" i="17"/>
  <c r="J40" i="17"/>
  <c r="I40" i="17"/>
  <c r="H40" i="17"/>
  <c r="G40" i="17"/>
  <c r="F40" i="17"/>
  <c r="AI39" i="17"/>
  <c r="AH39" i="17"/>
  <c r="AG39" i="17"/>
  <c r="AF39" i="17"/>
  <c r="AE39" i="17"/>
  <c r="AD39" i="17"/>
  <c r="AC39" i="17"/>
  <c r="AB39" i="17"/>
  <c r="AA39" i="17"/>
  <c r="Z39" i="17"/>
  <c r="Y39" i="17"/>
  <c r="X39" i="17"/>
  <c r="W39" i="17"/>
  <c r="V39" i="17"/>
  <c r="U39" i="17"/>
  <c r="T39" i="17"/>
  <c r="S39" i="17"/>
  <c r="R39" i="17"/>
  <c r="Q39" i="17"/>
  <c r="P39" i="17"/>
  <c r="O39" i="17"/>
  <c r="N39" i="17"/>
  <c r="M39" i="17"/>
  <c r="L39" i="17"/>
  <c r="K39" i="17"/>
  <c r="J39" i="17"/>
  <c r="I39" i="17"/>
  <c r="H39" i="17"/>
  <c r="G39" i="17"/>
  <c r="F39" i="17"/>
  <c r="D340" i="17"/>
  <c r="C340" i="17"/>
  <c r="D339" i="17"/>
  <c r="C339" i="17"/>
  <c r="D338" i="17"/>
  <c r="C338" i="17"/>
  <c r="D337" i="17"/>
  <c r="C337" i="17"/>
  <c r="D336" i="17"/>
  <c r="C336" i="17"/>
  <c r="D335" i="17"/>
  <c r="C335" i="17"/>
  <c r="D334" i="17"/>
  <c r="C334" i="17"/>
  <c r="D333" i="17"/>
  <c r="C333" i="17"/>
  <c r="D332" i="17"/>
  <c r="C332" i="17"/>
  <c r="D331" i="17"/>
  <c r="C331" i="17"/>
  <c r="D330" i="17"/>
  <c r="C330" i="17"/>
  <c r="D329" i="17"/>
  <c r="C329" i="17"/>
  <c r="D328" i="17"/>
  <c r="C328" i="17"/>
  <c r="D327" i="17"/>
  <c r="C327" i="17"/>
  <c r="D326" i="17"/>
  <c r="C326" i="17"/>
  <c r="D325" i="17"/>
  <c r="C325" i="17"/>
  <c r="D324" i="17"/>
  <c r="C324" i="17"/>
  <c r="D323" i="17"/>
  <c r="C323" i="17"/>
  <c r="D322" i="17"/>
  <c r="C322" i="17"/>
  <c r="D321" i="17"/>
  <c r="C321" i="17"/>
  <c r="D320" i="17"/>
  <c r="C320" i="17"/>
  <c r="D319" i="17"/>
  <c r="C319" i="17"/>
  <c r="D318" i="17"/>
  <c r="C318" i="17"/>
  <c r="D317" i="17"/>
  <c r="C317" i="17"/>
  <c r="D316" i="17"/>
  <c r="C316" i="17"/>
  <c r="D315" i="17"/>
  <c r="C315" i="17"/>
  <c r="D314" i="17"/>
  <c r="C314" i="17"/>
  <c r="D313" i="17"/>
  <c r="C313" i="17"/>
  <c r="D312" i="17"/>
  <c r="C312" i="17"/>
  <c r="D311" i="17"/>
  <c r="C311" i="17"/>
  <c r="D306" i="17"/>
  <c r="C306" i="17"/>
  <c r="D305" i="17"/>
  <c r="C305" i="17"/>
  <c r="D304" i="17"/>
  <c r="C304" i="17"/>
  <c r="D303" i="17"/>
  <c r="C303" i="17"/>
  <c r="D302" i="17"/>
  <c r="C302" i="17"/>
  <c r="D301" i="17"/>
  <c r="C301" i="17"/>
  <c r="D300" i="17"/>
  <c r="C300" i="17"/>
  <c r="D299" i="17"/>
  <c r="C299" i="17"/>
  <c r="D298" i="17"/>
  <c r="C298" i="17"/>
  <c r="D297" i="17"/>
  <c r="C297" i="17"/>
  <c r="D296" i="17"/>
  <c r="C296" i="17"/>
  <c r="D295" i="17"/>
  <c r="C295" i="17"/>
  <c r="D294" i="17"/>
  <c r="C294" i="17"/>
  <c r="D293" i="17"/>
  <c r="C293" i="17"/>
  <c r="D292" i="17"/>
  <c r="C292" i="17"/>
  <c r="D291" i="17"/>
  <c r="C291" i="17"/>
  <c r="D290" i="17"/>
  <c r="C290" i="17"/>
  <c r="D289" i="17"/>
  <c r="C289" i="17"/>
  <c r="D288" i="17"/>
  <c r="C288" i="17"/>
  <c r="D287" i="17"/>
  <c r="C287" i="17"/>
  <c r="D286" i="17"/>
  <c r="C286" i="17"/>
  <c r="D285" i="17"/>
  <c r="C285" i="17"/>
  <c r="D284" i="17"/>
  <c r="C284" i="17"/>
  <c r="D283" i="17"/>
  <c r="C283" i="17"/>
  <c r="D282" i="17"/>
  <c r="C282" i="17"/>
  <c r="D281" i="17"/>
  <c r="C281" i="17"/>
  <c r="D280" i="17"/>
  <c r="C280" i="17"/>
  <c r="D279" i="17"/>
  <c r="C279" i="17"/>
  <c r="D278" i="17"/>
  <c r="C278" i="17"/>
  <c r="D277" i="17"/>
  <c r="C277" i="17"/>
  <c r="D272" i="17"/>
  <c r="C272" i="17"/>
  <c r="D271" i="17"/>
  <c r="C271" i="17"/>
  <c r="D270" i="17"/>
  <c r="C270" i="17"/>
  <c r="D269" i="17"/>
  <c r="C269" i="17"/>
  <c r="D268" i="17"/>
  <c r="C268" i="17"/>
  <c r="D267" i="17"/>
  <c r="C267" i="17"/>
  <c r="D266" i="17"/>
  <c r="C266" i="17"/>
  <c r="D265" i="17"/>
  <c r="C265" i="17"/>
  <c r="D264" i="17"/>
  <c r="C264" i="17"/>
  <c r="D263" i="17"/>
  <c r="C263" i="17"/>
  <c r="D262" i="17"/>
  <c r="C262" i="17"/>
  <c r="D261" i="17"/>
  <c r="C261" i="17"/>
  <c r="D260" i="17"/>
  <c r="C260" i="17"/>
  <c r="D259" i="17"/>
  <c r="C259" i="17"/>
  <c r="D258" i="17"/>
  <c r="C258" i="17"/>
  <c r="D257" i="17"/>
  <c r="C257" i="17"/>
  <c r="D256" i="17"/>
  <c r="C256" i="17"/>
  <c r="D255" i="17"/>
  <c r="C255" i="17"/>
  <c r="D254" i="17"/>
  <c r="C254" i="17"/>
  <c r="D253" i="17"/>
  <c r="C253" i="17"/>
  <c r="D252" i="17"/>
  <c r="C252" i="17"/>
  <c r="D251" i="17"/>
  <c r="C251" i="17"/>
  <c r="D250" i="17"/>
  <c r="C250" i="17"/>
  <c r="D249" i="17"/>
  <c r="C249" i="17"/>
  <c r="D248" i="17"/>
  <c r="C248" i="17"/>
  <c r="D247" i="17"/>
  <c r="C247" i="17"/>
  <c r="D246" i="17"/>
  <c r="C246" i="17"/>
  <c r="D245" i="17"/>
  <c r="C245" i="17"/>
  <c r="D244" i="17"/>
  <c r="C244" i="17"/>
  <c r="D243" i="17"/>
  <c r="C243" i="17"/>
  <c r="D238" i="17"/>
  <c r="C238" i="17"/>
  <c r="D237" i="17"/>
  <c r="C237" i="17"/>
  <c r="D236" i="17"/>
  <c r="C236" i="17"/>
  <c r="D235" i="17"/>
  <c r="C235" i="17"/>
  <c r="D234" i="17"/>
  <c r="C234" i="17"/>
  <c r="D233" i="17"/>
  <c r="C233" i="17"/>
  <c r="D232" i="17"/>
  <c r="C232" i="17"/>
  <c r="D231" i="17"/>
  <c r="C231" i="17"/>
  <c r="D230" i="17"/>
  <c r="C230" i="17"/>
  <c r="D229" i="17"/>
  <c r="C229" i="17"/>
  <c r="D228" i="17"/>
  <c r="C228" i="17"/>
  <c r="D227" i="17"/>
  <c r="C227" i="17"/>
  <c r="D226" i="17"/>
  <c r="C226" i="17"/>
  <c r="D225" i="17"/>
  <c r="C225" i="17"/>
  <c r="D224" i="17"/>
  <c r="C224" i="17"/>
  <c r="D223" i="17"/>
  <c r="C223" i="17"/>
  <c r="D222" i="17"/>
  <c r="C222" i="17"/>
  <c r="D221" i="17"/>
  <c r="C221" i="17"/>
  <c r="D220" i="17"/>
  <c r="C220" i="17"/>
  <c r="D219" i="17"/>
  <c r="C219" i="17"/>
  <c r="D218" i="17"/>
  <c r="C218" i="17"/>
  <c r="D217" i="17"/>
  <c r="C217" i="17"/>
  <c r="D216" i="17"/>
  <c r="C216" i="17"/>
  <c r="D215" i="17"/>
  <c r="C215" i="17"/>
  <c r="D214" i="17"/>
  <c r="C214" i="17"/>
  <c r="D213" i="17"/>
  <c r="C213" i="17"/>
  <c r="D212" i="17"/>
  <c r="C212" i="17"/>
  <c r="D211" i="17"/>
  <c r="C211" i="17"/>
  <c r="D210" i="17"/>
  <c r="C210" i="17"/>
  <c r="D209" i="17"/>
  <c r="C209" i="17"/>
  <c r="D204" i="17"/>
  <c r="C204" i="17"/>
  <c r="D203" i="17"/>
  <c r="C203" i="17"/>
  <c r="D202" i="17"/>
  <c r="C202" i="17"/>
  <c r="D201" i="17"/>
  <c r="C201" i="17"/>
  <c r="D200" i="17"/>
  <c r="C200" i="17"/>
  <c r="D199" i="17"/>
  <c r="C199" i="17"/>
  <c r="D198" i="17"/>
  <c r="C198" i="17"/>
  <c r="D197" i="17"/>
  <c r="C197" i="17"/>
  <c r="D196" i="17"/>
  <c r="C196" i="17"/>
  <c r="D195" i="17"/>
  <c r="C195" i="17"/>
  <c r="D194" i="17"/>
  <c r="C194" i="17"/>
  <c r="D193" i="17"/>
  <c r="C193" i="17"/>
  <c r="D192" i="17"/>
  <c r="C192" i="17"/>
  <c r="D191" i="17"/>
  <c r="C191" i="17"/>
  <c r="D190" i="17"/>
  <c r="C190" i="17"/>
  <c r="D189" i="17"/>
  <c r="C189" i="17"/>
  <c r="D188" i="17"/>
  <c r="C188" i="17"/>
  <c r="D187" i="17"/>
  <c r="C187" i="17"/>
  <c r="D186" i="17"/>
  <c r="C186" i="17"/>
  <c r="D185" i="17"/>
  <c r="C185" i="17"/>
  <c r="D184" i="17"/>
  <c r="C184" i="17"/>
  <c r="D183" i="17"/>
  <c r="C183" i="17"/>
  <c r="D182" i="17"/>
  <c r="C182" i="17"/>
  <c r="D181" i="17"/>
  <c r="C181" i="17"/>
  <c r="D180" i="17"/>
  <c r="C180" i="17"/>
  <c r="D179" i="17"/>
  <c r="C179" i="17"/>
  <c r="D178" i="17"/>
  <c r="C178" i="17"/>
  <c r="D177" i="17"/>
  <c r="C177" i="17"/>
  <c r="D176" i="17"/>
  <c r="C176" i="17"/>
  <c r="D175" i="17"/>
  <c r="C175" i="17"/>
  <c r="D170" i="17"/>
  <c r="C170" i="17"/>
  <c r="D169" i="17"/>
  <c r="C169" i="17"/>
  <c r="D168" i="17"/>
  <c r="C168" i="17"/>
  <c r="D167" i="17"/>
  <c r="C167" i="17"/>
  <c r="D166" i="17"/>
  <c r="C166" i="17"/>
  <c r="D165" i="17"/>
  <c r="C165" i="17"/>
  <c r="D164" i="17"/>
  <c r="C164" i="17"/>
  <c r="D163" i="17"/>
  <c r="C163" i="17"/>
  <c r="D162" i="17"/>
  <c r="C162" i="17"/>
  <c r="D161" i="17"/>
  <c r="C161" i="17"/>
  <c r="D160" i="17"/>
  <c r="C160" i="17"/>
  <c r="D159" i="17"/>
  <c r="C159" i="17"/>
  <c r="D158" i="17"/>
  <c r="C158" i="17"/>
  <c r="D157" i="17"/>
  <c r="C157" i="17"/>
  <c r="D156" i="17"/>
  <c r="C156" i="17"/>
  <c r="D155" i="17"/>
  <c r="C155" i="17"/>
  <c r="D154" i="17"/>
  <c r="C154" i="17"/>
  <c r="D153" i="17"/>
  <c r="C153" i="17"/>
  <c r="D152" i="17"/>
  <c r="C152" i="17"/>
  <c r="D151" i="17"/>
  <c r="C151" i="17"/>
  <c r="D150" i="17"/>
  <c r="C150" i="17"/>
  <c r="D149" i="17"/>
  <c r="C149" i="17"/>
  <c r="D148" i="17"/>
  <c r="C148" i="17"/>
  <c r="D147" i="17"/>
  <c r="C147" i="17"/>
  <c r="D146" i="17"/>
  <c r="C146" i="17"/>
  <c r="D145" i="17"/>
  <c r="C145" i="17"/>
  <c r="D144" i="17"/>
  <c r="C144" i="17"/>
  <c r="D143" i="17"/>
  <c r="C143" i="17"/>
  <c r="D142" i="17"/>
  <c r="C142" i="17"/>
  <c r="D141" i="17"/>
  <c r="C141" i="17"/>
  <c r="D136" i="17"/>
  <c r="C136" i="17"/>
  <c r="D135" i="17"/>
  <c r="C135" i="17"/>
  <c r="D134" i="17"/>
  <c r="C134" i="17"/>
  <c r="D133" i="17"/>
  <c r="C133" i="17"/>
  <c r="D132" i="17"/>
  <c r="C132" i="17"/>
  <c r="D131" i="17"/>
  <c r="C131" i="17"/>
  <c r="D130" i="17"/>
  <c r="C130" i="17"/>
  <c r="D129" i="17"/>
  <c r="C129" i="17"/>
  <c r="D128" i="17"/>
  <c r="C128" i="17"/>
  <c r="D127" i="17"/>
  <c r="C127" i="17"/>
  <c r="D126" i="17"/>
  <c r="C126" i="17"/>
  <c r="D125" i="17"/>
  <c r="C125" i="17"/>
  <c r="D124" i="17"/>
  <c r="C124" i="17"/>
  <c r="D123" i="17"/>
  <c r="C123" i="17"/>
  <c r="D122" i="17"/>
  <c r="C122" i="17"/>
  <c r="D121" i="17"/>
  <c r="C121" i="17"/>
  <c r="D120" i="17"/>
  <c r="C120" i="17"/>
  <c r="D119" i="17"/>
  <c r="C119" i="17"/>
  <c r="D118" i="17"/>
  <c r="C118" i="17"/>
  <c r="D117" i="17"/>
  <c r="C117" i="17"/>
  <c r="D116" i="17"/>
  <c r="C116" i="17"/>
  <c r="D115" i="17"/>
  <c r="C115" i="17"/>
  <c r="D114" i="17"/>
  <c r="C114" i="17"/>
  <c r="D113" i="17"/>
  <c r="C113" i="17"/>
  <c r="D112" i="17"/>
  <c r="C112" i="17"/>
  <c r="D111" i="17"/>
  <c r="C111" i="17"/>
  <c r="D110" i="17"/>
  <c r="C110" i="17"/>
  <c r="D109" i="17"/>
  <c r="C109" i="17"/>
  <c r="D108" i="17"/>
  <c r="C108" i="17"/>
  <c r="D107" i="17"/>
  <c r="C107" i="17"/>
  <c r="D102" i="17"/>
  <c r="C102" i="17"/>
  <c r="D101" i="17"/>
  <c r="C101" i="17"/>
  <c r="D100" i="17"/>
  <c r="C100" i="17"/>
  <c r="D99" i="17"/>
  <c r="C99" i="17"/>
  <c r="D98" i="17"/>
  <c r="C98" i="17"/>
  <c r="D97" i="17"/>
  <c r="C97" i="17"/>
  <c r="D96" i="17"/>
  <c r="C96" i="17"/>
  <c r="D95" i="17"/>
  <c r="C95" i="17"/>
  <c r="D94" i="17"/>
  <c r="C94" i="17"/>
  <c r="D93" i="17"/>
  <c r="C93" i="17"/>
  <c r="D92" i="17"/>
  <c r="C92" i="17"/>
  <c r="D91" i="17"/>
  <c r="C91" i="17"/>
  <c r="D90" i="17"/>
  <c r="C90" i="17"/>
  <c r="D89" i="17"/>
  <c r="C89" i="17"/>
  <c r="D88" i="17"/>
  <c r="C88" i="17"/>
  <c r="D87" i="17"/>
  <c r="C87" i="17"/>
  <c r="D86" i="17"/>
  <c r="C86" i="17"/>
  <c r="D85" i="17"/>
  <c r="C85" i="17"/>
  <c r="D84" i="17"/>
  <c r="C84" i="17"/>
  <c r="D83" i="17"/>
  <c r="C83" i="17"/>
  <c r="D82" i="17"/>
  <c r="C82" i="17"/>
  <c r="D81" i="17"/>
  <c r="C81" i="17"/>
  <c r="D80" i="17"/>
  <c r="C80" i="17"/>
  <c r="D79" i="17"/>
  <c r="C79" i="17"/>
  <c r="D78" i="17"/>
  <c r="C78" i="17"/>
  <c r="D77" i="17"/>
  <c r="C77" i="17"/>
  <c r="D76" i="17"/>
  <c r="C76" i="17"/>
  <c r="D75" i="17"/>
  <c r="C75" i="17"/>
  <c r="D74" i="17"/>
  <c r="C74" i="17"/>
  <c r="D73" i="17"/>
  <c r="C73" i="17"/>
  <c r="D68" i="17"/>
  <c r="D67" i="17"/>
  <c r="D66" i="17"/>
  <c r="D65" i="17"/>
  <c r="D64" i="17"/>
  <c r="D63" i="17"/>
  <c r="D62" i="17"/>
  <c r="D61" i="17"/>
  <c r="D60" i="17"/>
  <c r="D59" i="17"/>
  <c r="D58" i="17"/>
  <c r="D57" i="17"/>
  <c r="D56" i="17"/>
  <c r="D55" i="17"/>
  <c r="D54" i="17"/>
  <c r="D53" i="17"/>
  <c r="D52" i="17"/>
  <c r="D51" i="17"/>
  <c r="D50" i="17"/>
  <c r="D49" i="17"/>
  <c r="D48" i="17"/>
  <c r="D47" i="17"/>
  <c r="D46" i="17"/>
  <c r="D45" i="17"/>
  <c r="D44" i="17"/>
  <c r="D43" i="17"/>
  <c r="D42" i="17"/>
  <c r="D41" i="17"/>
  <c r="D40" i="17"/>
  <c r="D3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AI34" i="17" l="1"/>
  <c r="AH34" i="17"/>
  <c r="AG34" i="17"/>
  <c r="AF34" i="17"/>
  <c r="AE34" i="17"/>
  <c r="AD34" i="17"/>
  <c r="AC34" i="17"/>
  <c r="AB34" i="17"/>
  <c r="AA34" i="17"/>
  <c r="Z34" i="17"/>
  <c r="Y34" i="17"/>
  <c r="X34" i="17"/>
  <c r="W34" i="17"/>
  <c r="V34" i="17"/>
  <c r="U34" i="17"/>
  <c r="T34" i="17"/>
  <c r="S34" i="17"/>
  <c r="R34" i="17"/>
  <c r="Q34" i="17"/>
  <c r="P34" i="17"/>
  <c r="O34" i="17"/>
  <c r="N34" i="17"/>
  <c r="M34" i="17"/>
  <c r="L34" i="17"/>
  <c r="K34" i="17"/>
  <c r="J34" i="17"/>
  <c r="I34" i="17"/>
  <c r="H34" i="17"/>
  <c r="G34" i="17"/>
  <c r="F34" i="17"/>
  <c r="AI33" i="17"/>
  <c r="AH33" i="17"/>
  <c r="AG33" i="17"/>
  <c r="AF33" i="17"/>
  <c r="AE33" i="17"/>
  <c r="AD33" i="17"/>
  <c r="AC33" i="17"/>
  <c r="AB33" i="17"/>
  <c r="AA33" i="17"/>
  <c r="Z33" i="17"/>
  <c r="Y33" i="17"/>
  <c r="X33" i="17"/>
  <c r="W33" i="17"/>
  <c r="V33" i="17"/>
  <c r="U33" i="17"/>
  <c r="T33" i="17"/>
  <c r="S33" i="17"/>
  <c r="R33" i="17"/>
  <c r="Q33" i="17"/>
  <c r="P33" i="17"/>
  <c r="O33" i="17"/>
  <c r="N33" i="17"/>
  <c r="M33" i="17"/>
  <c r="L33" i="17"/>
  <c r="K33" i="17"/>
  <c r="J33" i="17"/>
  <c r="I33" i="17"/>
  <c r="H33" i="17"/>
  <c r="G33" i="17"/>
  <c r="F33" i="17"/>
  <c r="AI32" i="17"/>
  <c r="AH32" i="17"/>
  <c r="AG32" i="17"/>
  <c r="AF32" i="17"/>
  <c r="AE32" i="17"/>
  <c r="AD32" i="17"/>
  <c r="AC32" i="17"/>
  <c r="AB32" i="17"/>
  <c r="AA32" i="17"/>
  <c r="Z32" i="17"/>
  <c r="Y32" i="17"/>
  <c r="X32" i="17"/>
  <c r="W32" i="17"/>
  <c r="V32" i="17"/>
  <c r="U32" i="17"/>
  <c r="T32" i="17"/>
  <c r="S32" i="17"/>
  <c r="R32" i="17"/>
  <c r="Q32" i="17"/>
  <c r="P32" i="17"/>
  <c r="O32" i="17"/>
  <c r="N32" i="17"/>
  <c r="M32" i="17"/>
  <c r="L32" i="17"/>
  <c r="K32" i="17"/>
  <c r="J32" i="17"/>
  <c r="I32" i="17"/>
  <c r="H32" i="17"/>
  <c r="G32" i="17"/>
  <c r="F32" i="17"/>
  <c r="AI31" i="17"/>
  <c r="AH31" i="17"/>
  <c r="AG31" i="17"/>
  <c r="AF31" i="17"/>
  <c r="AE31" i="17"/>
  <c r="AD31" i="17"/>
  <c r="AC31" i="17"/>
  <c r="AB31" i="17"/>
  <c r="AA31" i="17"/>
  <c r="Z31" i="17"/>
  <c r="Y31" i="17"/>
  <c r="X31" i="17"/>
  <c r="W31" i="17"/>
  <c r="V31" i="17"/>
  <c r="U31" i="17"/>
  <c r="T31" i="17"/>
  <c r="S31" i="17"/>
  <c r="R31" i="17"/>
  <c r="Q31" i="17"/>
  <c r="P31" i="17"/>
  <c r="O31" i="17"/>
  <c r="N31" i="17"/>
  <c r="M31" i="17"/>
  <c r="L31" i="17"/>
  <c r="K31" i="17"/>
  <c r="J31" i="17"/>
  <c r="I31" i="17"/>
  <c r="H31" i="17"/>
  <c r="G31" i="17"/>
  <c r="F31" i="17"/>
  <c r="AI30" i="17"/>
  <c r="AH30" i="17"/>
  <c r="AG30" i="17"/>
  <c r="AF30" i="17"/>
  <c r="AE30" i="17"/>
  <c r="AD30" i="17"/>
  <c r="AC30" i="17"/>
  <c r="AB30" i="17"/>
  <c r="AA30" i="17"/>
  <c r="Z30" i="17"/>
  <c r="Y30" i="17"/>
  <c r="X30" i="17"/>
  <c r="W30" i="17"/>
  <c r="V30" i="17"/>
  <c r="U30" i="17"/>
  <c r="T30" i="17"/>
  <c r="S30" i="17"/>
  <c r="R30" i="17"/>
  <c r="Q30" i="17"/>
  <c r="P30" i="17"/>
  <c r="O30" i="17"/>
  <c r="N30" i="17"/>
  <c r="M30" i="17"/>
  <c r="L30" i="17"/>
  <c r="K30" i="17"/>
  <c r="J30" i="17"/>
  <c r="I30" i="17"/>
  <c r="H30" i="17"/>
  <c r="G30" i="17"/>
  <c r="F30" i="17"/>
  <c r="AI29" i="17"/>
  <c r="AH29" i="17"/>
  <c r="AG29" i="17"/>
  <c r="AF29" i="17"/>
  <c r="AE29" i="17"/>
  <c r="AD29" i="17"/>
  <c r="AC29" i="17"/>
  <c r="AB29" i="17"/>
  <c r="AA29" i="17"/>
  <c r="Z29" i="17"/>
  <c r="Y29" i="17"/>
  <c r="X29" i="17"/>
  <c r="W29" i="17"/>
  <c r="V29" i="17"/>
  <c r="U29" i="17"/>
  <c r="T29" i="17"/>
  <c r="S29" i="17"/>
  <c r="R29" i="17"/>
  <c r="Q29" i="17"/>
  <c r="P29" i="17"/>
  <c r="O29" i="17"/>
  <c r="N29" i="17"/>
  <c r="M29" i="17"/>
  <c r="L29" i="17"/>
  <c r="K29" i="17"/>
  <c r="J29" i="17"/>
  <c r="I29" i="17"/>
  <c r="H29" i="17"/>
  <c r="G29" i="17"/>
  <c r="F29" i="17"/>
  <c r="AI28" i="17"/>
  <c r="AH28" i="17"/>
  <c r="AG28" i="17"/>
  <c r="AF28" i="17"/>
  <c r="AE28" i="17"/>
  <c r="AD28" i="17"/>
  <c r="AC28" i="17"/>
  <c r="AB28" i="17"/>
  <c r="AA28" i="17"/>
  <c r="Z28" i="17"/>
  <c r="Y28" i="17"/>
  <c r="X28" i="17"/>
  <c r="W28" i="17"/>
  <c r="V28" i="17"/>
  <c r="U28" i="17"/>
  <c r="T28" i="17"/>
  <c r="S28" i="17"/>
  <c r="R28" i="17"/>
  <c r="Q28" i="17"/>
  <c r="P28" i="17"/>
  <c r="O28" i="17"/>
  <c r="N28" i="17"/>
  <c r="M28" i="17"/>
  <c r="L28" i="17"/>
  <c r="K28" i="17"/>
  <c r="J28" i="17"/>
  <c r="I28" i="17"/>
  <c r="H28" i="17"/>
  <c r="G28" i="17"/>
  <c r="F28" i="17"/>
  <c r="AI27" i="17"/>
  <c r="AH27" i="17"/>
  <c r="AG27" i="17"/>
  <c r="AF27" i="17"/>
  <c r="AE27" i="17"/>
  <c r="AD27" i="17"/>
  <c r="AC27" i="17"/>
  <c r="AB27" i="17"/>
  <c r="AA27" i="17"/>
  <c r="Z27" i="17"/>
  <c r="Y27" i="17"/>
  <c r="X27" i="17"/>
  <c r="W27" i="17"/>
  <c r="V27" i="17"/>
  <c r="U27" i="17"/>
  <c r="T27" i="17"/>
  <c r="S27" i="17"/>
  <c r="R27" i="17"/>
  <c r="Q27" i="17"/>
  <c r="P27" i="17"/>
  <c r="O27" i="17"/>
  <c r="N27" i="17"/>
  <c r="M27" i="17"/>
  <c r="L27" i="17"/>
  <c r="K27" i="17"/>
  <c r="J27" i="17"/>
  <c r="I27" i="17"/>
  <c r="H27" i="17"/>
  <c r="G27" i="17"/>
  <c r="F27" i="17"/>
  <c r="AI26" i="17"/>
  <c r="AH26" i="17"/>
  <c r="AG26" i="17"/>
  <c r="AF26" i="17"/>
  <c r="AE26" i="17"/>
  <c r="AD26" i="17"/>
  <c r="AC26" i="17"/>
  <c r="AB26" i="17"/>
  <c r="AA26" i="17"/>
  <c r="Z26" i="17"/>
  <c r="Y26" i="17"/>
  <c r="X26" i="17"/>
  <c r="W26" i="17"/>
  <c r="V26" i="17"/>
  <c r="U26" i="17"/>
  <c r="T26" i="17"/>
  <c r="S26" i="17"/>
  <c r="R26" i="17"/>
  <c r="Q26" i="17"/>
  <c r="P26" i="17"/>
  <c r="O26" i="17"/>
  <c r="N26" i="17"/>
  <c r="M26" i="17"/>
  <c r="L26" i="17"/>
  <c r="K26" i="17"/>
  <c r="J26" i="17"/>
  <c r="I26" i="17"/>
  <c r="H26" i="17"/>
  <c r="G26" i="17"/>
  <c r="F26" i="17"/>
  <c r="AI25" i="17"/>
  <c r="AH25" i="17"/>
  <c r="AG25" i="17"/>
  <c r="AF25" i="17"/>
  <c r="AE25" i="17"/>
  <c r="AD25" i="17"/>
  <c r="AC25" i="17"/>
  <c r="AB25" i="17"/>
  <c r="AA25" i="17"/>
  <c r="Z25" i="17"/>
  <c r="Y25" i="17"/>
  <c r="X25" i="17"/>
  <c r="W25" i="17"/>
  <c r="V25" i="17"/>
  <c r="U25" i="17"/>
  <c r="T25" i="17"/>
  <c r="S25" i="17"/>
  <c r="R25" i="17"/>
  <c r="Q25" i="17"/>
  <c r="P25" i="17"/>
  <c r="O25" i="17"/>
  <c r="N25" i="17"/>
  <c r="M25" i="17"/>
  <c r="L25" i="17"/>
  <c r="K25" i="17"/>
  <c r="J25" i="17"/>
  <c r="I25" i="17"/>
  <c r="H25" i="17"/>
  <c r="G25" i="17"/>
  <c r="F25" i="17"/>
  <c r="AI24" i="17"/>
  <c r="AH24" i="17"/>
  <c r="AG24" i="17"/>
  <c r="AF24" i="17"/>
  <c r="AE24" i="17"/>
  <c r="AD24" i="17"/>
  <c r="AC24" i="17"/>
  <c r="AB24" i="17"/>
  <c r="AA24" i="17"/>
  <c r="Z24" i="17"/>
  <c r="Y24" i="17"/>
  <c r="X24" i="17"/>
  <c r="W24" i="17"/>
  <c r="V24" i="17"/>
  <c r="U24" i="17"/>
  <c r="T24" i="17"/>
  <c r="S24" i="17"/>
  <c r="R24" i="17"/>
  <c r="Q24" i="17"/>
  <c r="P24" i="17"/>
  <c r="O24" i="17"/>
  <c r="N24" i="17"/>
  <c r="M24" i="17"/>
  <c r="L24" i="17"/>
  <c r="K24" i="17"/>
  <c r="J24" i="17"/>
  <c r="I24" i="17"/>
  <c r="H24" i="17"/>
  <c r="G24" i="17"/>
  <c r="F24" i="17"/>
  <c r="AI23" i="17"/>
  <c r="AH23" i="17"/>
  <c r="AG23" i="17"/>
  <c r="AF23" i="17"/>
  <c r="AE23" i="17"/>
  <c r="AD23" i="17"/>
  <c r="AC23" i="17"/>
  <c r="AB23" i="17"/>
  <c r="AA23" i="17"/>
  <c r="Z23" i="17"/>
  <c r="Y23" i="17"/>
  <c r="X23" i="17"/>
  <c r="W23" i="17"/>
  <c r="V23" i="17"/>
  <c r="U23" i="17"/>
  <c r="T23" i="17"/>
  <c r="S23" i="17"/>
  <c r="R23" i="17"/>
  <c r="Q23" i="17"/>
  <c r="P23" i="17"/>
  <c r="O23" i="17"/>
  <c r="N23" i="17"/>
  <c r="M23" i="17"/>
  <c r="L23" i="17"/>
  <c r="K23" i="17"/>
  <c r="J23" i="17"/>
  <c r="I23" i="17"/>
  <c r="H23" i="17"/>
  <c r="G23" i="17"/>
  <c r="F23" i="17"/>
  <c r="AI22" i="17"/>
  <c r="AH22" i="17"/>
  <c r="AG22" i="17"/>
  <c r="AF22" i="17"/>
  <c r="AE22" i="17"/>
  <c r="AD22" i="17"/>
  <c r="AC22" i="17"/>
  <c r="AB22" i="17"/>
  <c r="AA22" i="17"/>
  <c r="Z22" i="17"/>
  <c r="Y22" i="17"/>
  <c r="X22" i="17"/>
  <c r="W22" i="17"/>
  <c r="V22" i="17"/>
  <c r="U22" i="17"/>
  <c r="T22" i="17"/>
  <c r="S22" i="17"/>
  <c r="R22" i="17"/>
  <c r="Q22" i="17"/>
  <c r="P22" i="17"/>
  <c r="O22" i="17"/>
  <c r="N22" i="17"/>
  <c r="M22" i="17"/>
  <c r="L22" i="17"/>
  <c r="K22" i="17"/>
  <c r="J22" i="17"/>
  <c r="I22" i="17"/>
  <c r="H22" i="17"/>
  <c r="G22" i="17"/>
  <c r="F22" i="17"/>
  <c r="AI21" i="17"/>
  <c r="AH21" i="17"/>
  <c r="AG21" i="17"/>
  <c r="AF21" i="17"/>
  <c r="AE21" i="17"/>
  <c r="AD21" i="17"/>
  <c r="AC21" i="17"/>
  <c r="AB21" i="17"/>
  <c r="AA21" i="17"/>
  <c r="Z21" i="17"/>
  <c r="Y21" i="17"/>
  <c r="X21" i="17"/>
  <c r="W21" i="17"/>
  <c r="V21" i="17"/>
  <c r="U21" i="17"/>
  <c r="T21" i="17"/>
  <c r="S21" i="17"/>
  <c r="R21" i="17"/>
  <c r="Q21" i="17"/>
  <c r="P21" i="17"/>
  <c r="O21" i="17"/>
  <c r="N21" i="17"/>
  <c r="M21" i="17"/>
  <c r="L21" i="17"/>
  <c r="K21" i="17"/>
  <c r="J21" i="17"/>
  <c r="I21" i="17"/>
  <c r="H21" i="17"/>
  <c r="G21" i="17"/>
  <c r="F21" i="17"/>
  <c r="AI20" i="17"/>
  <c r="AH20" i="17"/>
  <c r="AG20" i="17"/>
  <c r="AF20" i="17"/>
  <c r="AE20" i="17"/>
  <c r="AD20" i="17"/>
  <c r="AC20" i="17"/>
  <c r="AB20" i="17"/>
  <c r="AA20" i="17"/>
  <c r="Z20" i="17"/>
  <c r="Y20" i="17"/>
  <c r="X20" i="17"/>
  <c r="W20" i="17"/>
  <c r="V20" i="17"/>
  <c r="U20" i="17"/>
  <c r="T20" i="17"/>
  <c r="S20" i="17"/>
  <c r="R20" i="17"/>
  <c r="Q20" i="17"/>
  <c r="P20" i="17"/>
  <c r="O20" i="17"/>
  <c r="N20" i="17"/>
  <c r="M20" i="17"/>
  <c r="L20" i="17"/>
  <c r="K20" i="17"/>
  <c r="J20" i="17"/>
  <c r="I20" i="17"/>
  <c r="H20" i="17"/>
  <c r="G20" i="17"/>
  <c r="F20" i="17"/>
  <c r="AI19" i="17"/>
  <c r="AH19" i="17"/>
  <c r="AG19" i="17"/>
  <c r="AF19" i="17"/>
  <c r="AE19" i="17"/>
  <c r="AD19" i="17"/>
  <c r="AC19" i="17"/>
  <c r="AB19" i="17"/>
  <c r="AA19" i="17"/>
  <c r="Z19" i="17"/>
  <c r="Y19" i="17"/>
  <c r="X19" i="17"/>
  <c r="W19" i="17"/>
  <c r="V19" i="17"/>
  <c r="U19" i="17"/>
  <c r="T19" i="17"/>
  <c r="S19" i="17"/>
  <c r="R19" i="17"/>
  <c r="Q19" i="17"/>
  <c r="P19" i="17"/>
  <c r="O19" i="17"/>
  <c r="N19" i="17"/>
  <c r="M19" i="17"/>
  <c r="L19" i="17"/>
  <c r="K19" i="17"/>
  <c r="J19" i="17"/>
  <c r="I19" i="17"/>
  <c r="H19" i="17"/>
  <c r="G19" i="17"/>
  <c r="F19" i="17"/>
  <c r="AI18" i="17"/>
  <c r="AH18" i="17"/>
  <c r="AG18" i="17"/>
  <c r="AF18" i="17"/>
  <c r="AE18" i="17"/>
  <c r="AD18" i="17"/>
  <c r="AC18" i="17"/>
  <c r="AB18" i="17"/>
  <c r="AA18" i="17"/>
  <c r="Z18" i="17"/>
  <c r="Y18" i="17"/>
  <c r="X18" i="17"/>
  <c r="W18" i="17"/>
  <c r="V18" i="17"/>
  <c r="U18" i="17"/>
  <c r="T18" i="17"/>
  <c r="S18" i="17"/>
  <c r="R18" i="17"/>
  <c r="Q18" i="17"/>
  <c r="P18" i="17"/>
  <c r="O18" i="17"/>
  <c r="N18" i="17"/>
  <c r="M18" i="17"/>
  <c r="L18" i="17"/>
  <c r="K18" i="17"/>
  <c r="J18" i="17"/>
  <c r="I18" i="17"/>
  <c r="H18" i="17"/>
  <c r="G18" i="17"/>
  <c r="F18" i="17"/>
  <c r="AI17" i="17"/>
  <c r="AH17" i="17"/>
  <c r="AG17" i="17"/>
  <c r="AF17" i="17"/>
  <c r="AE17" i="17"/>
  <c r="AD17" i="17"/>
  <c r="AC17" i="17"/>
  <c r="AB17" i="17"/>
  <c r="AA17" i="17"/>
  <c r="Z17" i="17"/>
  <c r="Y17" i="17"/>
  <c r="X17" i="17"/>
  <c r="W17" i="17"/>
  <c r="V17" i="17"/>
  <c r="U17" i="17"/>
  <c r="T17" i="17"/>
  <c r="S17" i="17"/>
  <c r="R17" i="17"/>
  <c r="Q17" i="17"/>
  <c r="P17" i="17"/>
  <c r="O17" i="17"/>
  <c r="N17" i="17"/>
  <c r="M17" i="17"/>
  <c r="L17" i="17"/>
  <c r="K17" i="17"/>
  <c r="J17" i="17"/>
  <c r="I17" i="17"/>
  <c r="H17" i="17"/>
  <c r="G17" i="17"/>
  <c r="F17" i="17"/>
  <c r="AI16" i="17"/>
  <c r="AH16" i="17"/>
  <c r="AG16" i="17"/>
  <c r="AF16" i="17"/>
  <c r="AE16" i="17"/>
  <c r="AD16" i="17"/>
  <c r="AC16" i="17"/>
  <c r="AB16" i="17"/>
  <c r="AA16" i="17"/>
  <c r="Z16" i="17"/>
  <c r="Y16" i="17"/>
  <c r="X16" i="17"/>
  <c r="W16" i="17"/>
  <c r="V16" i="17"/>
  <c r="U16" i="17"/>
  <c r="T16" i="17"/>
  <c r="S16" i="17"/>
  <c r="R16" i="17"/>
  <c r="Q16" i="17"/>
  <c r="P16" i="17"/>
  <c r="O16" i="17"/>
  <c r="N16" i="17"/>
  <c r="M16" i="17"/>
  <c r="L16" i="17"/>
  <c r="K16" i="17"/>
  <c r="J16" i="17"/>
  <c r="I16" i="17"/>
  <c r="H16" i="17"/>
  <c r="G16" i="17"/>
  <c r="F16" i="17"/>
  <c r="AI15" i="17"/>
  <c r="AH15" i="17"/>
  <c r="AG15" i="17"/>
  <c r="AF15" i="17"/>
  <c r="AE15" i="17"/>
  <c r="AD15" i="17"/>
  <c r="AC15" i="17"/>
  <c r="AB15" i="17"/>
  <c r="AA15" i="17"/>
  <c r="Z15" i="17"/>
  <c r="Y15" i="17"/>
  <c r="X15" i="17"/>
  <c r="W15" i="17"/>
  <c r="V15" i="17"/>
  <c r="U15" i="17"/>
  <c r="T15" i="17"/>
  <c r="S15" i="17"/>
  <c r="R15" i="17"/>
  <c r="Q15" i="17"/>
  <c r="P15" i="17"/>
  <c r="O15" i="17"/>
  <c r="N15" i="17"/>
  <c r="M15" i="17"/>
  <c r="L15" i="17"/>
  <c r="K15" i="17"/>
  <c r="J15" i="17"/>
  <c r="I15" i="17"/>
  <c r="H15" i="17"/>
  <c r="G15" i="17"/>
  <c r="F15" i="17"/>
  <c r="AI14" i="17"/>
  <c r="AH14" i="17"/>
  <c r="AG14" i="17"/>
  <c r="AF14" i="17"/>
  <c r="AE14" i="17"/>
  <c r="AD14" i="17"/>
  <c r="AC14" i="17"/>
  <c r="AB14" i="17"/>
  <c r="AA14" i="17"/>
  <c r="Z14" i="17"/>
  <c r="Y14" i="17"/>
  <c r="X14" i="17"/>
  <c r="W14" i="17"/>
  <c r="V14" i="17"/>
  <c r="U14" i="17"/>
  <c r="T14" i="17"/>
  <c r="S14" i="17"/>
  <c r="R14" i="17"/>
  <c r="Q14" i="17"/>
  <c r="P14" i="17"/>
  <c r="O14" i="17"/>
  <c r="N14" i="17"/>
  <c r="M14" i="17"/>
  <c r="L14" i="17"/>
  <c r="K14" i="17"/>
  <c r="J14" i="17"/>
  <c r="I14" i="17"/>
  <c r="H14" i="17"/>
  <c r="G14" i="17"/>
  <c r="F14" i="17"/>
  <c r="AI13" i="17"/>
  <c r="AH13" i="17"/>
  <c r="AG13" i="17"/>
  <c r="AF13" i="17"/>
  <c r="AE13" i="17"/>
  <c r="AD13" i="17"/>
  <c r="AC13" i="17"/>
  <c r="AB13" i="17"/>
  <c r="AA13" i="17"/>
  <c r="Z13" i="17"/>
  <c r="Y13" i="17"/>
  <c r="X13" i="17"/>
  <c r="W13" i="17"/>
  <c r="V13" i="17"/>
  <c r="U13" i="17"/>
  <c r="T13" i="17"/>
  <c r="S13" i="17"/>
  <c r="R13" i="17"/>
  <c r="Q13" i="17"/>
  <c r="P13" i="17"/>
  <c r="O13" i="17"/>
  <c r="N13" i="17"/>
  <c r="M13" i="17"/>
  <c r="L13" i="17"/>
  <c r="K13" i="17"/>
  <c r="J13" i="17"/>
  <c r="I13" i="17"/>
  <c r="H13" i="17"/>
  <c r="G13" i="17"/>
  <c r="F13" i="17"/>
  <c r="AI12" i="17"/>
  <c r="AH12" i="17"/>
  <c r="AG12" i="17"/>
  <c r="AF12" i="17"/>
  <c r="AE12" i="17"/>
  <c r="AD12" i="17"/>
  <c r="AC12" i="17"/>
  <c r="AB12" i="17"/>
  <c r="AA12" i="17"/>
  <c r="Z12" i="17"/>
  <c r="Y12" i="17"/>
  <c r="X12" i="17"/>
  <c r="W12" i="17"/>
  <c r="V12" i="17"/>
  <c r="U12" i="17"/>
  <c r="T12" i="17"/>
  <c r="S12" i="17"/>
  <c r="R12" i="17"/>
  <c r="Q12" i="17"/>
  <c r="P12" i="17"/>
  <c r="O12" i="17"/>
  <c r="N12" i="17"/>
  <c r="M12" i="17"/>
  <c r="L12" i="17"/>
  <c r="K12" i="17"/>
  <c r="J12" i="17"/>
  <c r="I12" i="17"/>
  <c r="H12" i="17"/>
  <c r="G12" i="17"/>
  <c r="F12" i="17"/>
  <c r="AI11" i="17"/>
  <c r="AH11" i="17"/>
  <c r="AG11" i="17"/>
  <c r="AF11" i="17"/>
  <c r="AE11" i="17"/>
  <c r="AD11" i="17"/>
  <c r="AC11" i="17"/>
  <c r="AB11" i="17"/>
  <c r="AA11" i="17"/>
  <c r="Z11" i="17"/>
  <c r="Y11" i="17"/>
  <c r="X11" i="17"/>
  <c r="W11" i="17"/>
  <c r="V11" i="17"/>
  <c r="U11" i="17"/>
  <c r="T11" i="17"/>
  <c r="S11" i="17"/>
  <c r="R11" i="17"/>
  <c r="Q11" i="17"/>
  <c r="P11" i="17"/>
  <c r="O11" i="17"/>
  <c r="N11" i="17"/>
  <c r="M11" i="17"/>
  <c r="L11" i="17"/>
  <c r="K11" i="17"/>
  <c r="J11" i="17"/>
  <c r="I11" i="17"/>
  <c r="H11" i="17"/>
  <c r="G11" i="17"/>
  <c r="F11" i="17"/>
  <c r="AI10" i="17"/>
  <c r="AH10" i="17"/>
  <c r="AG10" i="17"/>
  <c r="AF10" i="17"/>
  <c r="AE10" i="17"/>
  <c r="AD10" i="17"/>
  <c r="AC10" i="17"/>
  <c r="AB10" i="17"/>
  <c r="AA10" i="17"/>
  <c r="Z10" i="17"/>
  <c r="Y10" i="17"/>
  <c r="X10" i="17"/>
  <c r="W10" i="17"/>
  <c r="V10" i="17"/>
  <c r="U10" i="17"/>
  <c r="T10" i="17"/>
  <c r="S10" i="17"/>
  <c r="R10" i="17"/>
  <c r="Q10" i="17"/>
  <c r="P10" i="17"/>
  <c r="O10" i="17"/>
  <c r="N10" i="17"/>
  <c r="M10" i="17"/>
  <c r="L10" i="17"/>
  <c r="K10" i="17"/>
  <c r="J10" i="17"/>
  <c r="I10" i="17"/>
  <c r="H10" i="17"/>
  <c r="G10" i="17"/>
  <c r="F10" i="17"/>
  <c r="AI9" i="17"/>
  <c r="AH9" i="17"/>
  <c r="AG9" i="17"/>
  <c r="AF9" i="17"/>
  <c r="AE9" i="17"/>
  <c r="AD9" i="17"/>
  <c r="AC9" i="17"/>
  <c r="AB9" i="17"/>
  <c r="AA9" i="17"/>
  <c r="Z9" i="17"/>
  <c r="Y9" i="17"/>
  <c r="X9" i="17"/>
  <c r="W9" i="17"/>
  <c r="V9" i="17"/>
  <c r="U9" i="17"/>
  <c r="T9" i="17"/>
  <c r="S9" i="17"/>
  <c r="R9" i="17"/>
  <c r="Q9" i="17"/>
  <c r="P9" i="17"/>
  <c r="O9" i="17"/>
  <c r="N9" i="17"/>
  <c r="M9" i="17"/>
  <c r="L9" i="17"/>
  <c r="K9" i="17"/>
  <c r="J9" i="17"/>
  <c r="I9" i="17"/>
  <c r="H9" i="17"/>
  <c r="G9" i="17"/>
  <c r="F9" i="17"/>
  <c r="AI8" i="17"/>
  <c r="AH8" i="17"/>
  <c r="AG8" i="17"/>
  <c r="AF8" i="17"/>
  <c r="AE8" i="17"/>
  <c r="AD8" i="17"/>
  <c r="AC8" i="17"/>
  <c r="AB8" i="17"/>
  <c r="AA8" i="17"/>
  <c r="Z8" i="17"/>
  <c r="Y8" i="17"/>
  <c r="X8" i="17"/>
  <c r="W8" i="17"/>
  <c r="V8" i="17"/>
  <c r="U8" i="17"/>
  <c r="T8" i="17"/>
  <c r="S8" i="17"/>
  <c r="R8" i="17"/>
  <c r="Q8" i="17"/>
  <c r="P8" i="17"/>
  <c r="O8" i="17"/>
  <c r="N8" i="17"/>
  <c r="M8" i="17"/>
  <c r="L8" i="17"/>
  <c r="K8" i="17"/>
  <c r="J8" i="17"/>
  <c r="I8" i="17"/>
  <c r="H8" i="17"/>
  <c r="G8" i="17"/>
  <c r="F8" i="17"/>
  <c r="AI7" i="17"/>
  <c r="AH7" i="17"/>
  <c r="AG7" i="17"/>
  <c r="AF7" i="17"/>
  <c r="AE7" i="17"/>
  <c r="AD7" i="17"/>
  <c r="AC7" i="17"/>
  <c r="AB7" i="17"/>
  <c r="AA7" i="17"/>
  <c r="Z7" i="17"/>
  <c r="Y7" i="17"/>
  <c r="X7" i="17"/>
  <c r="W7" i="17"/>
  <c r="V7" i="17"/>
  <c r="U7" i="17"/>
  <c r="T7" i="17"/>
  <c r="S7" i="17"/>
  <c r="R7" i="17"/>
  <c r="Q7" i="17"/>
  <c r="P7" i="17"/>
  <c r="O7" i="17"/>
  <c r="N7" i="17"/>
  <c r="M7" i="17"/>
  <c r="L7" i="17"/>
  <c r="K7" i="17"/>
  <c r="J7" i="17"/>
  <c r="I7" i="17"/>
  <c r="H7" i="17"/>
  <c r="G7" i="17"/>
  <c r="F7" i="17"/>
  <c r="AI6" i="17"/>
  <c r="AH6" i="17"/>
  <c r="AG6" i="17"/>
  <c r="AF6" i="17"/>
  <c r="AE6" i="17"/>
  <c r="AD6" i="17"/>
  <c r="AC6" i="17"/>
  <c r="AB6" i="17"/>
  <c r="AA6" i="17"/>
  <c r="Z6" i="17"/>
  <c r="Y6" i="17"/>
  <c r="X6" i="17"/>
  <c r="W6" i="17"/>
  <c r="V6" i="17"/>
  <c r="U6" i="17"/>
  <c r="T6" i="17"/>
  <c r="S6" i="17"/>
  <c r="R6" i="17"/>
  <c r="Q6" i="17"/>
  <c r="P6" i="17"/>
  <c r="O6" i="17"/>
  <c r="N6" i="17"/>
  <c r="M6" i="17"/>
  <c r="L6" i="17"/>
  <c r="K6" i="17"/>
  <c r="J6" i="17"/>
  <c r="I6" i="17"/>
  <c r="H6" i="17"/>
  <c r="G6" i="17"/>
  <c r="F6" i="17"/>
  <c r="F5" i="17"/>
  <c r="AI5" i="17"/>
  <c r="AH5" i="17"/>
  <c r="AG5" i="17"/>
  <c r="AF5" i="17"/>
  <c r="AE5" i="17"/>
  <c r="AD5" i="17"/>
  <c r="AC5" i="17"/>
  <c r="AB5" i="17"/>
  <c r="AA5" i="17"/>
  <c r="Z5" i="17"/>
  <c r="Y5" i="17"/>
  <c r="X5" i="17"/>
  <c r="W5" i="17"/>
  <c r="V5" i="17"/>
  <c r="U5" i="17"/>
  <c r="T5" i="17"/>
  <c r="S5" i="17"/>
  <c r="R5" i="17"/>
  <c r="Q5" i="17"/>
  <c r="P5" i="17"/>
  <c r="O5" i="17"/>
  <c r="N5" i="17"/>
  <c r="M5" i="17"/>
  <c r="L5" i="17"/>
  <c r="K5" i="17"/>
  <c r="J5" i="17"/>
  <c r="I5" i="17"/>
  <c r="H5" i="17"/>
  <c r="G5" i="17"/>
  <c r="E343" i="17" l="1"/>
  <c r="AI4" i="17"/>
  <c r="AH4" i="17"/>
  <c r="AG4" i="17"/>
  <c r="AF4" i="17"/>
  <c r="AE4" i="17"/>
  <c r="AD4" i="17"/>
  <c r="AC4" i="17"/>
  <c r="AB4" i="17"/>
  <c r="AA4" i="17"/>
  <c r="Z4" i="17"/>
  <c r="Y4" i="17"/>
  <c r="X4" i="17"/>
  <c r="W4" i="17"/>
  <c r="V4" i="17"/>
  <c r="U4" i="17"/>
  <c r="T4" i="17"/>
  <c r="S4" i="17"/>
  <c r="R4" i="17"/>
  <c r="Q4" i="17"/>
  <c r="P4" i="17"/>
  <c r="O4" i="17"/>
  <c r="N4" i="17"/>
  <c r="M4" i="17"/>
  <c r="L4" i="17"/>
  <c r="K4" i="17"/>
  <c r="J4" i="17"/>
  <c r="I4" i="17"/>
  <c r="H4" i="17"/>
  <c r="G4" i="17"/>
  <c r="F4" i="17"/>
  <c r="D6" i="17"/>
  <c r="D5" i="17"/>
  <c r="D34" i="17"/>
  <c r="D33" i="17"/>
  <c r="D32" i="17"/>
  <c r="D31" i="17"/>
  <c r="D30" i="17"/>
  <c r="D29" i="17"/>
  <c r="D28" i="17"/>
  <c r="D27" i="17"/>
  <c r="D26" i="17"/>
  <c r="D25" i="17"/>
  <c r="D24" i="17"/>
  <c r="D23" i="17"/>
  <c r="D22" i="17"/>
  <c r="D21" i="17"/>
  <c r="D20" i="17"/>
  <c r="D19" i="17"/>
  <c r="D18" i="17"/>
  <c r="D17" i="17"/>
  <c r="D16" i="17"/>
  <c r="D15" i="17"/>
  <c r="D14" i="17"/>
  <c r="D13" i="17"/>
  <c r="D12" i="17"/>
  <c r="D11" i="17"/>
  <c r="D10" i="17"/>
  <c r="D9" i="17"/>
  <c r="D8" i="17"/>
  <c r="D7" i="17"/>
  <c r="C13" i="17"/>
  <c r="C12" i="17"/>
  <c r="C11" i="17"/>
  <c r="C10" i="17"/>
  <c r="C9" i="17"/>
  <c r="C8" i="17"/>
  <c r="C7" i="17"/>
  <c r="C6" i="17"/>
  <c r="C5" i="17"/>
  <c r="C34" i="17"/>
  <c r="C33" i="17"/>
  <c r="C32" i="17"/>
  <c r="C31" i="17"/>
  <c r="C30" i="17"/>
  <c r="C29" i="17"/>
  <c r="C28" i="17"/>
  <c r="C27" i="17"/>
  <c r="C26" i="17"/>
  <c r="C25" i="17"/>
  <c r="C24" i="17"/>
  <c r="C23" i="17"/>
  <c r="C22" i="17"/>
  <c r="C21" i="17"/>
  <c r="C20" i="17"/>
  <c r="C19" i="17"/>
  <c r="C18" i="17"/>
  <c r="C17" i="17"/>
  <c r="C16" i="17"/>
  <c r="C15" i="17"/>
  <c r="C14" i="17"/>
  <c r="B331" i="17"/>
  <c r="B332" i="17"/>
  <c r="B333" i="17"/>
  <c r="B334" i="17"/>
  <c r="B335" i="17"/>
  <c r="B336" i="17"/>
  <c r="B337" i="17"/>
  <c r="B338" i="17"/>
  <c r="B339" i="17"/>
  <c r="B340" i="17"/>
  <c r="B312" i="17"/>
  <c r="B313" i="17"/>
  <c r="B314" i="17"/>
  <c r="B315" i="17"/>
  <c r="B316" i="17"/>
  <c r="B317" i="17"/>
  <c r="B318" i="17"/>
  <c r="B319" i="17"/>
  <c r="B320" i="17"/>
  <c r="B321" i="17"/>
  <c r="B322" i="17"/>
  <c r="B323" i="17"/>
  <c r="B324" i="17"/>
  <c r="B325" i="17"/>
  <c r="B326" i="17"/>
  <c r="B327" i="17"/>
  <c r="B328" i="17"/>
  <c r="B329" i="17"/>
  <c r="B330" i="17"/>
  <c r="B311"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277"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43"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09"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175"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41"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07"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73" i="17"/>
  <c r="B68" i="17" l="1"/>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39"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5" i="17"/>
  <c r="AG15" i="7" l="1"/>
  <c r="D71" i="2" l="1"/>
  <c r="D68" i="2"/>
  <c r="C13" i="7" l="1"/>
  <c r="E28" i="7"/>
  <c r="D44" i="2" l="1"/>
  <c r="D45" i="2"/>
  <c r="D46" i="2"/>
  <c r="D47" i="2"/>
  <c r="D48" i="2"/>
  <c r="D49" i="2"/>
  <c r="D50" i="2"/>
  <c r="D51" i="2"/>
  <c r="D52" i="2"/>
  <c r="D53" i="2"/>
  <c r="D54" i="2"/>
  <c r="D55" i="2"/>
  <c r="D56" i="2"/>
  <c r="D57" i="2"/>
  <c r="D58" i="2"/>
  <c r="D59" i="2"/>
  <c r="D60" i="2"/>
  <c r="D61" i="2"/>
  <c r="D62" i="2"/>
  <c r="D6" i="2" l="1"/>
  <c r="B3" i="2" l="1"/>
  <c r="BL10" i="2"/>
  <c r="BL20" i="2" s="1"/>
  <c r="BJ10" i="2"/>
  <c r="BJ20" i="2" s="1"/>
  <c r="BH10" i="2"/>
  <c r="BH19" i="2" s="1"/>
  <c r="BF10" i="2"/>
  <c r="BF19" i="2" s="1"/>
  <c r="BD10" i="2"/>
  <c r="BD22" i="2" s="1"/>
  <c r="BB10" i="2"/>
  <c r="BB22" i="2" s="1"/>
  <c r="AZ10" i="2"/>
  <c r="AZ21" i="2" s="1"/>
  <c r="AX10" i="2"/>
  <c r="AX21" i="2" s="1"/>
  <c r="AV10" i="2"/>
  <c r="AV20" i="2" s="1"/>
  <c r="AT10" i="2"/>
  <c r="AT20" i="2" s="1"/>
  <c r="AR10" i="2"/>
  <c r="AR19" i="2" s="1"/>
  <c r="AP10" i="2"/>
  <c r="AP19" i="2" s="1"/>
  <c r="AN10" i="2"/>
  <c r="AN22" i="2" s="1"/>
  <c r="AL10" i="2"/>
  <c r="AL22" i="2" s="1"/>
  <c r="AJ10" i="2"/>
  <c r="AH10" i="2"/>
  <c r="AF10" i="2"/>
  <c r="AD10" i="2"/>
  <c r="AB10" i="2"/>
  <c r="Z10" i="2"/>
  <c r="X10" i="2"/>
  <c r="V10" i="2"/>
  <c r="T10" i="2"/>
  <c r="R10" i="2"/>
  <c r="P10" i="2"/>
  <c r="N10" i="2"/>
  <c r="L10" i="2"/>
  <c r="J10" i="2"/>
  <c r="H10" i="2"/>
  <c r="C13" i="2"/>
  <c r="C22" i="2" s="1"/>
  <c r="A12" i="2"/>
  <c r="B12" i="2" s="1"/>
  <c r="B13" i="2" s="1"/>
  <c r="J10" i="1"/>
  <c r="L10" i="1"/>
  <c r="N10" i="1"/>
  <c r="P10" i="1"/>
  <c r="R10" i="1"/>
  <c r="T10" i="1"/>
  <c r="V10" i="1"/>
  <c r="X10" i="1"/>
  <c r="Z10" i="1"/>
  <c r="AB10" i="1"/>
  <c r="AD10" i="1"/>
  <c r="AF10" i="1"/>
  <c r="AH10" i="1"/>
  <c r="AJ10" i="1"/>
  <c r="AJ17" i="1" s="1"/>
  <c r="AL10" i="1"/>
  <c r="AL12" i="1" s="1"/>
  <c r="AN10" i="1"/>
  <c r="AN13" i="1" s="1"/>
  <c r="AP10" i="1"/>
  <c r="AP22" i="1" s="1"/>
  <c r="AR10" i="1"/>
  <c r="AR21" i="1" s="1"/>
  <c r="AT10" i="1"/>
  <c r="AT20" i="1" s="1"/>
  <c r="AV10" i="1"/>
  <c r="AV12" i="1" s="1"/>
  <c r="AX10" i="1"/>
  <c r="AX20" i="1" s="1"/>
  <c r="AZ10" i="1"/>
  <c r="AZ14" i="1" s="1"/>
  <c r="BB10" i="1"/>
  <c r="BB22" i="1" s="1"/>
  <c r="BD10" i="1"/>
  <c r="BD21" i="1" s="1"/>
  <c r="BF10" i="1"/>
  <c r="BF20" i="1" s="1"/>
  <c r="BH10" i="1"/>
  <c r="BH17" i="1" s="1"/>
  <c r="BJ10" i="1"/>
  <c r="BJ18" i="1" s="1"/>
  <c r="BL10" i="1"/>
  <c r="BL18" i="1" s="1"/>
  <c r="H10" i="1"/>
  <c r="B14" i="2" l="1"/>
  <c r="B15" i="2" s="1"/>
  <c r="B16" i="2" s="1"/>
  <c r="B17" i="2" s="1"/>
  <c r="AF12" i="2"/>
  <c r="AF13" i="2" s="1"/>
  <c r="AF14" i="2" s="1"/>
  <c r="AL14" i="1"/>
  <c r="AP14" i="1"/>
  <c r="AZ13" i="1"/>
  <c r="BB20" i="1"/>
  <c r="BH21" i="1"/>
  <c r="AL15" i="1"/>
  <c r="AP18" i="1"/>
  <c r="AZ17" i="1"/>
  <c r="BD16" i="1"/>
  <c r="BJ14" i="1"/>
  <c r="AL18" i="1"/>
  <c r="AP20" i="1"/>
  <c r="AZ18" i="1"/>
  <c r="BD17" i="1"/>
  <c r="BJ17" i="1"/>
  <c r="AL19" i="1"/>
  <c r="AR14" i="1"/>
  <c r="BB12" i="1"/>
  <c r="BF12" i="1"/>
  <c r="AJ15" i="1"/>
  <c r="AL20" i="1"/>
  <c r="AR18" i="1"/>
  <c r="BB15" i="1"/>
  <c r="BF16" i="1"/>
  <c r="AJ19" i="1"/>
  <c r="AL22" i="1"/>
  <c r="AR19" i="1"/>
  <c r="BB16" i="1"/>
  <c r="BF17" i="1"/>
  <c r="AJ21" i="1"/>
  <c r="AN19" i="1"/>
  <c r="AT18" i="1"/>
  <c r="BB18" i="1"/>
  <c r="BH14" i="1"/>
  <c r="AN20" i="1"/>
  <c r="AT19" i="1"/>
  <c r="BB19" i="1"/>
  <c r="BH16" i="1"/>
  <c r="AJ22" i="1"/>
  <c r="AN21" i="1"/>
  <c r="AP21" i="1"/>
  <c r="AV20" i="1"/>
  <c r="AZ19" i="1"/>
  <c r="BD19" i="1"/>
  <c r="BF18" i="1"/>
  <c r="BL19" i="1"/>
  <c r="AX19" i="1"/>
  <c r="AX15" i="1"/>
  <c r="AV19" i="1"/>
  <c r="BJ16" i="1"/>
  <c r="BJ15" i="1"/>
  <c r="BJ20" i="1"/>
  <c r="BJ12" i="1"/>
  <c r="AT17" i="1"/>
  <c r="AT21" i="1"/>
  <c r="AT13" i="1"/>
  <c r="BH19" i="1"/>
  <c r="BH15" i="1"/>
  <c r="AR20" i="1"/>
  <c r="AR12" i="1"/>
  <c r="AR16" i="1"/>
  <c r="AJ13" i="1"/>
  <c r="AN12" i="1"/>
  <c r="AP12" i="1"/>
  <c r="AR22" i="1"/>
  <c r="AT22" i="1"/>
  <c r="AV21" i="1"/>
  <c r="AX21" i="1"/>
  <c r="AZ21" i="1"/>
  <c r="BD20" i="1"/>
  <c r="BH18" i="1"/>
  <c r="BJ19" i="1"/>
  <c r="BL22" i="1"/>
  <c r="BF15" i="1"/>
  <c r="BF19" i="1"/>
  <c r="AP15" i="1"/>
  <c r="AP19" i="1"/>
  <c r="AJ14" i="1"/>
  <c r="AP13" i="1"/>
  <c r="AR13" i="1"/>
  <c r="AT12" i="1"/>
  <c r="AX12" i="1"/>
  <c r="AX22" i="1"/>
  <c r="AZ22" i="1"/>
  <c r="BF21" i="1"/>
  <c r="BH20" i="1"/>
  <c r="BJ21" i="1"/>
  <c r="AV22" i="1"/>
  <c r="AV14" i="1"/>
  <c r="AV18" i="1"/>
  <c r="BD18" i="1"/>
  <c r="BD22" i="1"/>
  <c r="BD14" i="1"/>
  <c r="AN18" i="1"/>
  <c r="AN22" i="1"/>
  <c r="AN14" i="1"/>
  <c r="AN15" i="1"/>
  <c r="AV13" i="1"/>
  <c r="AX13" i="1"/>
  <c r="BD12" i="1"/>
  <c r="BF22" i="1"/>
  <c r="AJ21" i="2"/>
  <c r="AJ13" i="2"/>
  <c r="BL21" i="1"/>
  <c r="BL13" i="1"/>
  <c r="BL20" i="1"/>
  <c r="BL12" i="1"/>
  <c r="BL17" i="1"/>
  <c r="AT14" i="1"/>
  <c r="BJ22" i="1"/>
  <c r="BB21" i="1"/>
  <c r="BB13" i="1"/>
  <c r="BB17" i="1"/>
  <c r="AL21" i="1"/>
  <c r="AL13" i="1"/>
  <c r="AL17" i="1"/>
  <c r="AL16" i="1"/>
  <c r="AN16" i="1"/>
  <c r="AP16" i="1"/>
  <c r="AR15" i="1"/>
  <c r="AT15" i="1"/>
  <c r="AV15" i="1"/>
  <c r="AX14" i="1"/>
  <c r="BB14" i="1"/>
  <c r="BD13" i="1"/>
  <c r="BF13" i="1"/>
  <c r="BH12" i="1"/>
  <c r="BH22" i="1"/>
  <c r="BL14" i="1"/>
  <c r="AX18" i="1"/>
  <c r="AZ16" i="1"/>
  <c r="AZ20" i="1"/>
  <c r="AZ12" i="1"/>
  <c r="AJ16" i="1"/>
  <c r="AJ20" i="1"/>
  <c r="AJ12" i="1"/>
  <c r="AJ18" i="1"/>
  <c r="AN17" i="1"/>
  <c r="AP17" i="1"/>
  <c r="AR17" i="1"/>
  <c r="AT16" i="1"/>
  <c r="AV16" i="1"/>
  <c r="AX16" i="1"/>
  <c r="AZ15" i="1"/>
  <c r="BD15" i="1"/>
  <c r="BF14" i="1"/>
  <c r="BH13" i="1"/>
  <c r="BJ13" i="1"/>
  <c r="BL15" i="1"/>
  <c r="AV17" i="1"/>
  <c r="AX17" i="1"/>
  <c r="BL16" i="1"/>
  <c r="BL16" i="2"/>
  <c r="J12" i="2"/>
  <c r="J13" i="2" s="1"/>
  <c r="AL21" i="2"/>
  <c r="AH12" i="2"/>
  <c r="AX18" i="2"/>
  <c r="BD18" i="2"/>
  <c r="BB21" i="2"/>
  <c r="AP12" i="2"/>
  <c r="AL13" i="2"/>
  <c r="AN14" i="2"/>
  <c r="AJ17" i="2"/>
  <c r="BF18" i="2"/>
  <c r="AP22" i="2"/>
  <c r="AV12" i="2"/>
  <c r="AZ13" i="2"/>
  <c r="AP14" i="2"/>
  <c r="AL17" i="2"/>
  <c r="BF22" i="2"/>
  <c r="AX12" i="2"/>
  <c r="BB13" i="2"/>
  <c r="AX14" i="2"/>
  <c r="AP16" i="2"/>
  <c r="AZ17" i="2"/>
  <c r="P12" i="2"/>
  <c r="BF12" i="2"/>
  <c r="BD14" i="2"/>
  <c r="AV16" i="2"/>
  <c r="BB17" i="2"/>
  <c r="AX20" i="2"/>
  <c r="R12" i="2"/>
  <c r="BL12" i="2"/>
  <c r="BF14" i="2"/>
  <c r="AX16" i="2"/>
  <c r="Z12" i="2"/>
  <c r="BF16" i="2"/>
  <c r="AP18" i="2"/>
  <c r="BJ19" i="2"/>
  <c r="T12" i="2"/>
  <c r="AJ12" i="2"/>
  <c r="AZ12" i="2"/>
  <c r="AN13" i="2"/>
  <c r="BD13" i="2"/>
  <c r="AR14" i="2"/>
  <c r="BH14" i="2"/>
  <c r="AV15" i="2"/>
  <c r="BL15" i="2"/>
  <c r="AJ16" i="2"/>
  <c r="AZ16" i="2"/>
  <c r="AN17" i="2"/>
  <c r="BD17" i="2"/>
  <c r="AR18" i="2"/>
  <c r="BH18" i="2"/>
  <c r="AV19" i="2"/>
  <c r="BL19" i="2"/>
  <c r="AJ20" i="2"/>
  <c r="AZ20" i="2"/>
  <c r="AN21" i="2"/>
  <c r="BD21" i="2"/>
  <c r="AR22" i="2"/>
  <c r="BH22" i="2"/>
  <c r="AT19" i="2"/>
  <c r="V12" i="2"/>
  <c r="V13" i="2" s="1"/>
  <c r="AL12" i="2"/>
  <c r="BB12" i="2"/>
  <c r="AP13" i="2"/>
  <c r="BF13" i="2"/>
  <c r="AT14" i="2"/>
  <c r="BJ14" i="2"/>
  <c r="AX15" i="2"/>
  <c r="AL16" i="2"/>
  <c r="BB16" i="2"/>
  <c r="AP17" i="2"/>
  <c r="BF17" i="2"/>
  <c r="AT18" i="2"/>
  <c r="BJ18" i="2"/>
  <c r="AX19" i="2"/>
  <c r="AL20" i="2"/>
  <c r="BB20" i="2"/>
  <c r="AP21" i="2"/>
  <c r="BF21" i="2"/>
  <c r="AT22" i="2"/>
  <c r="BJ22" i="2"/>
  <c r="H12" i="2"/>
  <c r="H13" i="2" s="1"/>
  <c r="X12" i="2"/>
  <c r="X13" i="2" s="1"/>
  <c r="AN12" i="2"/>
  <c r="BD12" i="2"/>
  <c r="AR13" i="2"/>
  <c r="BH13" i="2"/>
  <c r="AV14" i="2"/>
  <c r="BL14" i="2"/>
  <c r="AJ15" i="2"/>
  <c r="AZ15" i="2"/>
  <c r="AN16" i="2"/>
  <c r="BD16" i="2"/>
  <c r="AR17" i="2"/>
  <c r="BH17" i="2"/>
  <c r="AV18" i="2"/>
  <c r="BL18" i="2"/>
  <c r="AJ19" i="2"/>
  <c r="AZ19" i="2"/>
  <c r="AN20" i="2"/>
  <c r="BD20" i="2"/>
  <c r="AR21" i="2"/>
  <c r="BH21" i="2"/>
  <c r="AV22" i="2"/>
  <c r="BL22" i="2"/>
  <c r="AD13" i="2"/>
  <c r="AT13" i="2"/>
  <c r="BJ13" i="2"/>
  <c r="AL15" i="2"/>
  <c r="BB15" i="2"/>
  <c r="AT17" i="2"/>
  <c r="BJ17" i="2"/>
  <c r="AL19" i="2"/>
  <c r="BB19" i="2"/>
  <c r="AP20" i="2"/>
  <c r="BF20" i="2"/>
  <c r="AT21" i="2"/>
  <c r="BJ21" i="2"/>
  <c r="AX22" i="2"/>
  <c r="BJ15" i="2"/>
  <c r="L12" i="2"/>
  <c r="AB12" i="2"/>
  <c r="AR12" i="2"/>
  <c r="BH12" i="2"/>
  <c r="P13" i="2"/>
  <c r="AV13" i="2"/>
  <c r="BL13" i="2"/>
  <c r="AJ14" i="2"/>
  <c r="AZ14" i="2"/>
  <c r="AN15" i="2"/>
  <c r="BD15" i="2"/>
  <c r="AR16" i="2"/>
  <c r="BH16" i="2"/>
  <c r="AV17" i="2"/>
  <c r="BL17" i="2"/>
  <c r="AJ18" i="2"/>
  <c r="AZ18" i="2"/>
  <c r="AN19" i="2"/>
  <c r="BD19" i="2"/>
  <c r="AR20" i="2"/>
  <c r="BH20" i="2"/>
  <c r="AV21" i="2"/>
  <c r="BL21" i="2"/>
  <c r="AJ22" i="2"/>
  <c r="AZ22" i="2"/>
  <c r="AT15" i="2"/>
  <c r="N12" i="2"/>
  <c r="AD12" i="2"/>
  <c r="AT12" i="2"/>
  <c r="BJ12" i="2"/>
  <c r="AX13" i="2"/>
  <c r="AL14" i="2"/>
  <c r="BB14" i="2"/>
  <c r="AP15" i="2"/>
  <c r="BF15" i="2"/>
  <c r="AT16" i="2"/>
  <c r="BJ16" i="2"/>
  <c r="AX17" i="2"/>
  <c r="AL18" i="2"/>
  <c r="BB18" i="2"/>
  <c r="AR15" i="2"/>
  <c r="BH15" i="2"/>
  <c r="AN18" i="2"/>
  <c r="C15" i="2"/>
  <c r="C16" i="2"/>
  <c r="C17" i="2"/>
  <c r="C18" i="2"/>
  <c r="C19" i="2"/>
  <c r="C20" i="2"/>
  <c r="C21" i="2"/>
  <c r="C14" i="2"/>
  <c r="A13" i="2"/>
  <c r="A14" i="2" s="1"/>
  <c r="A15" i="2" s="1"/>
  <c r="A16" i="2" s="1"/>
  <c r="A17" i="2" s="1"/>
  <c r="A18" i="2" s="1"/>
  <c r="A19" i="2" s="1"/>
  <c r="A20" i="2" s="1"/>
  <c r="A21" i="2" s="1"/>
  <c r="A22" i="2" s="1"/>
  <c r="AD14" i="2" l="1"/>
  <c r="T13" i="2"/>
  <c r="T14" i="2" s="1"/>
  <c r="V14" i="2"/>
  <c r="P14" i="2"/>
  <c r="Z13" i="2"/>
  <c r="N13" i="2"/>
  <c r="AH13" i="2"/>
  <c r="AH14" i="2" s="1"/>
  <c r="AD15" i="2"/>
  <c r="R13" i="2"/>
  <c r="AB13" i="2"/>
  <c r="X14" i="2"/>
  <c r="X15" i="2" s="1"/>
  <c r="V15" i="2"/>
  <c r="AF15" i="2"/>
  <c r="AF16" i="2" s="1"/>
  <c r="B18" i="2"/>
  <c r="B19" i="2" s="1"/>
  <c r="B20" i="2" s="1"/>
  <c r="B21" i="2" s="1"/>
  <c r="BH23" i="1"/>
  <c r="BH25" i="1" s="1"/>
  <c r="BF23" i="1"/>
  <c r="BF25" i="1" s="1"/>
  <c r="H14" i="2"/>
  <c r="H15" i="2" s="1"/>
  <c r="H16" i="2" s="1"/>
  <c r="BB23" i="1"/>
  <c r="BB25" i="1" s="1"/>
  <c r="BD23" i="1"/>
  <c r="BD25" i="1" s="1"/>
  <c r="BF23" i="2"/>
  <c r="BF25" i="2" s="1"/>
  <c r="AZ23" i="1"/>
  <c r="AZ25" i="1" s="1"/>
  <c r="AP23" i="1"/>
  <c r="AP25" i="1" s="1"/>
  <c r="AR23" i="1"/>
  <c r="AR25" i="1" s="1"/>
  <c r="AX23" i="1"/>
  <c r="AX25" i="1" s="1"/>
  <c r="AN23" i="1"/>
  <c r="AN25" i="1" s="1"/>
  <c r="AV23" i="1"/>
  <c r="AV25" i="1" s="1"/>
  <c r="BJ23" i="1"/>
  <c r="BJ25" i="1" s="1"/>
  <c r="AL23" i="1"/>
  <c r="AL25" i="1" s="1"/>
  <c r="AT23" i="1"/>
  <c r="AT25" i="1" s="1"/>
  <c r="BL23" i="1"/>
  <c r="BL25" i="1" s="1"/>
  <c r="AJ23" i="1"/>
  <c r="AJ25" i="1" s="1"/>
  <c r="BL23" i="2"/>
  <c r="BL25" i="2" s="1"/>
  <c r="AP23" i="2"/>
  <c r="AP25" i="2" s="1"/>
  <c r="AX23" i="2"/>
  <c r="AX25" i="2" s="1"/>
  <c r="BH23" i="2"/>
  <c r="BH25" i="2" s="1"/>
  <c r="BD23" i="2"/>
  <c r="BD25" i="2" s="1"/>
  <c r="AV23" i="2"/>
  <c r="AV25" i="2" s="1"/>
  <c r="AR23" i="2"/>
  <c r="AR25" i="2" s="1"/>
  <c r="AN23" i="2"/>
  <c r="AN25" i="2" s="1"/>
  <c r="AL23" i="2"/>
  <c r="AL25" i="2" s="1"/>
  <c r="BB23" i="2"/>
  <c r="BB25" i="2" s="1"/>
  <c r="AZ23" i="2"/>
  <c r="AZ25" i="2" s="1"/>
  <c r="AJ23" i="2"/>
  <c r="AJ25" i="2" s="1"/>
  <c r="BJ23" i="2"/>
  <c r="BJ25" i="2" s="1"/>
  <c r="AT23" i="2"/>
  <c r="AT25" i="2" s="1"/>
  <c r="L13" i="2"/>
  <c r="L14" i="2" s="1"/>
  <c r="J14" i="2"/>
  <c r="T15" i="2" l="1"/>
  <c r="T16" i="2" s="1"/>
  <c r="AH15" i="2"/>
  <c r="T17" i="2"/>
  <c r="AB14" i="2"/>
  <c r="AB15" i="2" s="1"/>
  <c r="AB16" i="2" s="1"/>
  <c r="Z14" i="2"/>
  <c r="R14" i="2"/>
  <c r="R15" i="2" s="1"/>
  <c r="R16" i="2" s="1"/>
  <c r="AF17" i="2"/>
  <c r="AH16" i="2"/>
  <c r="P15" i="2"/>
  <c r="P16" i="2" s="1"/>
  <c r="V16" i="2"/>
  <c r="V17" i="2" s="1"/>
  <c r="AD16" i="2"/>
  <c r="AD17" i="2" s="1"/>
  <c r="N14" i="2"/>
  <c r="X16" i="2"/>
  <c r="B22" i="2"/>
  <c r="H17" i="2"/>
  <c r="H18" i="2" s="1"/>
  <c r="H19" i="2" s="1"/>
  <c r="J15" i="2"/>
  <c r="L15" i="2"/>
  <c r="V18" i="2" l="1"/>
  <c r="AB17" i="2"/>
  <c r="AB18" i="2" s="1"/>
  <c r="X17" i="2"/>
  <c r="X18" i="2" s="1"/>
  <c r="AD18" i="2"/>
  <c r="AD19" i="2" s="1"/>
  <c r="T18" i="2"/>
  <c r="T19" i="2" s="1"/>
  <c r="AF18" i="2"/>
  <c r="AF19" i="2" s="1"/>
  <c r="AF20" i="2" s="1"/>
  <c r="Z15" i="2"/>
  <c r="AH17" i="2"/>
  <c r="AH18" i="2" s="1"/>
  <c r="N15" i="2"/>
  <c r="P17" i="2"/>
  <c r="P18" i="2" s="1"/>
  <c r="R17" i="2"/>
  <c r="R18" i="2" s="1"/>
  <c r="F10" i="2"/>
  <c r="H20" i="2"/>
  <c r="H21" i="2" s="1"/>
  <c r="H22" i="2" s="1"/>
  <c r="H23" i="2" s="1"/>
  <c r="H25" i="2" s="1"/>
  <c r="L16" i="2"/>
  <c r="L17" i="2" s="1"/>
  <c r="J16" i="2"/>
  <c r="J17" i="2" s="1"/>
  <c r="AB19" i="2" l="1"/>
  <c r="AB20" i="2" s="1"/>
  <c r="AD20" i="2"/>
  <c r="X19" i="2"/>
  <c r="X20" i="2" s="1"/>
  <c r="X21" i="2" s="1"/>
  <c r="V19" i="2"/>
  <c r="V20" i="2" s="1"/>
  <c r="V21" i="2" s="1"/>
  <c r="V22" i="2" s="1"/>
  <c r="T20" i="2"/>
  <c r="T21" i="2" s="1"/>
  <c r="N16" i="2"/>
  <c r="R19" i="2"/>
  <c r="P19" i="2"/>
  <c r="AF21" i="2"/>
  <c r="AF22" i="2" s="1"/>
  <c r="AF23" i="2" s="1"/>
  <c r="AF25" i="2" s="1"/>
  <c r="Z16" i="2"/>
  <c r="AH19" i="2"/>
  <c r="F12" i="2"/>
  <c r="L18" i="2"/>
  <c r="L19" i="2" s="1"/>
  <c r="L20" i="2" s="1"/>
  <c r="L21" i="2" s="1"/>
  <c r="L22" i="2" s="1"/>
  <c r="J18" i="2"/>
  <c r="J19" i="2" s="1"/>
  <c r="J20" i="2" s="1"/>
  <c r="AB21" i="2" l="1"/>
  <c r="AB22" i="2" s="1"/>
  <c r="X22" i="2"/>
  <c r="X23" i="2"/>
  <c r="X25" i="2" s="1"/>
  <c r="V23" i="2"/>
  <c r="V25" i="2" s="1"/>
  <c r="AH20" i="2"/>
  <c r="AH21" i="2" s="1"/>
  <c r="P20" i="2"/>
  <c r="P21" i="2" s="1"/>
  <c r="P22" i="2" s="1"/>
  <c r="N17" i="2"/>
  <c r="AD21" i="2"/>
  <c r="AD22" i="2" s="1"/>
  <c r="AD23" i="2" s="1"/>
  <c r="AD25" i="2" s="1"/>
  <c r="T22" i="2"/>
  <c r="T23" i="2" s="1"/>
  <c r="T25" i="2" s="1"/>
  <c r="R20" i="2"/>
  <c r="R21" i="2" s="1"/>
  <c r="R22" i="2" s="1"/>
  <c r="Z17" i="2"/>
  <c r="F13" i="2"/>
  <c r="L23" i="2"/>
  <c r="L25" i="2" s="1"/>
  <c r="J21" i="2"/>
  <c r="J22" i="2" s="1"/>
  <c r="J23" i="2" s="1"/>
  <c r="J25" i="2" s="1"/>
  <c r="AB23" i="2" l="1"/>
  <c r="AB25" i="2" s="1"/>
  <c r="AH22" i="2"/>
  <c r="AH23" i="2" s="1"/>
  <c r="AH25" i="2" s="1"/>
  <c r="P23" i="2"/>
  <c r="P25" i="2" s="1"/>
  <c r="N18" i="2"/>
  <c r="N19" i="2" s="1"/>
  <c r="Z18" i="2"/>
  <c r="Z19" i="2" s="1"/>
  <c r="R23" i="2"/>
  <c r="R25" i="2" s="1"/>
  <c r="F14" i="2"/>
  <c r="N20" i="2" l="1"/>
  <c r="N21" i="2" s="1"/>
  <c r="N22" i="2" s="1"/>
  <c r="Z20" i="2"/>
  <c r="Z21" i="2" s="1"/>
  <c r="Z22" i="2" s="1"/>
  <c r="Z23" i="2" s="1"/>
  <c r="Z25" i="2" s="1"/>
  <c r="F15" i="2"/>
  <c r="N23" i="2" l="1"/>
  <c r="N25" i="2" s="1"/>
  <c r="F16" i="2"/>
  <c r="F17" i="2" s="1"/>
  <c r="F18" i="2" s="1"/>
  <c r="F19" i="2" s="1"/>
  <c r="F20" i="2" s="1"/>
  <c r="H43" i="1"/>
  <c r="H42" i="1"/>
  <c r="H41" i="1"/>
  <c r="H40" i="1"/>
  <c r="H39" i="1"/>
  <c r="H38" i="1"/>
  <c r="H37" i="1"/>
  <c r="H36" i="1"/>
  <c r="H35" i="1"/>
  <c r="H34" i="1"/>
  <c r="H33" i="1"/>
  <c r="C13" i="1"/>
  <c r="C22" i="1" s="1"/>
  <c r="F21" i="2" l="1"/>
  <c r="F22" i="2" s="1"/>
  <c r="F23" i="2" s="1"/>
  <c r="F25" i="2" s="1"/>
  <c r="C16" i="1"/>
  <c r="C19" i="1"/>
  <c r="C20" i="1"/>
  <c r="C15" i="1"/>
  <c r="C17" i="1"/>
  <c r="C21" i="1"/>
  <c r="C14" i="1"/>
  <c r="C18" i="1"/>
  <c r="A12" i="1" l="1"/>
  <c r="B12" i="1" s="1"/>
  <c r="B13" i="1" l="1"/>
  <c r="N12" i="1"/>
  <c r="X12" i="1"/>
  <c r="Z12" i="1"/>
  <c r="AB12" i="1"/>
  <c r="AD12" i="1"/>
  <c r="AD13" i="1" s="1"/>
  <c r="AD14" i="1" s="1"/>
  <c r="AH12" i="1"/>
  <c r="T12" i="1"/>
  <c r="T13" i="1" s="1"/>
  <c r="AF12" i="1"/>
  <c r="P12" i="1"/>
  <c r="P13" i="1" s="1"/>
  <c r="R12" i="1"/>
  <c r="R13" i="1" s="1"/>
  <c r="V12" i="1"/>
  <c r="V13" i="1" s="1"/>
  <c r="B14" i="1"/>
  <c r="X13" i="1"/>
  <c r="AB13" i="1"/>
  <c r="N13" i="1"/>
  <c r="AF13" i="1"/>
  <c r="Z13" i="1"/>
  <c r="AH13" i="1"/>
  <c r="A13" i="1"/>
  <c r="A14" i="1" s="1"/>
  <c r="A15" i="1" s="1"/>
  <c r="A16" i="1" s="1"/>
  <c r="A17" i="1" s="1"/>
  <c r="A18" i="1" s="1"/>
  <c r="A19" i="1" s="1"/>
  <c r="A20" i="1" s="1"/>
  <c r="A21" i="1" s="1"/>
  <c r="A22" i="1" s="1"/>
  <c r="B15" i="1" l="1"/>
  <c r="X14" i="1"/>
  <c r="V14" i="1"/>
  <c r="AB14" i="1"/>
  <c r="AF14" i="1"/>
  <c r="N14" i="1"/>
  <c r="R14" i="1"/>
  <c r="Z14" i="1"/>
  <c r="AH14" i="1"/>
  <c r="P14" i="1"/>
  <c r="T14" i="1"/>
  <c r="H12" i="1"/>
  <c r="L12" i="1"/>
  <c r="J12" i="1"/>
  <c r="BH34" i="1"/>
  <c r="Z15" i="1" l="1"/>
  <c r="B16" i="1"/>
  <c r="AB15" i="1"/>
  <c r="X15" i="1"/>
  <c r="R15" i="1"/>
  <c r="V15" i="1"/>
  <c r="AD15" i="1"/>
  <c r="N15" i="1"/>
  <c r="AF15" i="1"/>
  <c r="T15" i="1"/>
  <c r="AH15" i="1"/>
  <c r="P15" i="1"/>
  <c r="L13" i="1"/>
  <c r="H13" i="1"/>
  <c r="J13" i="1"/>
  <c r="T59" i="8"/>
  <c r="T62" i="8"/>
  <c r="T65" i="8"/>
  <c r="T68" i="8"/>
  <c r="T71" i="8"/>
  <c r="T74" i="8"/>
  <c r="T77" i="8"/>
  <c r="T80" i="8"/>
  <c r="AH16" i="1" l="1"/>
  <c r="B17" i="1"/>
  <c r="X16" i="1"/>
  <c r="AB16" i="1"/>
  <c r="R16" i="1"/>
  <c r="AF16" i="1"/>
  <c r="N16" i="1"/>
  <c r="V16" i="1"/>
  <c r="AD16" i="1"/>
  <c r="Z16" i="1"/>
  <c r="P16" i="1"/>
  <c r="T16" i="1"/>
  <c r="L14" i="1"/>
  <c r="H14" i="1"/>
  <c r="J14" i="1"/>
  <c r="AF82" i="8"/>
  <c r="AF79" i="8"/>
  <c r="AF76" i="8"/>
  <c r="AF73" i="8"/>
  <c r="AF70" i="8"/>
  <c r="AF67" i="8"/>
  <c r="AF64" i="8"/>
  <c r="AF61" i="8"/>
  <c r="AF58" i="8"/>
  <c r="AF56" i="8"/>
  <c r="AO340" i="17"/>
  <c r="AP340" i="17" s="1"/>
  <c r="AO339" i="17"/>
  <c r="AP339" i="17" s="1"/>
  <c r="AO338" i="17"/>
  <c r="AP338" i="17" s="1"/>
  <c r="AO337" i="17"/>
  <c r="AP337" i="17" s="1"/>
  <c r="AO336" i="17"/>
  <c r="AP336" i="17" s="1"/>
  <c r="AO335" i="17"/>
  <c r="AP335" i="17" s="1"/>
  <c r="AO334" i="17"/>
  <c r="AP334" i="17" s="1"/>
  <c r="AO333" i="17"/>
  <c r="AP333" i="17" s="1"/>
  <c r="AO332" i="17"/>
  <c r="AP332" i="17" s="1"/>
  <c r="AO331" i="17"/>
  <c r="AP331" i="17" s="1"/>
  <c r="AO330" i="17"/>
  <c r="AP330" i="17" s="1"/>
  <c r="AO329" i="17"/>
  <c r="AP329" i="17" s="1"/>
  <c r="AO328" i="17"/>
  <c r="AP328" i="17" s="1"/>
  <c r="AO327" i="17"/>
  <c r="AP327" i="17" s="1"/>
  <c r="AO326" i="17"/>
  <c r="AP326" i="17" s="1"/>
  <c r="AO325" i="17"/>
  <c r="AP325" i="17" s="1"/>
  <c r="AO324" i="17"/>
  <c r="AP324" i="17" s="1"/>
  <c r="AO323" i="17"/>
  <c r="AP323" i="17" s="1"/>
  <c r="AO322" i="17"/>
  <c r="AP322" i="17" s="1"/>
  <c r="AO321" i="17"/>
  <c r="AP321" i="17" s="1"/>
  <c r="AO320" i="17"/>
  <c r="AP320" i="17" s="1"/>
  <c r="AO319" i="17"/>
  <c r="AP319" i="17" s="1"/>
  <c r="AO318" i="17"/>
  <c r="AP318" i="17" s="1"/>
  <c r="AO317" i="17"/>
  <c r="AP317" i="17" s="1"/>
  <c r="AO316" i="17"/>
  <c r="AP316" i="17" s="1"/>
  <c r="AO315" i="17"/>
  <c r="AP315" i="17" s="1"/>
  <c r="AO314" i="17"/>
  <c r="AP314" i="17" s="1"/>
  <c r="AO313" i="17"/>
  <c r="AP313" i="17" s="1"/>
  <c r="AO312" i="17"/>
  <c r="AP312" i="17" s="1"/>
  <c r="AO311" i="17"/>
  <c r="AP311" i="17" s="1"/>
  <c r="AE42" i="8"/>
  <c r="AE41" i="8"/>
  <c r="AE40" i="8"/>
  <c r="AE39" i="8"/>
  <c r="AE38" i="8"/>
  <c r="AE37" i="8"/>
  <c r="AE36" i="8"/>
  <c r="AE35" i="8"/>
  <c r="AE34" i="8"/>
  <c r="AE33" i="8"/>
  <c r="AE32" i="8"/>
  <c r="AE31" i="8"/>
  <c r="AE30" i="8"/>
  <c r="AE29" i="8"/>
  <c r="AE28" i="8"/>
  <c r="AE27" i="8"/>
  <c r="AE26" i="8"/>
  <c r="AE25" i="8"/>
  <c r="AE24" i="8"/>
  <c r="AE23" i="8"/>
  <c r="AE22" i="8"/>
  <c r="AE21" i="8"/>
  <c r="AE20" i="8"/>
  <c r="AE19" i="8"/>
  <c r="AE18" i="8"/>
  <c r="AE17" i="8"/>
  <c r="AE16" i="8"/>
  <c r="AE15" i="8"/>
  <c r="AE14" i="8"/>
  <c r="AE13" i="8"/>
  <c r="AC82" i="8"/>
  <c r="AC79" i="8"/>
  <c r="AC76" i="8"/>
  <c r="AC73" i="8"/>
  <c r="AC70" i="8"/>
  <c r="AC67" i="8"/>
  <c r="AC64" i="8"/>
  <c r="AC61" i="8"/>
  <c r="AC58" i="8"/>
  <c r="AC56" i="8"/>
  <c r="AO306" i="17"/>
  <c r="AP306" i="17" s="1"/>
  <c r="AO305" i="17"/>
  <c r="AP305" i="17" s="1"/>
  <c r="AO304" i="17"/>
  <c r="AP304" i="17" s="1"/>
  <c r="AO303" i="17"/>
  <c r="AP303" i="17" s="1"/>
  <c r="AO302" i="17"/>
  <c r="AP302" i="17" s="1"/>
  <c r="AO301" i="17"/>
  <c r="AP301" i="17" s="1"/>
  <c r="AO300" i="17"/>
  <c r="AP300" i="17" s="1"/>
  <c r="AO299" i="17"/>
  <c r="AP299" i="17" s="1"/>
  <c r="AO298" i="17"/>
  <c r="AP298" i="17" s="1"/>
  <c r="AO297" i="17"/>
  <c r="AP297" i="17" s="1"/>
  <c r="AO296" i="17"/>
  <c r="AP296" i="17" s="1"/>
  <c r="AO295" i="17"/>
  <c r="AP295" i="17" s="1"/>
  <c r="AO294" i="17"/>
  <c r="AP294" i="17" s="1"/>
  <c r="AO293" i="17"/>
  <c r="AP293" i="17" s="1"/>
  <c r="AO292" i="17"/>
  <c r="AP292" i="17" s="1"/>
  <c r="AO291" i="17"/>
  <c r="AP291" i="17" s="1"/>
  <c r="AO290" i="17"/>
  <c r="AP290" i="17" s="1"/>
  <c r="AO289" i="17"/>
  <c r="AP289" i="17" s="1"/>
  <c r="AO288" i="17"/>
  <c r="AP288" i="17" s="1"/>
  <c r="AO287" i="17"/>
  <c r="AP287" i="17" s="1"/>
  <c r="AO286" i="17"/>
  <c r="AP286" i="17" s="1"/>
  <c r="AO285" i="17"/>
  <c r="AP285" i="17" s="1"/>
  <c r="AO284" i="17"/>
  <c r="AP284" i="17" s="1"/>
  <c r="AO283" i="17"/>
  <c r="AP283" i="17" s="1"/>
  <c r="AO282" i="17"/>
  <c r="AP282" i="17" s="1"/>
  <c r="AO281" i="17"/>
  <c r="AP281" i="17" s="1"/>
  <c r="AO280" i="17"/>
  <c r="AP280" i="17" s="1"/>
  <c r="AO279" i="17"/>
  <c r="AP279" i="17" s="1"/>
  <c r="AO278" i="17"/>
  <c r="AP278" i="17" s="1"/>
  <c r="AO277" i="17"/>
  <c r="AP277" i="17" s="1"/>
  <c r="AB42" i="8"/>
  <c r="AB41" i="8"/>
  <c r="AB40" i="8"/>
  <c r="AB39" i="8"/>
  <c r="AB38" i="8"/>
  <c r="AB37" i="8"/>
  <c r="AB36" i="8"/>
  <c r="AB35" i="8"/>
  <c r="AB34" i="8"/>
  <c r="AB33" i="8"/>
  <c r="AB32" i="8"/>
  <c r="AB31" i="8"/>
  <c r="AB30" i="8"/>
  <c r="AB29" i="8"/>
  <c r="AB28" i="8"/>
  <c r="AB27" i="8"/>
  <c r="AB26" i="8"/>
  <c r="AB25" i="8"/>
  <c r="AB24" i="8"/>
  <c r="AB23" i="8"/>
  <c r="AB22" i="8"/>
  <c r="AB21" i="8"/>
  <c r="AB20" i="8"/>
  <c r="AB19" i="8"/>
  <c r="AB18" i="8"/>
  <c r="AB17" i="8"/>
  <c r="AB16" i="8"/>
  <c r="AB15" i="8"/>
  <c r="AB14" i="8"/>
  <c r="AB13" i="8"/>
  <c r="Z82" i="8"/>
  <c r="Z79" i="8"/>
  <c r="Z76" i="8"/>
  <c r="Z73" i="8"/>
  <c r="Z70" i="8"/>
  <c r="Z67" i="8"/>
  <c r="Z64" i="8"/>
  <c r="Z61" i="8"/>
  <c r="Z58" i="8"/>
  <c r="Z56" i="8"/>
  <c r="AO272" i="17"/>
  <c r="AP272" i="17" s="1"/>
  <c r="AO271" i="17"/>
  <c r="AP271" i="17" s="1"/>
  <c r="AO270" i="17"/>
  <c r="AP270" i="17" s="1"/>
  <c r="AO269" i="17"/>
  <c r="AP269" i="17" s="1"/>
  <c r="AO268" i="17"/>
  <c r="AP268" i="17" s="1"/>
  <c r="AO267" i="17"/>
  <c r="AP267" i="17" s="1"/>
  <c r="AO266" i="17"/>
  <c r="AP266" i="17" s="1"/>
  <c r="AO265" i="17"/>
  <c r="AP265" i="17" s="1"/>
  <c r="AO264" i="17"/>
  <c r="AP264" i="17" s="1"/>
  <c r="AO263" i="17"/>
  <c r="AP263" i="17" s="1"/>
  <c r="AO262" i="17"/>
  <c r="AP262" i="17" s="1"/>
  <c r="AO261" i="17"/>
  <c r="AP261" i="17" s="1"/>
  <c r="AO260" i="17"/>
  <c r="AP260" i="17" s="1"/>
  <c r="AO259" i="17"/>
  <c r="AP259" i="17" s="1"/>
  <c r="AO258" i="17"/>
  <c r="AP258" i="17" s="1"/>
  <c r="AO257" i="17"/>
  <c r="AP257" i="17" s="1"/>
  <c r="AO256" i="17"/>
  <c r="AP256" i="17" s="1"/>
  <c r="AO255" i="17"/>
  <c r="AP255" i="17" s="1"/>
  <c r="AO254" i="17"/>
  <c r="AP254" i="17" s="1"/>
  <c r="AO253" i="17"/>
  <c r="AP253" i="17" s="1"/>
  <c r="AO252" i="17"/>
  <c r="AP252" i="17" s="1"/>
  <c r="AO251" i="17"/>
  <c r="AP251" i="17" s="1"/>
  <c r="AO250" i="17"/>
  <c r="AP250" i="17" s="1"/>
  <c r="AO249" i="17"/>
  <c r="AP249" i="17" s="1"/>
  <c r="AO248" i="17"/>
  <c r="AP248" i="17" s="1"/>
  <c r="AO247" i="17"/>
  <c r="AP247" i="17" s="1"/>
  <c r="AO246" i="17"/>
  <c r="AP246" i="17" s="1"/>
  <c r="AO245" i="17"/>
  <c r="AP245" i="17" s="1"/>
  <c r="AO244" i="17"/>
  <c r="AP244" i="17" s="1"/>
  <c r="AO243" i="17"/>
  <c r="AP243" i="17" s="1"/>
  <c r="Y42" i="8"/>
  <c r="Y41" i="8"/>
  <c r="Y40" i="8"/>
  <c r="Y39" i="8"/>
  <c r="Y38" i="8"/>
  <c r="Y37" i="8"/>
  <c r="Y36" i="8"/>
  <c r="Y35" i="8"/>
  <c r="Y34" i="8"/>
  <c r="Y33" i="8"/>
  <c r="Y32" i="8"/>
  <c r="Y31" i="8"/>
  <c r="Y30" i="8"/>
  <c r="Y29" i="8"/>
  <c r="Y28" i="8"/>
  <c r="Y27" i="8"/>
  <c r="Y26" i="8"/>
  <c r="Y25" i="8"/>
  <c r="Y24" i="8"/>
  <c r="Y23" i="8"/>
  <c r="Y22" i="8"/>
  <c r="Y21" i="8"/>
  <c r="Y20" i="8"/>
  <c r="Y19" i="8"/>
  <c r="Y18" i="8"/>
  <c r="Y17" i="8"/>
  <c r="Y16" i="8"/>
  <c r="Y15" i="8"/>
  <c r="Y14" i="8"/>
  <c r="Y13" i="8"/>
  <c r="W82" i="8"/>
  <c r="W79" i="8"/>
  <c r="W76" i="8"/>
  <c r="W73" i="8"/>
  <c r="W70" i="8"/>
  <c r="W67" i="8"/>
  <c r="W64" i="8"/>
  <c r="W61" i="8"/>
  <c r="W58" i="8"/>
  <c r="W56" i="8"/>
  <c r="AO238" i="17"/>
  <c r="AP238" i="17" s="1"/>
  <c r="AO237" i="17"/>
  <c r="AP237" i="17" s="1"/>
  <c r="AO236" i="17"/>
  <c r="AP236" i="17" s="1"/>
  <c r="AO235" i="17"/>
  <c r="AP235" i="17" s="1"/>
  <c r="AO234" i="17"/>
  <c r="AP234" i="17" s="1"/>
  <c r="AO233" i="17"/>
  <c r="AP233" i="17" s="1"/>
  <c r="AO232" i="17"/>
  <c r="AP232" i="17" s="1"/>
  <c r="AO231" i="17"/>
  <c r="AP231" i="17" s="1"/>
  <c r="AO230" i="17"/>
  <c r="AP230" i="17" s="1"/>
  <c r="AO229" i="17"/>
  <c r="AP229" i="17" s="1"/>
  <c r="AO228" i="17"/>
  <c r="AP228" i="17" s="1"/>
  <c r="AO227" i="17"/>
  <c r="AP227" i="17" s="1"/>
  <c r="AO226" i="17"/>
  <c r="AP226" i="17" s="1"/>
  <c r="AO225" i="17"/>
  <c r="AP225" i="17" s="1"/>
  <c r="AO224" i="17"/>
  <c r="AP224" i="17" s="1"/>
  <c r="AO223" i="17"/>
  <c r="AP223" i="17" s="1"/>
  <c r="AO222" i="17"/>
  <c r="AP222" i="17" s="1"/>
  <c r="AO221" i="17"/>
  <c r="AP221" i="17" s="1"/>
  <c r="AO220" i="17"/>
  <c r="AP220" i="17" s="1"/>
  <c r="AO219" i="17"/>
  <c r="AP219" i="17" s="1"/>
  <c r="AO218" i="17"/>
  <c r="AP218" i="17" s="1"/>
  <c r="AO217" i="17"/>
  <c r="AP217" i="17" s="1"/>
  <c r="AO216" i="17"/>
  <c r="AP216" i="17" s="1"/>
  <c r="AO215" i="17"/>
  <c r="AP215" i="17" s="1"/>
  <c r="AO214" i="17"/>
  <c r="AP214" i="17" s="1"/>
  <c r="AO213" i="17"/>
  <c r="AP213" i="17" s="1"/>
  <c r="AO212" i="17"/>
  <c r="AP212" i="17" s="1"/>
  <c r="AO211" i="17"/>
  <c r="AP211" i="17" s="1"/>
  <c r="AO210" i="17"/>
  <c r="AP210" i="17" s="1"/>
  <c r="AO209" i="17"/>
  <c r="AP209" i="17" s="1"/>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T82" i="8"/>
  <c r="T79" i="8"/>
  <c r="T76" i="8"/>
  <c r="T73" i="8"/>
  <c r="T70" i="8"/>
  <c r="T67" i="8"/>
  <c r="T64" i="8"/>
  <c r="T61" i="8"/>
  <c r="T58" i="8"/>
  <c r="T56" i="8"/>
  <c r="AO204" i="17"/>
  <c r="AP204" i="17" s="1"/>
  <c r="AO203" i="17"/>
  <c r="AP203" i="17" s="1"/>
  <c r="AO202" i="17"/>
  <c r="AP202" i="17" s="1"/>
  <c r="AO201" i="17"/>
  <c r="AP201" i="17" s="1"/>
  <c r="AO200" i="17"/>
  <c r="AP200" i="17" s="1"/>
  <c r="AO199" i="17"/>
  <c r="AP199" i="17" s="1"/>
  <c r="AO198" i="17"/>
  <c r="AP198" i="17" s="1"/>
  <c r="AO197" i="17"/>
  <c r="AP197" i="17" s="1"/>
  <c r="AO196" i="17"/>
  <c r="AP196" i="17" s="1"/>
  <c r="AO195" i="17"/>
  <c r="AP195" i="17" s="1"/>
  <c r="AO194" i="17"/>
  <c r="AP194" i="17" s="1"/>
  <c r="AO193" i="17"/>
  <c r="AP193" i="17" s="1"/>
  <c r="AO192" i="17"/>
  <c r="AP192" i="17" s="1"/>
  <c r="AO191" i="17"/>
  <c r="AP191" i="17" s="1"/>
  <c r="AO190" i="17"/>
  <c r="AP190" i="17" s="1"/>
  <c r="AO189" i="17"/>
  <c r="AP189" i="17" s="1"/>
  <c r="AO188" i="17"/>
  <c r="AP188" i="17" s="1"/>
  <c r="AO187" i="17"/>
  <c r="AP187" i="17" s="1"/>
  <c r="AO186" i="17"/>
  <c r="AP186" i="17" s="1"/>
  <c r="AO185" i="17"/>
  <c r="AP185" i="17" s="1"/>
  <c r="AO184" i="17"/>
  <c r="AP184" i="17" s="1"/>
  <c r="AO183" i="17"/>
  <c r="AP183" i="17" s="1"/>
  <c r="AO182" i="17"/>
  <c r="AP182" i="17" s="1"/>
  <c r="AO181" i="17"/>
  <c r="AP181" i="17" s="1"/>
  <c r="AO180" i="17"/>
  <c r="AP180" i="17" s="1"/>
  <c r="AO179" i="17"/>
  <c r="AP179" i="17" s="1"/>
  <c r="AO178" i="17"/>
  <c r="AP178" i="17" s="1"/>
  <c r="AO177" i="17"/>
  <c r="AP177" i="17" s="1"/>
  <c r="AO176" i="17"/>
  <c r="AP176" i="17" s="1"/>
  <c r="AO175" i="17"/>
  <c r="AP175" i="17" s="1"/>
  <c r="S42" i="8"/>
  <c r="S41" i="8"/>
  <c r="S40" i="8"/>
  <c r="S39" i="8"/>
  <c r="S38" i="8"/>
  <c r="S37" i="8"/>
  <c r="S36" i="8"/>
  <c r="S35" i="8"/>
  <c r="S34" i="8"/>
  <c r="S33" i="8"/>
  <c r="S32" i="8"/>
  <c r="S31" i="8"/>
  <c r="S30" i="8"/>
  <c r="S29" i="8"/>
  <c r="S28" i="8"/>
  <c r="S27" i="8"/>
  <c r="S26" i="8"/>
  <c r="S25" i="8"/>
  <c r="S24" i="8"/>
  <c r="S23" i="8"/>
  <c r="S22" i="8"/>
  <c r="S21" i="8"/>
  <c r="S20" i="8"/>
  <c r="S19" i="8"/>
  <c r="S18" i="8"/>
  <c r="S17" i="8"/>
  <c r="S16" i="8"/>
  <c r="S15" i="8"/>
  <c r="S14" i="8"/>
  <c r="S13" i="8"/>
  <c r="Q82" i="8"/>
  <c r="Q79" i="8"/>
  <c r="Q76" i="8"/>
  <c r="Q73" i="8"/>
  <c r="Q70" i="8"/>
  <c r="Q67" i="8"/>
  <c r="Q64" i="8"/>
  <c r="Q61" i="8"/>
  <c r="Q58" i="8"/>
  <c r="Q56" i="8"/>
  <c r="AO170" i="17"/>
  <c r="AP170" i="17" s="1"/>
  <c r="AO169" i="17"/>
  <c r="AP169" i="17" s="1"/>
  <c r="AO168" i="17"/>
  <c r="AP168" i="17" s="1"/>
  <c r="AO167" i="17"/>
  <c r="AP167" i="17" s="1"/>
  <c r="AO166" i="17"/>
  <c r="AP166" i="17" s="1"/>
  <c r="AO165" i="17"/>
  <c r="AP165" i="17" s="1"/>
  <c r="AO164" i="17"/>
  <c r="AP164" i="17" s="1"/>
  <c r="AO163" i="17"/>
  <c r="AP163" i="17" s="1"/>
  <c r="AO162" i="17"/>
  <c r="AP162" i="17" s="1"/>
  <c r="AO161" i="17"/>
  <c r="AP161" i="17" s="1"/>
  <c r="AO160" i="17"/>
  <c r="AP160" i="17" s="1"/>
  <c r="AO159" i="17"/>
  <c r="AP159" i="17" s="1"/>
  <c r="AO158" i="17"/>
  <c r="AP158" i="17" s="1"/>
  <c r="AO157" i="17"/>
  <c r="AP157" i="17" s="1"/>
  <c r="AO156" i="17"/>
  <c r="AP156" i="17" s="1"/>
  <c r="AO155" i="17"/>
  <c r="AP155" i="17" s="1"/>
  <c r="AO154" i="17"/>
  <c r="AP154" i="17" s="1"/>
  <c r="AO153" i="17"/>
  <c r="AP153" i="17" s="1"/>
  <c r="AO152" i="17"/>
  <c r="AP152" i="17" s="1"/>
  <c r="AO151" i="17"/>
  <c r="AP151" i="17" s="1"/>
  <c r="AO150" i="17"/>
  <c r="AP150" i="17" s="1"/>
  <c r="AO149" i="17"/>
  <c r="AP149" i="17" s="1"/>
  <c r="AO148" i="17"/>
  <c r="AP148" i="17" s="1"/>
  <c r="AO147" i="17"/>
  <c r="AP147" i="17" s="1"/>
  <c r="AO146" i="17"/>
  <c r="AP146" i="17" s="1"/>
  <c r="AO145" i="17"/>
  <c r="AP145" i="17" s="1"/>
  <c r="AO144" i="17"/>
  <c r="AP144" i="17" s="1"/>
  <c r="AO143" i="17"/>
  <c r="AP143" i="17" s="1"/>
  <c r="AO142" i="17"/>
  <c r="AP142" i="17" s="1"/>
  <c r="AO141" i="17"/>
  <c r="AP141" i="17" s="1"/>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N76" i="8"/>
  <c r="N67" i="8"/>
  <c r="AO136" i="17"/>
  <c r="AP136" i="17" s="1"/>
  <c r="AO135" i="17"/>
  <c r="AP135" i="17" s="1"/>
  <c r="AO134" i="17"/>
  <c r="AP134" i="17" s="1"/>
  <c r="AO133" i="17"/>
  <c r="AP133" i="17" s="1"/>
  <c r="AO132" i="17"/>
  <c r="AP132" i="17" s="1"/>
  <c r="AO131" i="17"/>
  <c r="AP131" i="17" s="1"/>
  <c r="AO130" i="17"/>
  <c r="AP130" i="17" s="1"/>
  <c r="AO129" i="17"/>
  <c r="AP129" i="17" s="1"/>
  <c r="AO128" i="17"/>
  <c r="AP128" i="17" s="1"/>
  <c r="AO127" i="17"/>
  <c r="AP127" i="17" s="1"/>
  <c r="AO126" i="17"/>
  <c r="AP126" i="17" s="1"/>
  <c r="AO125" i="17"/>
  <c r="AP125" i="17" s="1"/>
  <c r="AO124" i="17"/>
  <c r="AP124" i="17" s="1"/>
  <c r="AO123" i="17"/>
  <c r="AP123" i="17" s="1"/>
  <c r="AO122" i="17"/>
  <c r="AP122" i="17" s="1"/>
  <c r="AO121" i="17"/>
  <c r="AP121" i="17" s="1"/>
  <c r="AO120" i="17"/>
  <c r="AP120" i="17" s="1"/>
  <c r="AO119" i="17"/>
  <c r="AP119" i="17" s="1"/>
  <c r="AO118" i="17"/>
  <c r="AP118" i="17" s="1"/>
  <c r="AO117" i="17"/>
  <c r="AP117" i="17" s="1"/>
  <c r="AO116" i="17"/>
  <c r="AP116" i="17" s="1"/>
  <c r="AO115" i="17"/>
  <c r="AP115" i="17" s="1"/>
  <c r="AO114" i="17"/>
  <c r="AP114" i="17" s="1"/>
  <c r="AO113" i="17"/>
  <c r="AP113" i="17" s="1"/>
  <c r="AO112" i="17"/>
  <c r="AP112" i="17" s="1"/>
  <c r="AO111" i="17"/>
  <c r="AP111" i="17" s="1"/>
  <c r="AO110" i="17"/>
  <c r="AP110" i="17" s="1"/>
  <c r="AO109" i="17"/>
  <c r="AP109" i="17" s="1"/>
  <c r="AO108" i="17"/>
  <c r="AP108" i="17" s="1"/>
  <c r="AO107" i="17"/>
  <c r="AP107" i="17" s="1"/>
  <c r="K76" i="8"/>
  <c r="K67" i="8"/>
  <c r="AO102" i="17"/>
  <c r="AP102" i="17" s="1"/>
  <c r="AO101" i="17"/>
  <c r="AP101" i="17" s="1"/>
  <c r="AO100" i="17"/>
  <c r="AP100" i="17" s="1"/>
  <c r="AO99" i="17"/>
  <c r="AP99" i="17" s="1"/>
  <c r="AO98" i="17"/>
  <c r="AP98" i="17" s="1"/>
  <c r="AO97" i="17"/>
  <c r="AP97" i="17" s="1"/>
  <c r="AO96" i="17"/>
  <c r="AP96" i="17" s="1"/>
  <c r="AO95" i="17"/>
  <c r="AP95" i="17" s="1"/>
  <c r="AO94" i="17"/>
  <c r="AP94" i="17" s="1"/>
  <c r="AO93" i="17"/>
  <c r="AP93" i="17" s="1"/>
  <c r="AO92" i="17"/>
  <c r="AP92" i="17" s="1"/>
  <c r="AO91" i="17"/>
  <c r="AP91" i="17" s="1"/>
  <c r="AO90" i="17"/>
  <c r="AP90" i="17" s="1"/>
  <c r="AO89" i="17"/>
  <c r="AP89" i="17" s="1"/>
  <c r="AO88" i="17"/>
  <c r="AP88" i="17" s="1"/>
  <c r="AO87" i="17"/>
  <c r="AP87" i="17" s="1"/>
  <c r="AO86" i="17"/>
  <c r="AP86" i="17" s="1"/>
  <c r="AO85" i="17"/>
  <c r="AP85" i="17" s="1"/>
  <c r="AO84" i="17"/>
  <c r="AP84" i="17" s="1"/>
  <c r="AO83" i="17"/>
  <c r="AP83" i="17" s="1"/>
  <c r="AO82" i="17"/>
  <c r="AP82" i="17" s="1"/>
  <c r="AO81" i="17"/>
  <c r="AP81" i="17" s="1"/>
  <c r="AO80" i="17"/>
  <c r="AP80" i="17" s="1"/>
  <c r="AO79" i="17"/>
  <c r="AP79" i="17" s="1"/>
  <c r="AO78" i="17"/>
  <c r="AP78" i="17" s="1"/>
  <c r="AO77" i="17"/>
  <c r="AP77" i="17" s="1"/>
  <c r="AO76" i="17"/>
  <c r="AP76" i="17" s="1"/>
  <c r="AO75" i="17"/>
  <c r="AP75" i="17" s="1"/>
  <c r="AO74" i="17"/>
  <c r="AP74" i="17" s="1"/>
  <c r="AO73" i="17"/>
  <c r="AP73" i="17" s="1"/>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33" i="2"/>
  <c r="B1" i="2"/>
  <c r="B2" i="2"/>
  <c r="B18" i="1" l="1"/>
  <c r="AB17" i="1"/>
  <c r="X17" i="1"/>
  <c r="X18" i="1" s="1"/>
  <c r="V17" i="1"/>
  <c r="AF17" i="1"/>
  <c r="R17" i="1"/>
  <c r="AD17" i="1"/>
  <c r="N17" i="1"/>
  <c r="T17" i="1"/>
  <c r="Z17" i="1"/>
  <c r="P17" i="1"/>
  <c r="AH17" i="1"/>
  <c r="T93" i="8"/>
  <c r="AC96" i="8"/>
  <c r="K96" i="8"/>
  <c r="K90" i="8"/>
  <c r="Q99" i="8"/>
  <c r="W87" i="8"/>
  <c r="AC93" i="8"/>
  <c r="K87" i="8"/>
  <c r="Z96" i="8"/>
  <c r="AF87" i="8"/>
  <c r="N87" i="8"/>
  <c r="N99" i="8"/>
  <c r="T87" i="8"/>
  <c r="Z87" i="8"/>
  <c r="Z93" i="8"/>
  <c r="W99" i="8"/>
  <c r="AC87" i="8"/>
  <c r="AF99" i="8"/>
  <c r="T99" i="8"/>
  <c r="W93" i="8"/>
  <c r="W96" i="8"/>
  <c r="AF96" i="8"/>
  <c r="K93" i="8"/>
  <c r="N96" i="8"/>
  <c r="K99" i="8"/>
  <c r="T96" i="8"/>
  <c r="AF93" i="8"/>
  <c r="H15" i="1"/>
  <c r="L15" i="1"/>
  <c r="J15" i="1"/>
  <c r="AF90" i="8"/>
  <c r="AC99" i="8"/>
  <c r="AC90" i="8"/>
  <c r="Z99" i="8"/>
  <c r="Z90" i="8"/>
  <c r="W90" i="8"/>
  <c r="T90" i="8"/>
  <c r="Q87" i="8"/>
  <c r="Q96" i="8"/>
  <c r="Q93" i="8"/>
  <c r="Q90" i="8"/>
  <c r="N93" i="8"/>
  <c r="N90" i="8"/>
  <c r="N18" i="1" l="1"/>
  <c r="AB18" i="1"/>
  <c r="V18" i="1"/>
  <c r="AF18" i="1"/>
  <c r="AH18" i="1"/>
  <c r="AD18" i="1"/>
  <c r="T18" i="1"/>
  <c r="R18" i="1"/>
  <c r="P18" i="1"/>
  <c r="Z18" i="1"/>
  <c r="Z101" i="8"/>
  <c r="AF101" i="8"/>
  <c r="AC101" i="8"/>
  <c r="Q101" i="8"/>
  <c r="N101" i="8"/>
  <c r="L16" i="1"/>
  <c r="J16" i="1"/>
  <c r="H16" i="1"/>
  <c r="O13" i="8"/>
  <c r="W101" i="8"/>
  <c r="K101" i="8"/>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33" i="2"/>
  <c r="O14" i="8"/>
  <c r="O15" i="8"/>
  <c r="O16" i="8"/>
  <c r="O17" i="8"/>
  <c r="O18" i="8"/>
  <c r="O19" i="8"/>
  <c r="O20" i="8"/>
  <c r="O21" i="8"/>
  <c r="O22" i="8"/>
  <c r="O23" i="8"/>
  <c r="J17" i="1" l="1"/>
  <c r="H17" i="1"/>
  <c r="L17" i="1"/>
  <c r="R20" i="8"/>
  <c r="O39" i="8"/>
  <c r="O38" i="8"/>
  <c r="R22" i="8"/>
  <c r="O37" i="8"/>
  <c r="O29" i="8"/>
  <c r="R21" i="8"/>
  <c r="R14" i="8"/>
  <c r="O35" i="8"/>
  <c r="O27" i="8"/>
  <c r="R19" i="8"/>
  <c r="O42" i="8"/>
  <c r="O34" i="8"/>
  <c r="O26" i="8"/>
  <c r="R18" i="8"/>
  <c r="O41" i="8"/>
  <c r="R17" i="8"/>
  <c r="O28" i="8"/>
  <c r="O33" i="8"/>
  <c r="O25" i="8"/>
  <c r="O40" i="8"/>
  <c r="O32" i="8"/>
  <c r="O24" i="8"/>
  <c r="R16" i="8"/>
  <c r="O36" i="8"/>
  <c r="R23" i="8"/>
  <c r="R15" i="8"/>
  <c r="O31" i="8"/>
  <c r="O30" i="8"/>
  <c r="R13" i="8"/>
  <c r="AF80" i="8"/>
  <c r="AF77" i="8"/>
  <c r="AF74" i="8"/>
  <c r="AF71" i="8"/>
  <c r="AF68" i="8"/>
  <c r="AF65" i="8"/>
  <c r="AF62" i="8"/>
  <c r="AF59" i="8"/>
  <c r="AC80" i="8"/>
  <c r="AC77" i="8"/>
  <c r="AC74" i="8"/>
  <c r="AC71" i="8"/>
  <c r="AC68" i="8"/>
  <c r="AC65" i="8"/>
  <c r="AC62" i="8"/>
  <c r="AC59" i="8"/>
  <c r="Z80" i="8"/>
  <c r="Z77" i="8"/>
  <c r="Z74" i="8"/>
  <c r="Z71" i="8"/>
  <c r="Z68" i="8"/>
  <c r="Z65" i="8"/>
  <c r="Z62" i="8"/>
  <c r="Z59" i="8"/>
  <c r="N64" i="8"/>
  <c r="N61" i="8"/>
  <c r="N58" i="8"/>
  <c r="N56" i="8"/>
  <c r="K64" i="8"/>
  <c r="K61" i="8"/>
  <c r="K58" i="8"/>
  <c r="K56" i="8"/>
  <c r="W80" i="8"/>
  <c r="W77" i="8"/>
  <c r="W74" i="8"/>
  <c r="W71" i="8"/>
  <c r="W68" i="8"/>
  <c r="W65" i="8"/>
  <c r="W62" i="8"/>
  <c r="W59" i="8"/>
  <c r="Q80" i="8"/>
  <c r="Q77" i="8"/>
  <c r="Q74" i="8"/>
  <c r="Q71" i="8"/>
  <c r="Q68" i="8"/>
  <c r="Q65" i="8"/>
  <c r="Q62" i="8"/>
  <c r="Q59" i="8"/>
  <c r="N80" i="8"/>
  <c r="N77" i="8"/>
  <c r="N74" i="8"/>
  <c r="N71" i="8"/>
  <c r="N68" i="8"/>
  <c r="N65" i="8"/>
  <c r="N62" i="8"/>
  <c r="N59" i="8"/>
  <c r="K80" i="8"/>
  <c r="K77" i="8"/>
  <c r="K74" i="8"/>
  <c r="K71" i="8"/>
  <c r="K68" i="8"/>
  <c r="K65" i="8"/>
  <c r="K62" i="8"/>
  <c r="K59" i="8"/>
  <c r="H80" i="8"/>
  <c r="H77" i="8"/>
  <c r="H74" i="8"/>
  <c r="H71" i="8"/>
  <c r="H68" i="8"/>
  <c r="H65" i="8"/>
  <c r="H62" i="8"/>
  <c r="H59" i="8"/>
  <c r="L18" i="1" l="1"/>
  <c r="B19" i="1"/>
  <c r="H18" i="1"/>
  <c r="J18" i="1"/>
  <c r="U23" i="8"/>
  <c r="R28" i="8"/>
  <c r="R27" i="8"/>
  <c r="Q22" i="8"/>
  <c r="R39" i="8"/>
  <c r="U15" i="8"/>
  <c r="R38" i="8"/>
  <c r="R31" i="8"/>
  <c r="R25" i="8"/>
  <c r="R42" i="8"/>
  <c r="U22" i="8"/>
  <c r="U19" i="8"/>
  <c r="R30" i="8"/>
  <c r="Q15" i="8"/>
  <c r="R40" i="8"/>
  <c r="R34" i="8"/>
  <c r="R37" i="8"/>
  <c r="Q23" i="8"/>
  <c r="R32" i="8"/>
  <c r="Q18" i="8"/>
  <c r="R26" i="8"/>
  <c r="R29" i="8"/>
  <c r="R33" i="8"/>
  <c r="R24" i="8"/>
  <c r="U18" i="8"/>
  <c r="Q14" i="8"/>
  <c r="U21" i="8"/>
  <c r="U16" i="8"/>
  <c r="Q17" i="8"/>
  <c r="R41" i="8"/>
  <c r="Q19" i="8"/>
  <c r="U14" i="8"/>
  <c r="Q21" i="8"/>
  <c r="Q20" i="8"/>
  <c r="R36" i="8"/>
  <c r="Q16" i="8"/>
  <c r="U17" i="8"/>
  <c r="R35" i="8"/>
  <c r="U20" i="8"/>
  <c r="Q13" i="8"/>
  <c r="U13" i="8"/>
  <c r="N82" i="8"/>
  <c r="N79" i="8"/>
  <c r="N73" i="8"/>
  <c r="N70" i="8"/>
  <c r="K82" i="8"/>
  <c r="K79" i="8"/>
  <c r="K73" i="8"/>
  <c r="K70" i="8"/>
  <c r="B20" i="1" l="1"/>
  <c r="AB19" i="1"/>
  <c r="X19" i="1"/>
  <c r="V19" i="1"/>
  <c r="V20" i="1" s="1"/>
  <c r="R19" i="1"/>
  <c r="AH19" i="1"/>
  <c r="AD19" i="1"/>
  <c r="Z19" i="1"/>
  <c r="AF19" i="1"/>
  <c r="T19" i="1"/>
  <c r="T20" i="1" s="1"/>
  <c r="N19" i="1"/>
  <c r="P19" i="1"/>
  <c r="L19" i="1"/>
  <c r="K45" i="8"/>
  <c r="J19" i="1"/>
  <c r="H19" i="1"/>
  <c r="H20" i="1" s="1"/>
  <c r="T23" i="8"/>
  <c r="T20" i="8"/>
  <c r="Q33" i="8"/>
  <c r="Q40" i="8"/>
  <c r="Q30" i="8"/>
  <c r="U35" i="8"/>
  <c r="X17" i="8"/>
  <c r="U36" i="8"/>
  <c r="T16" i="8"/>
  <c r="U32" i="8"/>
  <c r="T19" i="8"/>
  <c r="Q42" i="8"/>
  <c r="Q28" i="8"/>
  <c r="U38" i="8"/>
  <c r="X20" i="8"/>
  <c r="U34" i="8"/>
  <c r="U40" i="8"/>
  <c r="U39" i="8"/>
  <c r="U28" i="8"/>
  <c r="X23" i="8"/>
  <c r="Q36" i="8"/>
  <c r="X21" i="8"/>
  <c r="Q24" i="8"/>
  <c r="U37" i="8"/>
  <c r="U30" i="8"/>
  <c r="Q25" i="8"/>
  <c r="U27" i="8"/>
  <c r="X15" i="8"/>
  <c r="T17" i="8"/>
  <c r="X14" i="8"/>
  <c r="U41" i="8"/>
  <c r="U24" i="8"/>
  <c r="T22" i="8"/>
  <c r="Q35" i="8"/>
  <c r="T21" i="8"/>
  <c r="X18" i="8"/>
  <c r="Q26" i="8"/>
  <c r="Q32" i="8"/>
  <c r="U25" i="8"/>
  <c r="U31" i="8"/>
  <c r="Q38" i="8"/>
  <c r="T14" i="8"/>
  <c r="X16" i="8"/>
  <c r="T18" i="8"/>
  <c r="U26" i="8"/>
  <c r="X22" i="8"/>
  <c r="U42" i="8"/>
  <c r="Q31" i="8"/>
  <c r="Q27" i="8"/>
  <c r="Q41" i="8"/>
  <c r="U33" i="8"/>
  <c r="Q29" i="8"/>
  <c r="U29" i="8"/>
  <c r="Q37" i="8"/>
  <c r="Q34" i="8"/>
  <c r="X19" i="8"/>
  <c r="T15" i="8"/>
  <c r="Q39" i="8"/>
  <c r="X13" i="8"/>
  <c r="T13" i="8"/>
  <c r="F80" i="15"/>
  <c r="J80" i="15"/>
  <c r="I80" i="15"/>
  <c r="L80" i="15"/>
  <c r="K80" i="15"/>
  <c r="H80" i="15"/>
  <c r="G80" i="15"/>
  <c r="M80" i="15"/>
  <c r="BN145" i="2"/>
  <c r="BL144" i="2"/>
  <c r="BJ144" i="2"/>
  <c r="BH144" i="2"/>
  <c r="BF144" i="2"/>
  <c r="BD144" i="2"/>
  <c r="BB144" i="2"/>
  <c r="AZ144" i="2"/>
  <c r="AX144" i="2"/>
  <c r="AV144" i="2"/>
  <c r="AT144" i="2"/>
  <c r="AR144" i="2"/>
  <c r="AP144" i="2"/>
  <c r="AN144" i="2"/>
  <c r="AL144" i="2"/>
  <c r="AJ144" i="2"/>
  <c r="AH144" i="2"/>
  <c r="AF144" i="2"/>
  <c r="AD144" i="2"/>
  <c r="AB144" i="2"/>
  <c r="Z144" i="2"/>
  <c r="X144" i="2"/>
  <c r="V144" i="2"/>
  <c r="T144" i="2"/>
  <c r="R144" i="2"/>
  <c r="P144" i="2"/>
  <c r="N144" i="2"/>
  <c r="L144" i="2"/>
  <c r="J144" i="2"/>
  <c r="H144" i="2"/>
  <c r="F144" i="2"/>
  <c r="BN135" i="2"/>
  <c r="BL134" i="2"/>
  <c r="BJ134" i="2"/>
  <c r="BH134" i="2"/>
  <c r="BF134" i="2"/>
  <c r="BD134" i="2"/>
  <c r="BB134" i="2"/>
  <c r="AZ134" i="2"/>
  <c r="AX134" i="2"/>
  <c r="AV134" i="2"/>
  <c r="AT134" i="2"/>
  <c r="AR134" i="2"/>
  <c r="AP134" i="2"/>
  <c r="AN134" i="2"/>
  <c r="AL134" i="2"/>
  <c r="AJ134" i="2"/>
  <c r="AH134" i="2"/>
  <c r="AF134" i="2"/>
  <c r="AD134" i="2"/>
  <c r="AB134" i="2"/>
  <c r="Z134" i="2"/>
  <c r="X134" i="2"/>
  <c r="V134" i="2"/>
  <c r="T134" i="2"/>
  <c r="R134" i="2"/>
  <c r="P134" i="2"/>
  <c r="N134" i="2"/>
  <c r="L134" i="2"/>
  <c r="J134" i="2"/>
  <c r="H134" i="2"/>
  <c r="F134" i="2"/>
  <c r="BN125" i="2"/>
  <c r="BL124" i="2"/>
  <c r="BJ124" i="2"/>
  <c r="BH124" i="2"/>
  <c r="BF124" i="2"/>
  <c r="BD124" i="2"/>
  <c r="BB124" i="2"/>
  <c r="AZ124" i="2"/>
  <c r="AX124" i="2"/>
  <c r="AV124" i="2"/>
  <c r="AT124" i="2"/>
  <c r="AR124" i="2"/>
  <c r="AP124" i="2"/>
  <c r="AN124" i="2"/>
  <c r="AL124" i="2"/>
  <c r="AJ124" i="2"/>
  <c r="AH124" i="2"/>
  <c r="AF124" i="2"/>
  <c r="AD124" i="2"/>
  <c r="AB124" i="2"/>
  <c r="Z124" i="2"/>
  <c r="X124" i="2"/>
  <c r="V124" i="2"/>
  <c r="T124" i="2"/>
  <c r="R124" i="2"/>
  <c r="P124" i="2"/>
  <c r="N124" i="2"/>
  <c r="L124" i="2"/>
  <c r="J124" i="2"/>
  <c r="H124" i="2"/>
  <c r="F124" i="2"/>
  <c r="BN115" i="2"/>
  <c r="BL114" i="2"/>
  <c r="BJ114" i="2"/>
  <c r="BH114" i="2"/>
  <c r="BF114" i="2"/>
  <c r="BD114" i="2"/>
  <c r="BB114" i="2"/>
  <c r="AZ114" i="2"/>
  <c r="AX114" i="2"/>
  <c r="AV114" i="2"/>
  <c r="AT114" i="2"/>
  <c r="AR114" i="2"/>
  <c r="AP114" i="2"/>
  <c r="AN114" i="2"/>
  <c r="AL114" i="2"/>
  <c r="AJ114" i="2"/>
  <c r="AH114" i="2"/>
  <c r="AF114" i="2"/>
  <c r="AD114" i="2"/>
  <c r="AB114" i="2"/>
  <c r="Z114" i="2"/>
  <c r="X114" i="2"/>
  <c r="V114" i="2"/>
  <c r="T114" i="2"/>
  <c r="R114" i="2"/>
  <c r="P114" i="2"/>
  <c r="N114" i="2"/>
  <c r="L114" i="2"/>
  <c r="J114" i="2"/>
  <c r="H114" i="2"/>
  <c r="F114" i="2"/>
  <c r="BL104" i="2"/>
  <c r="BJ104" i="2"/>
  <c r="BH104" i="2"/>
  <c r="BF104" i="2"/>
  <c r="BD104" i="2"/>
  <c r="BB104" i="2"/>
  <c r="AZ104" i="2"/>
  <c r="AX104" i="2"/>
  <c r="AV104" i="2"/>
  <c r="AT104" i="2"/>
  <c r="AR104" i="2"/>
  <c r="AP104" i="2"/>
  <c r="AN104" i="2"/>
  <c r="AL104" i="2"/>
  <c r="AJ104" i="2"/>
  <c r="AH104" i="2"/>
  <c r="AF104" i="2"/>
  <c r="AD104" i="2"/>
  <c r="AB104" i="2"/>
  <c r="Z104" i="2"/>
  <c r="X104" i="2"/>
  <c r="V104" i="2"/>
  <c r="T104" i="2"/>
  <c r="P104" i="2"/>
  <c r="N104" i="2"/>
  <c r="L104" i="2"/>
  <c r="J104" i="2"/>
  <c r="H104" i="2"/>
  <c r="F104" i="2"/>
  <c r="BN93" i="2"/>
  <c r="H82" i="8" s="1"/>
  <c r="BN91" i="2"/>
  <c r="H79" i="8" s="1"/>
  <c r="BN89" i="2"/>
  <c r="H76" i="8" s="1"/>
  <c r="BN87" i="2"/>
  <c r="H73" i="8" s="1"/>
  <c r="BN85" i="2"/>
  <c r="H70" i="8" s="1"/>
  <c r="BN83" i="2"/>
  <c r="H67" i="8" s="1"/>
  <c r="BN81" i="2"/>
  <c r="H64" i="8" s="1"/>
  <c r="BN79" i="2"/>
  <c r="H61" i="8" s="1"/>
  <c r="BN77" i="2"/>
  <c r="H58" i="8" s="1"/>
  <c r="BN75" i="2"/>
  <c r="H56" i="8" s="1"/>
  <c r="BK66" i="2"/>
  <c r="AO68" i="17" s="1"/>
  <c r="AP68" i="17" s="1"/>
  <c r="BI66" i="2"/>
  <c r="AO67" i="17" s="1"/>
  <c r="AP67" i="17" s="1"/>
  <c r="BG66" i="2"/>
  <c r="AO66" i="17" s="1"/>
  <c r="AP66" i="17" s="1"/>
  <c r="BE66" i="2"/>
  <c r="AO65" i="17" s="1"/>
  <c r="AP65" i="17" s="1"/>
  <c r="BC66" i="2"/>
  <c r="AO64" i="17" s="1"/>
  <c r="AP64" i="17" s="1"/>
  <c r="BA66" i="2"/>
  <c r="AO63" i="17" s="1"/>
  <c r="AP63" i="17" s="1"/>
  <c r="AY66" i="2"/>
  <c r="AO62" i="17" s="1"/>
  <c r="AP62" i="17" s="1"/>
  <c r="AW66" i="2"/>
  <c r="AO61" i="17" s="1"/>
  <c r="AP61" i="17" s="1"/>
  <c r="AU66" i="2"/>
  <c r="AO60" i="17" s="1"/>
  <c r="AP60" i="17" s="1"/>
  <c r="AS66" i="2"/>
  <c r="AO59" i="17" s="1"/>
  <c r="AP59" i="17" s="1"/>
  <c r="AQ66" i="2"/>
  <c r="AO58" i="17" s="1"/>
  <c r="AP58" i="17" s="1"/>
  <c r="AO66" i="2"/>
  <c r="AO57" i="17" s="1"/>
  <c r="AP57" i="17" s="1"/>
  <c r="AM66" i="2"/>
  <c r="AO56" i="17" s="1"/>
  <c r="AP56" i="17" s="1"/>
  <c r="AK66" i="2"/>
  <c r="AO55" i="17" s="1"/>
  <c r="AP55" i="17" s="1"/>
  <c r="AI66" i="2"/>
  <c r="AO54" i="17" s="1"/>
  <c r="AP54" i="17" s="1"/>
  <c r="AG66" i="2"/>
  <c r="AO53" i="17" s="1"/>
  <c r="AP53" i="17" s="1"/>
  <c r="AE66" i="2"/>
  <c r="AO52" i="17" s="1"/>
  <c r="AP52" i="17" s="1"/>
  <c r="AC66" i="2"/>
  <c r="AO51" i="17" s="1"/>
  <c r="AP51" i="17" s="1"/>
  <c r="AA66" i="2"/>
  <c r="AO50" i="17" s="1"/>
  <c r="AP50" i="17" s="1"/>
  <c r="Y66" i="2"/>
  <c r="AO49" i="17" s="1"/>
  <c r="AP49" i="17" s="1"/>
  <c r="W66" i="2"/>
  <c r="AO48" i="17" s="1"/>
  <c r="AP48" i="17" s="1"/>
  <c r="U66" i="2"/>
  <c r="AO47" i="17" s="1"/>
  <c r="AP47" i="17" s="1"/>
  <c r="S66" i="2"/>
  <c r="AO46" i="17" s="1"/>
  <c r="AP46" i="17" s="1"/>
  <c r="Q66" i="2"/>
  <c r="AO45" i="17" s="1"/>
  <c r="AP45" i="17" s="1"/>
  <c r="O66" i="2"/>
  <c r="AO44" i="17" s="1"/>
  <c r="AP44" i="17" s="1"/>
  <c r="M66" i="2"/>
  <c r="AO43" i="17" s="1"/>
  <c r="AP43" i="17" s="1"/>
  <c r="K66" i="2"/>
  <c r="AO42" i="17" s="1"/>
  <c r="AP42" i="17" s="1"/>
  <c r="I66" i="2"/>
  <c r="AO41" i="17" s="1"/>
  <c r="AP41" i="17" s="1"/>
  <c r="G66" i="2"/>
  <c r="AO40" i="17" s="1"/>
  <c r="AP40" i="17" s="1"/>
  <c r="E66" i="2"/>
  <c r="AO39" i="17" s="1"/>
  <c r="AP39" i="17" s="1"/>
  <c r="BM62" i="2"/>
  <c r="BL62" i="2"/>
  <c r="BJ62" i="2"/>
  <c r="BH62" i="2"/>
  <c r="BF62" i="2"/>
  <c r="BD62" i="2"/>
  <c r="BB62" i="2"/>
  <c r="AZ62" i="2"/>
  <c r="AX62" i="2"/>
  <c r="AV62" i="2"/>
  <c r="AT62" i="2"/>
  <c r="AR62" i="2"/>
  <c r="AP62" i="2"/>
  <c r="AN62" i="2"/>
  <c r="AL62" i="2"/>
  <c r="AJ62" i="2"/>
  <c r="AH62" i="2"/>
  <c r="AF62" i="2"/>
  <c r="AD62" i="2"/>
  <c r="AB62" i="2"/>
  <c r="Z62" i="2"/>
  <c r="X62" i="2"/>
  <c r="V62" i="2"/>
  <c r="T62" i="2"/>
  <c r="R62" i="2"/>
  <c r="P62" i="2"/>
  <c r="N62" i="2"/>
  <c r="L62" i="2"/>
  <c r="J62" i="2"/>
  <c r="H62" i="2"/>
  <c r="F62" i="2"/>
  <c r="BM61" i="2"/>
  <c r="BL61" i="2"/>
  <c r="BJ61" i="2"/>
  <c r="BH61" i="2"/>
  <c r="BF61" i="2"/>
  <c r="BD61" i="2"/>
  <c r="BB61" i="2"/>
  <c r="AZ61" i="2"/>
  <c r="AX61" i="2"/>
  <c r="AV61" i="2"/>
  <c r="AT61" i="2"/>
  <c r="AR61" i="2"/>
  <c r="AP61" i="2"/>
  <c r="AN61" i="2"/>
  <c r="AL61" i="2"/>
  <c r="AJ61" i="2"/>
  <c r="AH61" i="2"/>
  <c r="AF61" i="2"/>
  <c r="AD61" i="2"/>
  <c r="AB61" i="2"/>
  <c r="Z61" i="2"/>
  <c r="X61" i="2"/>
  <c r="V61" i="2"/>
  <c r="T61" i="2"/>
  <c r="R61" i="2"/>
  <c r="P61" i="2"/>
  <c r="N61" i="2"/>
  <c r="L61" i="2"/>
  <c r="J61" i="2"/>
  <c r="H61" i="2"/>
  <c r="F61" i="2"/>
  <c r="BM60" i="2"/>
  <c r="BL60" i="2"/>
  <c r="BJ60" i="2"/>
  <c r="BH60" i="2"/>
  <c r="BF60" i="2"/>
  <c r="BD60" i="2"/>
  <c r="BB60" i="2"/>
  <c r="AZ60" i="2"/>
  <c r="AX60" i="2"/>
  <c r="AV60" i="2"/>
  <c r="AT60" i="2"/>
  <c r="AR60" i="2"/>
  <c r="AP60" i="2"/>
  <c r="AN60" i="2"/>
  <c r="AL60" i="2"/>
  <c r="AJ60" i="2"/>
  <c r="AH60" i="2"/>
  <c r="AF60" i="2"/>
  <c r="AD60" i="2"/>
  <c r="AB60" i="2"/>
  <c r="Z60" i="2"/>
  <c r="X60" i="2"/>
  <c r="V60" i="2"/>
  <c r="T60" i="2"/>
  <c r="R60" i="2"/>
  <c r="P60" i="2"/>
  <c r="N60" i="2"/>
  <c r="L60" i="2"/>
  <c r="J60" i="2"/>
  <c r="H60" i="2"/>
  <c r="F60" i="2"/>
  <c r="BM59" i="2"/>
  <c r="BL59" i="2"/>
  <c r="BJ59" i="2"/>
  <c r="BH59" i="2"/>
  <c r="BF59" i="2"/>
  <c r="BD59" i="2"/>
  <c r="BB59" i="2"/>
  <c r="AZ59" i="2"/>
  <c r="AX59" i="2"/>
  <c r="AV59" i="2"/>
  <c r="AT59" i="2"/>
  <c r="AR59" i="2"/>
  <c r="AP59" i="2"/>
  <c r="AN59" i="2"/>
  <c r="AL59" i="2"/>
  <c r="AJ59" i="2"/>
  <c r="AH59" i="2"/>
  <c r="AF59" i="2"/>
  <c r="AD59" i="2"/>
  <c r="AB59" i="2"/>
  <c r="Z59" i="2"/>
  <c r="X59" i="2"/>
  <c r="V59" i="2"/>
  <c r="T59" i="2"/>
  <c r="R59" i="2"/>
  <c r="P59" i="2"/>
  <c r="N59" i="2"/>
  <c r="L59" i="2"/>
  <c r="J59" i="2"/>
  <c r="H59" i="2"/>
  <c r="F59" i="2"/>
  <c r="BM58" i="2"/>
  <c r="BL58" i="2"/>
  <c r="BJ58" i="2"/>
  <c r="BH58" i="2"/>
  <c r="BF58" i="2"/>
  <c r="BD58" i="2"/>
  <c r="BB58" i="2"/>
  <c r="AZ58" i="2"/>
  <c r="AX58" i="2"/>
  <c r="AV58" i="2"/>
  <c r="AT58" i="2"/>
  <c r="AR58" i="2"/>
  <c r="AP58" i="2"/>
  <c r="AN58" i="2"/>
  <c r="AL58" i="2"/>
  <c r="AJ58" i="2"/>
  <c r="AH58" i="2"/>
  <c r="AF58" i="2"/>
  <c r="AD58" i="2"/>
  <c r="AB58" i="2"/>
  <c r="Z58" i="2"/>
  <c r="X58" i="2"/>
  <c r="V58" i="2"/>
  <c r="T58" i="2"/>
  <c r="R58" i="2"/>
  <c r="P58" i="2"/>
  <c r="N58" i="2"/>
  <c r="L58" i="2"/>
  <c r="J58" i="2"/>
  <c r="H58" i="2"/>
  <c r="F58" i="2"/>
  <c r="BM57" i="2"/>
  <c r="BL57" i="2"/>
  <c r="BJ57" i="2"/>
  <c r="BH57" i="2"/>
  <c r="BF57" i="2"/>
  <c r="BD57" i="2"/>
  <c r="BB57" i="2"/>
  <c r="AZ57" i="2"/>
  <c r="AX57" i="2"/>
  <c r="AV57" i="2"/>
  <c r="AT57" i="2"/>
  <c r="AR57" i="2"/>
  <c r="AP57" i="2"/>
  <c r="AN57" i="2"/>
  <c r="AL57" i="2"/>
  <c r="AJ57" i="2"/>
  <c r="AH57" i="2"/>
  <c r="AF57" i="2"/>
  <c r="AD57" i="2"/>
  <c r="AB57" i="2"/>
  <c r="Z57" i="2"/>
  <c r="X57" i="2"/>
  <c r="V57" i="2"/>
  <c r="T57" i="2"/>
  <c r="R57" i="2"/>
  <c r="P57" i="2"/>
  <c r="N57" i="2"/>
  <c r="L57" i="2"/>
  <c r="J57" i="2"/>
  <c r="H57" i="2"/>
  <c r="F57" i="2"/>
  <c r="BM56" i="2"/>
  <c r="BL56" i="2"/>
  <c r="BJ56" i="2"/>
  <c r="BH56" i="2"/>
  <c r="BF56" i="2"/>
  <c r="BD56" i="2"/>
  <c r="BB56" i="2"/>
  <c r="AZ56" i="2"/>
  <c r="AX56" i="2"/>
  <c r="AV56" i="2"/>
  <c r="AT56" i="2"/>
  <c r="AR56" i="2"/>
  <c r="AP56" i="2"/>
  <c r="AN56" i="2"/>
  <c r="AL56" i="2"/>
  <c r="AJ56" i="2"/>
  <c r="AH56" i="2"/>
  <c r="AF56" i="2"/>
  <c r="AD56" i="2"/>
  <c r="AB56" i="2"/>
  <c r="Z56" i="2"/>
  <c r="X56" i="2"/>
  <c r="V56" i="2"/>
  <c r="T56" i="2"/>
  <c r="R56" i="2"/>
  <c r="P56" i="2"/>
  <c r="N56" i="2"/>
  <c r="L56" i="2"/>
  <c r="J56" i="2"/>
  <c r="H56" i="2"/>
  <c r="F56" i="2"/>
  <c r="BM55" i="2"/>
  <c r="BL55" i="2"/>
  <c r="BJ55" i="2"/>
  <c r="BH55" i="2"/>
  <c r="BF55" i="2"/>
  <c r="BD55" i="2"/>
  <c r="BB55" i="2"/>
  <c r="AZ55" i="2"/>
  <c r="AX55" i="2"/>
  <c r="AV55" i="2"/>
  <c r="AT55" i="2"/>
  <c r="AR55" i="2"/>
  <c r="AP55" i="2"/>
  <c r="AN55" i="2"/>
  <c r="AL55" i="2"/>
  <c r="AJ55" i="2"/>
  <c r="AH55" i="2"/>
  <c r="AF55" i="2"/>
  <c r="AD55" i="2"/>
  <c r="AB55" i="2"/>
  <c r="Z55" i="2"/>
  <c r="X55" i="2"/>
  <c r="V55" i="2"/>
  <c r="T55" i="2"/>
  <c r="R55" i="2"/>
  <c r="P55" i="2"/>
  <c r="N55" i="2"/>
  <c r="L55" i="2"/>
  <c r="J55" i="2"/>
  <c r="H55" i="2"/>
  <c r="F55" i="2"/>
  <c r="BM54" i="2"/>
  <c r="BL54" i="2"/>
  <c r="BJ54" i="2"/>
  <c r="BH54" i="2"/>
  <c r="BF54" i="2"/>
  <c r="BD54" i="2"/>
  <c r="BB54" i="2"/>
  <c r="AZ54" i="2"/>
  <c r="AX54" i="2"/>
  <c r="AV54" i="2"/>
  <c r="AT54" i="2"/>
  <c r="AR54" i="2"/>
  <c r="AP54" i="2"/>
  <c r="AN54" i="2"/>
  <c r="AL54" i="2"/>
  <c r="AJ54" i="2"/>
  <c r="AH54" i="2"/>
  <c r="AF54" i="2"/>
  <c r="AD54" i="2"/>
  <c r="AB54" i="2"/>
  <c r="Z54" i="2"/>
  <c r="X54" i="2"/>
  <c r="V54" i="2"/>
  <c r="T54" i="2"/>
  <c r="R54" i="2"/>
  <c r="P54" i="2"/>
  <c r="N54" i="2"/>
  <c r="L54" i="2"/>
  <c r="J54" i="2"/>
  <c r="H54" i="2"/>
  <c r="F54" i="2"/>
  <c r="BM53" i="2"/>
  <c r="BL53" i="2"/>
  <c r="BJ53" i="2"/>
  <c r="BH53" i="2"/>
  <c r="BF53" i="2"/>
  <c r="BD53" i="2"/>
  <c r="BB53" i="2"/>
  <c r="AZ53" i="2"/>
  <c r="AX53" i="2"/>
  <c r="AV53" i="2"/>
  <c r="AT53" i="2"/>
  <c r="AR53" i="2"/>
  <c r="AP53" i="2"/>
  <c r="AN53" i="2"/>
  <c r="AL53" i="2"/>
  <c r="AJ53" i="2"/>
  <c r="AH53" i="2"/>
  <c r="AF53" i="2"/>
  <c r="AD53" i="2"/>
  <c r="AB53" i="2"/>
  <c r="Z53" i="2"/>
  <c r="X53" i="2"/>
  <c r="V53" i="2"/>
  <c r="T53" i="2"/>
  <c r="R53" i="2"/>
  <c r="P53" i="2"/>
  <c r="N53" i="2"/>
  <c r="L53" i="2"/>
  <c r="J53" i="2"/>
  <c r="H53" i="2"/>
  <c r="F53" i="2"/>
  <c r="BM52" i="2"/>
  <c r="BL52" i="2"/>
  <c r="BJ52" i="2"/>
  <c r="BH52" i="2"/>
  <c r="BF52" i="2"/>
  <c r="BD52" i="2"/>
  <c r="BB52" i="2"/>
  <c r="AZ52" i="2"/>
  <c r="AX52" i="2"/>
  <c r="AV52" i="2"/>
  <c r="AT52" i="2"/>
  <c r="AR52" i="2"/>
  <c r="AP52" i="2"/>
  <c r="AN52" i="2"/>
  <c r="AL52" i="2"/>
  <c r="AJ52" i="2"/>
  <c r="AH52" i="2"/>
  <c r="AF52" i="2"/>
  <c r="AD52" i="2"/>
  <c r="AB52" i="2"/>
  <c r="Z52" i="2"/>
  <c r="X52" i="2"/>
  <c r="V52" i="2"/>
  <c r="T52" i="2"/>
  <c r="R52" i="2"/>
  <c r="P52" i="2"/>
  <c r="N52" i="2"/>
  <c r="L52" i="2"/>
  <c r="J52" i="2"/>
  <c r="H52" i="2"/>
  <c r="F52" i="2"/>
  <c r="BM51" i="2"/>
  <c r="BL51" i="2"/>
  <c r="BJ51" i="2"/>
  <c r="BH51" i="2"/>
  <c r="BF51" i="2"/>
  <c r="BD51" i="2"/>
  <c r="BB51" i="2"/>
  <c r="AZ51" i="2"/>
  <c r="AX51" i="2"/>
  <c r="AV51" i="2"/>
  <c r="AT51" i="2"/>
  <c r="AR51" i="2"/>
  <c r="AP51" i="2"/>
  <c r="AN51" i="2"/>
  <c r="AL51" i="2"/>
  <c r="AJ51" i="2"/>
  <c r="AH51" i="2"/>
  <c r="AF51" i="2"/>
  <c r="AD51" i="2"/>
  <c r="AB51" i="2"/>
  <c r="Z51" i="2"/>
  <c r="X51" i="2"/>
  <c r="V51" i="2"/>
  <c r="T51" i="2"/>
  <c r="R51" i="2"/>
  <c r="P51" i="2"/>
  <c r="N51" i="2"/>
  <c r="L51" i="2"/>
  <c r="J51" i="2"/>
  <c r="H51" i="2"/>
  <c r="F51" i="2"/>
  <c r="BM50" i="2"/>
  <c r="BL50" i="2"/>
  <c r="BJ50" i="2"/>
  <c r="BH50" i="2"/>
  <c r="BF50" i="2"/>
  <c r="BD50" i="2"/>
  <c r="BB50" i="2"/>
  <c r="AZ50" i="2"/>
  <c r="AX50" i="2"/>
  <c r="AV50" i="2"/>
  <c r="AT50" i="2"/>
  <c r="AR50" i="2"/>
  <c r="AP50" i="2"/>
  <c r="AN50" i="2"/>
  <c r="AL50" i="2"/>
  <c r="AJ50" i="2"/>
  <c r="AH50" i="2"/>
  <c r="AF50" i="2"/>
  <c r="AD50" i="2"/>
  <c r="AB50" i="2"/>
  <c r="Z50" i="2"/>
  <c r="X50" i="2"/>
  <c r="V50" i="2"/>
  <c r="T50" i="2"/>
  <c r="R50" i="2"/>
  <c r="P50" i="2"/>
  <c r="N50" i="2"/>
  <c r="L50" i="2"/>
  <c r="J50" i="2"/>
  <c r="H50" i="2"/>
  <c r="F50" i="2"/>
  <c r="BM49" i="2"/>
  <c r="BL49" i="2"/>
  <c r="BJ49" i="2"/>
  <c r="BH49" i="2"/>
  <c r="BF49" i="2"/>
  <c r="BD49" i="2"/>
  <c r="BB49" i="2"/>
  <c r="AZ49" i="2"/>
  <c r="AX49" i="2"/>
  <c r="AV49" i="2"/>
  <c r="AT49" i="2"/>
  <c r="AR49" i="2"/>
  <c r="AP49" i="2"/>
  <c r="AN49" i="2"/>
  <c r="AL49" i="2"/>
  <c r="AJ49" i="2"/>
  <c r="AH49" i="2"/>
  <c r="AF49" i="2"/>
  <c r="AD49" i="2"/>
  <c r="AB49" i="2"/>
  <c r="Z49" i="2"/>
  <c r="X49" i="2"/>
  <c r="V49" i="2"/>
  <c r="T49" i="2"/>
  <c r="R49" i="2"/>
  <c r="P49" i="2"/>
  <c r="N49" i="2"/>
  <c r="L49" i="2"/>
  <c r="J49" i="2"/>
  <c r="H49" i="2"/>
  <c r="F49" i="2"/>
  <c r="BM48" i="2"/>
  <c r="BL48" i="2"/>
  <c r="BJ48" i="2"/>
  <c r="BH48" i="2"/>
  <c r="BF48" i="2"/>
  <c r="BD48" i="2"/>
  <c r="BB48" i="2"/>
  <c r="AZ48" i="2"/>
  <c r="AX48" i="2"/>
  <c r="AV48" i="2"/>
  <c r="AT48" i="2"/>
  <c r="AR48" i="2"/>
  <c r="AP48" i="2"/>
  <c r="AN48" i="2"/>
  <c r="AL48" i="2"/>
  <c r="AJ48" i="2"/>
  <c r="AH48" i="2"/>
  <c r="AF48" i="2"/>
  <c r="AD48" i="2"/>
  <c r="AB48" i="2"/>
  <c r="Z48" i="2"/>
  <c r="X48" i="2"/>
  <c r="V48" i="2"/>
  <c r="T48" i="2"/>
  <c r="R48" i="2"/>
  <c r="P48" i="2"/>
  <c r="N48" i="2"/>
  <c r="L48" i="2"/>
  <c r="J48" i="2"/>
  <c r="H48" i="2"/>
  <c r="F48" i="2"/>
  <c r="BM47" i="2"/>
  <c r="BL47" i="2"/>
  <c r="BJ47" i="2"/>
  <c r="BH47" i="2"/>
  <c r="BF47" i="2"/>
  <c r="BD47" i="2"/>
  <c r="BB47" i="2"/>
  <c r="AZ47" i="2"/>
  <c r="AX47" i="2"/>
  <c r="AV47" i="2"/>
  <c r="AT47" i="2"/>
  <c r="AR47" i="2"/>
  <c r="AP47" i="2"/>
  <c r="AN47" i="2"/>
  <c r="AL47" i="2"/>
  <c r="AJ47" i="2"/>
  <c r="AH47" i="2"/>
  <c r="AF47" i="2"/>
  <c r="AD47" i="2"/>
  <c r="AB47" i="2"/>
  <c r="Z47" i="2"/>
  <c r="X47" i="2"/>
  <c r="V47" i="2"/>
  <c r="T47" i="2"/>
  <c r="R47" i="2"/>
  <c r="P47" i="2"/>
  <c r="N47" i="2"/>
  <c r="L47" i="2"/>
  <c r="J47" i="2"/>
  <c r="H47" i="2"/>
  <c r="F47" i="2"/>
  <c r="BM46" i="2"/>
  <c r="BL46" i="2"/>
  <c r="BJ46" i="2"/>
  <c r="BH46" i="2"/>
  <c r="BF46" i="2"/>
  <c r="BD46" i="2"/>
  <c r="BB46" i="2"/>
  <c r="AZ46" i="2"/>
  <c r="AX46" i="2"/>
  <c r="AV46" i="2"/>
  <c r="AT46" i="2"/>
  <c r="AR46" i="2"/>
  <c r="AP46" i="2"/>
  <c r="AN46" i="2"/>
  <c r="AL46" i="2"/>
  <c r="AJ46" i="2"/>
  <c r="AH46" i="2"/>
  <c r="AF46" i="2"/>
  <c r="AD46" i="2"/>
  <c r="AB46" i="2"/>
  <c r="Z46" i="2"/>
  <c r="X46" i="2"/>
  <c r="V46" i="2"/>
  <c r="T46" i="2"/>
  <c r="R46" i="2"/>
  <c r="P46" i="2"/>
  <c r="N46" i="2"/>
  <c r="L46" i="2"/>
  <c r="J46" i="2"/>
  <c r="H46" i="2"/>
  <c r="F46" i="2"/>
  <c r="BM45" i="2"/>
  <c r="BL45" i="2"/>
  <c r="BJ45" i="2"/>
  <c r="BH45" i="2"/>
  <c r="BF45" i="2"/>
  <c r="BD45" i="2"/>
  <c r="BB45" i="2"/>
  <c r="AZ45" i="2"/>
  <c r="AX45" i="2"/>
  <c r="AV45" i="2"/>
  <c r="AT45" i="2"/>
  <c r="AR45" i="2"/>
  <c r="AP45" i="2"/>
  <c r="AN45" i="2"/>
  <c r="AL45" i="2"/>
  <c r="AJ45" i="2"/>
  <c r="AH45" i="2"/>
  <c r="AF45" i="2"/>
  <c r="AD45" i="2"/>
  <c r="AB45" i="2"/>
  <c r="Z45" i="2"/>
  <c r="X45" i="2"/>
  <c r="V45" i="2"/>
  <c r="T45" i="2"/>
  <c r="R45" i="2"/>
  <c r="P45" i="2"/>
  <c r="N45" i="2"/>
  <c r="L45" i="2"/>
  <c r="J45" i="2"/>
  <c r="H45" i="2"/>
  <c r="F45" i="2"/>
  <c r="BM44" i="2"/>
  <c r="BL44" i="2"/>
  <c r="BJ44" i="2"/>
  <c r="BH44" i="2"/>
  <c r="BF44" i="2"/>
  <c r="BD44" i="2"/>
  <c r="BB44" i="2"/>
  <c r="AZ44" i="2"/>
  <c r="AX44" i="2"/>
  <c r="AV44" i="2"/>
  <c r="AT44" i="2"/>
  <c r="AR44" i="2"/>
  <c r="AP44" i="2"/>
  <c r="AN44" i="2"/>
  <c r="AL44" i="2"/>
  <c r="AJ44" i="2"/>
  <c r="AH44" i="2"/>
  <c r="AF44" i="2"/>
  <c r="AD44" i="2"/>
  <c r="AB44" i="2"/>
  <c r="Z44" i="2"/>
  <c r="X44" i="2"/>
  <c r="V44" i="2"/>
  <c r="T44" i="2"/>
  <c r="R44" i="2"/>
  <c r="P44" i="2"/>
  <c r="N44" i="2"/>
  <c r="L44" i="2"/>
  <c r="J44" i="2"/>
  <c r="H44" i="2"/>
  <c r="F44" i="2"/>
  <c r="BM43" i="2"/>
  <c r="BL43" i="2"/>
  <c r="BJ43" i="2"/>
  <c r="BH43" i="2"/>
  <c r="BF43" i="2"/>
  <c r="BD43" i="2"/>
  <c r="BB43" i="2"/>
  <c r="AZ43" i="2"/>
  <c r="AX43" i="2"/>
  <c r="AV43" i="2"/>
  <c r="AT43" i="2"/>
  <c r="AR43" i="2"/>
  <c r="AP43" i="2"/>
  <c r="AN43" i="2"/>
  <c r="AL43" i="2"/>
  <c r="AJ43" i="2"/>
  <c r="AH43" i="2"/>
  <c r="AF43" i="2"/>
  <c r="AD43" i="2"/>
  <c r="AB43" i="2"/>
  <c r="Z43" i="2"/>
  <c r="X43" i="2"/>
  <c r="V43" i="2"/>
  <c r="T43" i="2"/>
  <c r="R43" i="2"/>
  <c r="P43" i="2"/>
  <c r="N43" i="2"/>
  <c r="L43" i="2"/>
  <c r="J43" i="2"/>
  <c r="H43" i="2"/>
  <c r="F43" i="2"/>
  <c r="BM42" i="2"/>
  <c r="BL42" i="2"/>
  <c r="BJ42" i="2"/>
  <c r="BH42" i="2"/>
  <c r="BF42" i="2"/>
  <c r="BD42" i="2"/>
  <c r="BB42" i="2"/>
  <c r="AZ42" i="2"/>
  <c r="AX42" i="2"/>
  <c r="AV42" i="2"/>
  <c r="AT42" i="2"/>
  <c r="AR42" i="2"/>
  <c r="AP42" i="2"/>
  <c r="AN42" i="2"/>
  <c r="AL42" i="2"/>
  <c r="AJ42" i="2"/>
  <c r="AH42" i="2"/>
  <c r="AF42" i="2"/>
  <c r="AD42" i="2"/>
  <c r="AB42" i="2"/>
  <c r="Z42" i="2"/>
  <c r="X42" i="2"/>
  <c r="V42" i="2"/>
  <c r="T42" i="2"/>
  <c r="R42" i="2"/>
  <c r="P42" i="2"/>
  <c r="N42" i="2"/>
  <c r="L42" i="2"/>
  <c r="J42" i="2"/>
  <c r="H42" i="2"/>
  <c r="F42" i="2"/>
  <c r="BM41" i="2"/>
  <c r="BL41" i="2"/>
  <c r="BJ41" i="2"/>
  <c r="BH41" i="2"/>
  <c r="BF41" i="2"/>
  <c r="BD41" i="2"/>
  <c r="BB41" i="2"/>
  <c r="AZ41" i="2"/>
  <c r="AX41" i="2"/>
  <c r="AV41" i="2"/>
  <c r="AT41" i="2"/>
  <c r="AR41" i="2"/>
  <c r="AP41" i="2"/>
  <c r="AN41" i="2"/>
  <c r="AL41" i="2"/>
  <c r="AJ41" i="2"/>
  <c r="AH41" i="2"/>
  <c r="AF41" i="2"/>
  <c r="AD41" i="2"/>
  <c r="AB41" i="2"/>
  <c r="Z41" i="2"/>
  <c r="X41" i="2"/>
  <c r="V41" i="2"/>
  <c r="T41" i="2"/>
  <c r="R41" i="2"/>
  <c r="P41" i="2"/>
  <c r="N41" i="2"/>
  <c r="L41" i="2"/>
  <c r="J41" i="2"/>
  <c r="H41" i="2"/>
  <c r="F41" i="2"/>
  <c r="BM40" i="2"/>
  <c r="BL40" i="2"/>
  <c r="BJ40" i="2"/>
  <c r="BH40" i="2"/>
  <c r="BF40" i="2"/>
  <c r="BD40" i="2"/>
  <c r="BB40" i="2"/>
  <c r="AZ40" i="2"/>
  <c r="AX40" i="2"/>
  <c r="AV40" i="2"/>
  <c r="AT40" i="2"/>
  <c r="AR40" i="2"/>
  <c r="AP40" i="2"/>
  <c r="AN40" i="2"/>
  <c r="AL40" i="2"/>
  <c r="AJ40" i="2"/>
  <c r="AH40" i="2"/>
  <c r="AF40" i="2"/>
  <c r="AD40" i="2"/>
  <c r="AB40" i="2"/>
  <c r="Z40" i="2"/>
  <c r="X40" i="2"/>
  <c r="V40" i="2"/>
  <c r="T40" i="2"/>
  <c r="R40" i="2"/>
  <c r="P40" i="2"/>
  <c r="N40" i="2"/>
  <c r="L40" i="2"/>
  <c r="J40" i="2"/>
  <c r="H40" i="2"/>
  <c r="F40" i="2"/>
  <c r="BM39" i="2"/>
  <c r="BL39" i="2"/>
  <c r="BJ39" i="2"/>
  <c r="BH39" i="2"/>
  <c r="BF39" i="2"/>
  <c r="BD39" i="2"/>
  <c r="BB39" i="2"/>
  <c r="AZ39" i="2"/>
  <c r="AX39" i="2"/>
  <c r="AV39" i="2"/>
  <c r="AT39" i="2"/>
  <c r="AR39" i="2"/>
  <c r="AP39" i="2"/>
  <c r="AN39" i="2"/>
  <c r="AL39" i="2"/>
  <c r="AJ39" i="2"/>
  <c r="AH39" i="2"/>
  <c r="AF39" i="2"/>
  <c r="AD39" i="2"/>
  <c r="AB39" i="2"/>
  <c r="Z39" i="2"/>
  <c r="X39" i="2"/>
  <c r="V39" i="2"/>
  <c r="T39" i="2"/>
  <c r="R39" i="2"/>
  <c r="P39" i="2"/>
  <c r="N39" i="2"/>
  <c r="L39" i="2"/>
  <c r="J39" i="2"/>
  <c r="H39" i="2"/>
  <c r="F39" i="2"/>
  <c r="BM38" i="2"/>
  <c r="BL38" i="2"/>
  <c r="BJ38" i="2"/>
  <c r="BH38" i="2"/>
  <c r="BF38" i="2"/>
  <c r="BD38" i="2"/>
  <c r="BB38" i="2"/>
  <c r="AZ38" i="2"/>
  <c r="AX38" i="2"/>
  <c r="AV38" i="2"/>
  <c r="AT38" i="2"/>
  <c r="AR38" i="2"/>
  <c r="AP38" i="2"/>
  <c r="AN38" i="2"/>
  <c r="AL38" i="2"/>
  <c r="AJ38" i="2"/>
  <c r="AH38" i="2"/>
  <c r="AF38" i="2"/>
  <c r="L38" i="2"/>
  <c r="F38" i="2"/>
  <c r="BM37" i="2"/>
  <c r="BL37" i="2"/>
  <c r="BJ37" i="2"/>
  <c r="BH37" i="2"/>
  <c r="BF37" i="2"/>
  <c r="BD37" i="2"/>
  <c r="BB37" i="2"/>
  <c r="AZ37" i="2"/>
  <c r="AX37" i="2"/>
  <c r="AV37" i="2"/>
  <c r="AT37" i="2"/>
  <c r="AR37" i="2"/>
  <c r="AP37" i="2"/>
  <c r="AN37" i="2"/>
  <c r="AL37" i="2"/>
  <c r="AJ37" i="2"/>
  <c r="AH37" i="2"/>
  <c r="AF37" i="2"/>
  <c r="L37" i="2"/>
  <c r="F37" i="2"/>
  <c r="BM36" i="2"/>
  <c r="BL36" i="2"/>
  <c r="BJ36" i="2"/>
  <c r="BH36" i="2"/>
  <c r="BF36" i="2"/>
  <c r="BD36" i="2"/>
  <c r="BB36" i="2"/>
  <c r="AZ36" i="2"/>
  <c r="AX36" i="2"/>
  <c r="AV36" i="2"/>
  <c r="AT36" i="2"/>
  <c r="AR36" i="2"/>
  <c r="AP36" i="2"/>
  <c r="AN36" i="2"/>
  <c r="AL36" i="2"/>
  <c r="AJ36" i="2"/>
  <c r="AH36" i="2"/>
  <c r="AF36" i="2"/>
  <c r="L36" i="2"/>
  <c r="BM35" i="2"/>
  <c r="BL35" i="2"/>
  <c r="BJ35" i="2"/>
  <c r="BH35" i="2"/>
  <c r="BF35" i="2"/>
  <c r="BD35" i="2"/>
  <c r="BB35" i="2"/>
  <c r="AZ35" i="2"/>
  <c r="AX35" i="2"/>
  <c r="AV35" i="2"/>
  <c r="AT35" i="2"/>
  <c r="AR35" i="2"/>
  <c r="AP35" i="2"/>
  <c r="AN35" i="2"/>
  <c r="AL35" i="2"/>
  <c r="AJ35" i="2"/>
  <c r="AH35" i="2"/>
  <c r="AF35" i="2"/>
  <c r="L35" i="2"/>
  <c r="F35" i="2"/>
  <c r="BM34" i="2"/>
  <c r="BL34" i="2"/>
  <c r="BJ34" i="2"/>
  <c r="BH34" i="2"/>
  <c r="BF34" i="2"/>
  <c r="BD34" i="2"/>
  <c r="BB34" i="2"/>
  <c r="AZ34" i="2"/>
  <c r="AX34" i="2"/>
  <c r="AV34" i="2"/>
  <c r="AT34" i="2"/>
  <c r="AR34" i="2"/>
  <c r="AP34" i="2"/>
  <c r="AN34" i="2"/>
  <c r="AL34" i="2"/>
  <c r="AJ34" i="2"/>
  <c r="AH34" i="2"/>
  <c r="AF34" i="2"/>
  <c r="L34" i="2"/>
  <c r="F34" i="2"/>
  <c r="BL33" i="2"/>
  <c r="BJ33" i="2"/>
  <c r="BH33" i="2"/>
  <c r="BF33" i="2"/>
  <c r="BD33" i="2"/>
  <c r="BB33" i="2"/>
  <c r="AZ33" i="2"/>
  <c r="AX33" i="2"/>
  <c r="AV33" i="2"/>
  <c r="AT33" i="2"/>
  <c r="AR33" i="2"/>
  <c r="AP33" i="2"/>
  <c r="AN33" i="2"/>
  <c r="AL33" i="2"/>
  <c r="AJ33" i="2"/>
  <c r="AH33" i="2"/>
  <c r="AF33" i="2"/>
  <c r="L33" i="2"/>
  <c r="F33" i="2"/>
  <c r="BL28" i="2"/>
  <c r="BJ28" i="2"/>
  <c r="BH28" i="2"/>
  <c r="BF28" i="2"/>
  <c r="BD28" i="2"/>
  <c r="BB28" i="2"/>
  <c r="AZ28" i="2"/>
  <c r="AX28" i="2"/>
  <c r="AV28" i="2"/>
  <c r="AT28" i="2"/>
  <c r="AR28" i="2"/>
  <c r="AP28" i="2"/>
  <c r="AN28" i="2"/>
  <c r="AL28" i="2"/>
  <c r="AJ28" i="2"/>
  <c r="AH28" i="2"/>
  <c r="AF28" i="2"/>
  <c r="AD28" i="2"/>
  <c r="AB28" i="2"/>
  <c r="Z28" i="2"/>
  <c r="X28" i="2"/>
  <c r="V28" i="2"/>
  <c r="T28" i="2"/>
  <c r="R28" i="2"/>
  <c r="P28" i="2"/>
  <c r="N28" i="2"/>
  <c r="L28" i="2"/>
  <c r="J28" i="2"/>
  <c r="H28" i="2"/>
  <c r="F28" i="2"/>
  <c r="BM33" i="1"/>
  <c r="O66" i="1"/>
  <c r="AO10" i="17" s="1"/>
  <c r="AP10" i="17" s="1"/>
  <c r="M66" i="1"/>
  <c r="AO9" i="17" s="1"/>
  <c r="AP9" i="17" s="1"/>
  <c r="K66" i="1"/>
  <c r="AO8" i="17" s="1"/>
  <c r="AP8" i="17" s="1"/>
  <c r="I66" i="1"/>
  <c r="AO7" i="17" s="1"/>
  <c r="AP7" i="17" s="1"/>
  <c r="E66" i="1"/>
  <c r="AO5" i="17" s="1"/>
  <c r="AP5" i="17" s="1"/>
  <c r="G66" i="1"/>
  <c r="AO6" i="17" s="1"/>
  <c r="AP6" i="17" s="1"/>
  <c r="AL104" i="1"/>
  <c r="BL144" i="1"/>
  <c r="BJ144" i="1"/>
  <c r="BH144" i="1"/>
  <c r="BF144" i="1"/>
  <c r="BD144" i="1"/>
  <c r="BB144" i="1"/>
  <c r="AZ144" i="1"/>
  <c r="AX144" i="1"/>
  <c r="AV144" i="1"/>
  <c r="AT144" i="1"/>
  <c r="AR144" i="1"/>
  <c r="AP144" i="1"/>
  <c r="AN144" i="1"/>
  <c r="AL144" i="1"/>
  <c r="AJ144" i="1"/>
  <c r="BL134" i="1"/>
  <c r="BJ134" i="1"/>
  <c r="BH134" i="1"/>
  <c r="BF134" i="1"/>
  <c r="BD134" i="1"/>
  <c r="BB134" i="1"/>
  <c r="AZ134" i="1"/>
  <c r="AX134" i="1"/>
  <c r="AV134" i="1"/>
  <c r="AT134" i="1"/>
  <c r="AR134" i="1"/>
  <c r="AP134" i="1"/>
  <c r="AN134" i="1"/>
  <c r="AL134" i="1"/>
  <c r="AJ134" i="1"/>
  <c r="BL124" i="1"/>
  <c r="BJ124" i="1"/>
  <c r="BH124" i="1"/>
  <c r="BF124" i="1"/>
  <c r="BD124" i="1"/>
  <c r="BB124" i="1"/>
  <c r="AZ124" i="1"/>
  <c r="AX124" i="1"/>
  <c r="AV124" i="1"/>
  <c r="AT124" i="1"/>
  <c r="AR124" i="1"/>
  <c r="AP124" i="1"/>
  <c r="AN124" i="1"/>
  <c r="AL124" i="1"/>
  <c r="AJ124" i="1"/>
  <c r="BL114" i="1"/>
  <c r="BJ114" i="1"/>
  <c r="BH114" i="1"/>
  <c r="BF114" i="1"/>
  <c r="BD114" i="1"/>
  <c r="BB114" i="1"/>
  <c r="AZ114" i="1"/>
  <c r="AX114" i="1"/>
  <c r="AV114" i="1"/>
  <c r="AT114" i="1"/>
  <c r="AR114" i="1"/>
  <c r="AP114" i="1"/>
  <c r="AN114" i="1"/>
  <c r="AL114" i="1"/>
  <c r="AJ114" i="1"/>
  <c r="BL104" i="1"/>
  <c r="BJ104" i="1"/>
  <c r="BH104" i="1"/>
  <c r="BF104" i="1"/>
  <c r="BD104" i="1"/>
  <c r="BB104" i="1"/>
  <c r="AZ104" i="1"/>
  <c r="AX104" i="1"/>
  <c r="AV104" i="1"/>
  <c r="AT104" i="1"/>
  <c r="AR104" i="1"/>
  <c r="AP104" i="1"/>
  <c r="AN104" i="1"/>
  <c r="AJ104" i="1"/>
  <c r="BK66" i="1"/>
  <c r="AO34" i="17" s="1"/>
  <c r="AP34" i="17" s="1"/>
  <c r="BI66" i="1"/>
  <c r="AO33" i="17" s="1"/>
  <c r="AP33" i="17" s="1"/>
  <c r="BG66" i="1"/>
  <c r="AO32" i="17" s="1"/>
  <c r="AP32" i="17" s="1"/>
  <c r="BE66" i="1"/>
  <c r="AO31" i="17" s="1"/>
  <c r="AP31" i="17" s="1"/>
  <c r="BC66" i="1"/>
  <c r="AO30" i="17" s="1"/>
  <c r="AP30" i="17" s="1"/>
  <c r="BA66" i="1"/>
  <c r="AO29" i="17" s="1"/>
  <c r="AP29" i="17" s="1"/>
  <c r="AY66" i="1"/>
  <c r="AO28" i="17" s="1"/>
  <c r="AP28" i="17" s="1"/>
  <c r="AW66" i="1"/>
  <c r="AO27" i="17" s="1"/>
  <c r="AP27" i="17" s="1"/>
  <c r="AU66" i="1"/>
  <c r="AO26" i="17" s="1"/>
  <c r="AP26" i="17" s="1"/>
  <c r="AS66" i="1"/>
  <c r="AO25" i="17" s="1"/>
  <c r="AP25" i="17" s="1"/>
  <c r="AQ66" i="1"/>
  <c r="AO24" i="17" s="1"/>
  <c r="AP24" i="17" s="1"/>
  <c r="AO66" i="1"/>
  <c r="AO23" i="17" s="1"/>
  <c r="AP23" i="17" s="1"/>
  <c r="AM66" i="1"/>
  <c r="AO22" i="17" s="1"/>
  <c r="AP22" i="17" s="1"/>
  <c r="AK66" i="1"/>
  <c r="AO21" i="17" s="1"/>
  <c r="AP21" i="17" s="1"/>
  <c r="AI66" i="1"/>
  <c r="AO20" i="17" s="1"/>
  <c r="AP20" i="17" s="1"/>
  <c r="BL62" i="1"/>
  <c r="BJ62" i="1"/>
  <c r="BH62" i="1"/>
  <c r="BF62" i="1"/>
  <c r="BD62" i="1"/>
  <c r="BB62" i="1"/>
  <c r="AZ62" i="1"/>
  <c r="AX62" i="1"/>
  <c r="AV62" i="1"/>
  <c r="AT62" i="1"/>
  <c r="AR62" i="1"/>
  <c r="AP62" i="1"/>
  <c r="AN62" i="1"/>
  <c r="AL62" i="1"/>
  <c r="AJ62" i="1"/>
  <c r="BL61" i="1"/>
  <c r="BJ61" i="1"/>
  <c r="BH61" i="1"/>
  <c r="BF61" i="1"/>
  <c r="BD61" i="1"/>
  <c r="BB61" i="1"/>
  <c r="AZ61" i="1"/>
  <c r="AX61" i="1"/>
  <c r="AV61" i="1"/>
  <c r="AT61" i="1"/>
  <c r="AR61" i="1"/>
  <c r="AP61" i="1"/>
  <c r="AN61" i="1"/>
  <c r="AL61" i="1"/>
  <c r="AJ61" i="1"/>
  <c r="BL60" i="1"/>
  <c r="BJ60" i="1"/>
  <c r="BH60" i="1"/>
  <c r="BF60" i="1"/>
  <c r="BD60" i="1"/>
  <c r="BB60" i="1"/>
  <c r="AZ60" i="1"/>
  <c r="AX60" i="1"/>
  <c r="AV60" i="1"/>
  <c r="AT60" i="1"/>
  <c r="AR60" i="1"/>
  <c r="AP60" i="1"/>
  <c r="AN60" i="1"/>
  <c r="AL60" i="1"/>
  <c r="AJ60" i="1"/>
  <c r="BL59" i="1"/>
  <c r="BJ59" i="1"/>
  <c r="BH59" i="1"/>
  <c r="BF59" i="1"/>
  <c r="BD59" i="1"/>
  <c r="BB59" i="1"/>
  <c r="AZ59" i="1"/>
  <c r="AX59" i="1"/>
  <c r="AV59" i="1"/>
  <c r="AT59" i="1"/>
  <c r="AR59" i="1"/>
  <c r="AP59" i="1"/>
  <c r="AN59" i="1"/>
  <c r="AL59" i="1"/>
  <c r="AJ59" i="1"/>
  <c r="BL58" i="1"/>
  <c r="BJ58" i="1"/>
  <c r="BH58" i="1"/>
  <c r="BF58" i="1"/>
  <c r="BD58" i="1"/>
  <c r="BB58" i="1"/>
  <c r="AZ58" i="1"/>
  <c r="AX58" i="1"/>
  <c r="AV58" i="1"/>
  <c r="AT58" i="1"/>
  <c r="AR58" i="1"/>
  <c r="AP58" i="1"/>
  <c r="AN58" i="1"/>
  <c r="AL58" i="1"/>
  <c r="AJ58" i="1"/>
  <c r="BL57" i="1"/>
  <c r="BJ57" i="1"/>
  <c r="BH57" i="1"/>
  <c r="BF57" i="1"/>
  <c r="BD57" i="1"/>
  <c r="BB57" i="1"/>
  <c r="AZ57" i="1"/>
  <c r="AX57" i="1"/>
  <c r="AV57" i="1"/>
  <c r="AT57" i="1"/>
  <c r="AR57" i="1"/>
  <c r="AP57" i="1"/>
  <c r="AN57" i="1"/>
  <c r="AL57" i="1"/>
  <c r="AJ57" i="1"/>
  <c r="BL56" i="1"/>
  <c r="BJ56" i="1"/>
  <c r="BH56" i="1"/>
  <c r="BF56" i="1"/>
  <c r="BD56" i="1"/>
  <c r="BB56" i="1"/>
  <c r="AZ56" i="1"/>
  <c r="AX56" i="1"/>
  <c r="AV56" i="1"/>
  <c r="AT56" i="1"/>
  <c r="AR56" i="1"/>
  <c r="AP56" i="1"/>
  <c r="AN56" i="1"/>
  <c r="AL56" i="1"/>
  <c r="AJ56" i="1"/>
  <c r="BL55" i="1"/>
  <c r="BJ55" i="1"/>
  <c r="BH55" i="1"/>
  <c r="BF55" i="1"/>
  <c r="BD55" i="1"/>
  <c r="BB55" i="1"/>
  <c r="AZ55" i="1"/>
  <c r="AX55" i="1"/>
  <c r="AV55" i="1"/>
  <c r="AT55" i="1"/>
  <c r="AR55" i="1"/>
  <c r="AP55" i="1"/>
  <c r="AN55" i="1"/>
  <c r="AL55" i="1"/>
  <c r="AJ55" i="1"/>
  <c r="BL54" i="1"/>
  <c r="BJ54" i="1"/>
  <c r="BH54" i="1"/>
  <c r="BF54" i="1"/>
  <c r="BD54" i="1"/>
  <c r="BB54" i="1"/>
  <c r="AZ54" i="1"/>
  <c r="AX54" i="1"/>
  <c r="AV54" i="1"/>
  <c r="AT54" i="1"/>
  <c r="AR54" i="1"/>
  <c r="AP54" i="1"/>
  <c r="AN54" i="1"/>
  <c r="AL54" i="1"/>
  <c r="AJ54" i="1"/>
  <c r="BL53" i="1"/>
  <c r="BJ53" i="1"/>
  <c r="BH53" i="1"/>
  <c r="BF53" i="1"/>
  <c r="BD53" i="1"/>
  <c r="BB53" i="1"/>
  <c r="AZ53" i="1"/>
  <c r="AX53" i="1"/>
  <c r="AV53" i="1"/>
  <c r="AT53" i="1"/>
  <c r="AR53" i="1"/>
  <c r="AP53" i="1"/>
  <c r="AN53" i="1"/>
  <c r="AL53" i="1"/>
  <c r="AJ53" i="1"/>
  <c r="BL52" i="1"/>
  <c r="BJ52" i="1"/>
  <c r="BH52" i="1"/>
  <c r="BF52" i="1"/>
  <c r="BD52" i="1"/>
  <c r="BB52" i="1"/>
  <c r="AZ52" i="1"/>
  <c r="AX52" i="1"/>
  <c r="AV52" i="1"/>
  <c r="AT52" i="1"/>
  <c r="AR52" i="1"/>
  <c r="AP52" i="1"/>
  <c r="AN52" i="1"/>
  <c r="AL52" i="1"/>
  <c r="AJ52" i="1"/>
  <c r="BL51" i="1"/>
  <c r="BJ51" i="1"/>
  <c r="BH51" i="1"/>
  <c r="BF51" i="1"/>
  <c r="BD51" i="1"/>
  <c r="BB51" i="1"/>
  <c r="AZ51" i="1"/>
  <c r="AX51" i="1"/>
  <c r="AV51" i="1"/>
  <c r="AT51" i="1"/>
  <c r="AR51" i="1"/>
  <c r="AP51" i="1"/>
  <c r="AN51" i="1"/>
  <c r="AL51" i="1"/>
  <c r="AJ51" i="1"/>
  <c r="BL50" i="1"/>
  <c r="BJ50" i="1"/>
  <c r="BH50" i="1"/>
  <c r="BF50" i="1"/>
  <c r="BD50" i="1"/>
  <c r="BB50" i="1"/>
  <c r="AZ50" i="1"/>
  <c r="AX50" i="1"/>
  <c r="AV50" i="1"/>
  <c r="AT50" i="1"/>
  <c r="AR50" i="1"/>
  <c r="AP50" i="1"/>
  <c r="AN50" i="1"/>
  <c r="AL50" i="1"/>
  <c r="AJ50" i="1"/>
  <c r="BL49" i="1"/>
  <c r="BJ49" i="1"/>
  <c r="BH49" i="1"/>
  <c r="BF49" i="1"/>
  <c r="BD49" i="1"/>
  <c r="BB49" i="1"/>
  <c r="AZ49" i="1"/>
  <c r="AX49" i="1"/>
  <c r="AV49" i="1"/>
  <c r="AT49" i="1"/>
  <c r="AR49" i="1"/>
  <c r="AP49" i="1"/>
  <c r="AN49" i="1"/>
  <c r="AL49" i="1"/>
  <c r="AJ49" i="1"/>
  <c r="BL48" i="1"/>
  <c r="BJ48" i="1"/>
  <c r="BH48" i="1"/>
  <c r="BF48" i="1"/>
  <c r="BD48" i="1"/>
  <c r="BB48" i="1"/>
  <c r="AZ48" i="1"/>
  <c r="AX48" i="1"/>
  <c r="AV48" i="1"/>
  <c r="AT48" i="1"/>
  <c r="AR48" i="1"/>
  <c r="AP48" i="1"/>
  <c r="AN48" i="1"/>
  <c r="AL48" i="1"/>
  <c r="AJ48" i="1"/>
  <c r="BL47" i="1"/>
  <c r="BJ47" i="1"/>
  <c r="BH47" i="1"/>
  <c r="BF47" i="1"/>
  <c r="BD47" i="1"/>
  <c r="BB47" i="1"/>
  <c r="AZ47" i="1"/>
  <c r="AX47" i="1"/>
  <c r="AV47" i="1"/>
  <c r="AT47" i="1"/>
  <c r="AR47" i="1"/>
  <c r="AP47" i="1"/>
  <c r="AN47" i="1"/>
  <c r="AL47" i="1"/>
  <c r="AJ47" i="1"/>
  <c r="BL46" i="1"/>
  <c r="BJ46" i="1"/>
  <c r="BH46" i="1"/>
  <c r="BF46" i="1"/>
  <c r="BD46" i="1"/>
  <c r="BB46" i="1"/>
  <c r="AZ46" i="1"/>
  <c r="AX46" i="1"/>
  <c r="AV46" i="1"/>
  <c r="AT46" i="1"/>
  <c r="AR46" i="1"/>
  <c r="AP46" i="1"/>
  <c r="AN46" i="1"/>
  <c r="AL46" i="1"/>
  <c r="AJ46" i="1"/>
  <c r="BL45" i="1"/>
  <c r="BJ45" i="1"/>
  <c r="BH45" i="1"/>
  <c r="BF45" i="1"/>
  <c r="BD45" i="1"/>
  <c r="BB45" i="1"/>
  <c r="AZ45" i="1"/>
  <c r="AX45" i="1"/>
  <c r="AV45" i="1"/>
  <c r="AT45" i="1"/>
  <c r="AR45" i="1"/>
  <c r="AP45" i="1"/>
  <c r="AN45" i="1"/>
  <c r="AL45" i="1"/>
  <c r="AJ45" i="1"/>
  <c r="BL44" i="1"/>
  <c r="BJ44" i="1"/>
  <c r="BH44" i="1"/>
  <c r="BF44" i="1"/>
  <c r="BD44" i="1"/>
  <c r="BB44" i="1"/>
  <c r="AZ44" i="1"/>
  <c r="AX44" i="1"/>
  <c r="AV44" i="1"/>
  <c r="AT44" i="1"/>
  <c r="AR44" i="1"/>
  <c r="AP44" i="1"/>
  <c r="AN44" i="1"/>
  <c r="AL44" i="1"/>
  <c r="AJ44" i="1"/>
  <c r="BL43" i="1"/>
  <c r="BJ43" i="1"/>
  <c r="BH43" i="1"/>
  <c r="BF43" i="1"/>
  <c r="BD43" i="1"/>
  <c r="BB43" i="1"/>
  <c r="AZ43" i="1"/>
  <c r="AX43" i="1"/>
  <c r="AV43" i="1"/>
  <c r="AT43" i="1"/>
  <c r="AR43" i="1"/>
  <c r="AP43" i="1"/>
  <c r="AN43" i="1"/>
  <c r="AL43" i="1"/>
  <c r="AJ43" i="1"/>
  <c r="BL42" i="1"/>
  <c r="BJ42" i="1"/>
  <c r="BH42" i="1"/>
  <c r="BF42" i="1"/>
  <c r="BD42" i="1"/>
  <c r="BB42" i="1"/>
  <c r="AZ42" i="1"/>
  <c r="AX42" i="1"/>
  <c r="AV42" i="1"/>
  <c r="AT42" i="1"/>
  <c r="AR42" i="1"/>
  <c r="AP42" i="1"/>
  <c r="AN42" i="1"/>
  <c r="AL42" i="1"/>
  <c r="AJ42" i="1"/>
  <c r="BL41" i="1"/>
  <c r="BJ41" i="1"/>
  <c r="BH41" i="1"/>
  <c r="BF41" i="1"/>
  <c r="BD41" i="1"/>
  <c r="BB41" i="1"/>
  <c r="AZ41" i="1"/>
  <c r="AX41" i="1"/>
  <c r="AV41" i="1"/>
  <c r="AT41" i="1"/>
  <c r="AR41" i="1"/>
  <c r="AP41" i="1"/>
  <c r="AN41" i="1"/>
  <c r="AL41" i="1"/>
  <c r="AJ41" i="1"/>
  <c r="BL40" i="1"/>
  <c r="BJ40" i="1"/>
  <c r="BH40" i="1"/>
  <c r="BF40" i="1"/>
  <c r="BD40" i="1"/>
  <c r="BB40" i="1"/>
  <c r="AZ40" i="1"/>
  <c r="AX40" i="1"/>
  <c r="AV40" i="1"/>
  <c r="AT40" i="1"/>
  <c r="AR40" i="1"/>
  <c r="AP40" i="1"/>
  <c r="AN40" i="1"/>
  <c r="AL40" i="1"/>
  <c r="AJ40" i="1"/>
  <c r="BL39" i="1"/>
  <c r="BJ39" i="1"/>
  <c r="BH39" i="1"/>
  <c r="BF39" i="1"/>
  <c r="BD39" i="1"/>
  <c r="BB39" i="1"/>
  <c r="AZ39" i="1"/>
  <c r="AX39" i="1"/>
  <c r="AV39" i="1"/>
  <c r="AT39" i="1"/>
  <c r="AR39" i="1"/>
  <c r="AP39" i="1"/>
  <c r="AN39" i="1"/>
  <c r="AL39" i="1"/>
  <c r="AJ39" i="1"/>
  <c r="BL38" i="1"/>
  <c r="BJ38" i="1"/>
  <c r="BH38" i="1"/>
  <c r="BF38" i="1"/>
  <c r="BD38" i="1"/>
  <c r="BB38" i="1"/>
  <c r="AZ38" i="1"/>
  <c r="AX38" i="1"/>
  <c r="AV38" i="1"/>
  <c r="AT38" i="1"/>
  <c r="AR38" i="1"/>
  <c r="AP38" i="1"/>
  <c r="AN38" i="1"/>
  <c r="AL38" i="1"/>
  <c r="AJ38" i="1"/>
  <c r="BL37" i="1"/>
  <c r="BJ37" i="1"/>
  <c r="BH37" i="1"/>
  <c r="BF37" i="1"/>
  <c r="BD37" i="1"/>
  <c r="BB37" i="1"/>
  <c r="AZ37" i="1"/>
  <c r="AX37" i="1"/>
  <c r="AV37" i="1"/>
  <c r="AT37" i="1"/>
  <c r="AR37" i="1"/>
  <c r="AP37" i="1"/>
  <c r="AN37" i="1"/>
  <c r="AL37" i="1"/>
  <c r="AJ37" i="1"/>
  <c r="BL36" i="1"/>
  <c r="BJ36" i="1"/>
  <c r="BH36" i="1"/>
  <c r="BF36" i="1"/>
  <c r="BD36" i="1"/>
  <c r="BB36" i="1"/>
  <c r="AZ36" i="1"/>
  <c r="AX36" i="1"/>
  <c r="AV36" i="1"/>
  <c r="AT36" i="1"/>
  <c r="AR36" i="1"/>
  <c r="AP36" i="1"/>
  <c r="AN36" i="1"/>
  <c r="AL36" i="1"/>
  <c r="AJ36" i="1"/>
  <c r="BL35" i="1"/>
  <c r="BJ35" i="1"/>
  <c r="BH35" i="1"/>
  <c r="BF35" i="1"/>
  <c r="BD35" i="1"/>
  <c r="BB35" i="1"/>
  <c r="AZ35" i="1"/>
  <c r="AX35" i="1"/>
  <c r="AV35" i="1"/>
  <c r="AT35" i="1"/>
  <c r="AR35" i="1"/>
  <c r="AP35" i="1"/>
  <c r="AN35" i="1"/>
  <c r="AL35" i="1"/>
  <c r="AJ35" i="1"/>
  <c r="BL34" i="1"/>
  <c r="BJ34" i="1"/>
  <c r="BF34" i="1"/>
  <c r="BD34" i="1"/>
  <c r="BB34" i="1"/>
  <c r="AZ34" i="1"/>
  <c r="AX34" i="1"/>
  <c r="AV34" i="1"/>
  <c r="AT34" i="1"/>
  <c r="AR34" i="1"/>
  <c r="AP34" i="1"/>
  <c r="AN34" i="1"/>
  <c r="AL34" i="1"/>
  <c r="AJ34" i="1"/>
  <c r="BL33" i="1"/>
  <c r="BJ33" i="1"/>
  <c r="BH33" i="1"/>
  <c r="BF33" i="1"/>
  <c r="BD33" i="1"/>
  <c r="BB33" i="1"/>
  <c r="AZ33" i="1"/>
  <c r="AX33" i="1"/>
  <c r="AV33" i="1"/>
  <c r="AT33" i="1"/>
  <c r="AR33" i="1"/>
  <c r="AP33" i="1"/>
  <c r="AN33" i="1"/>
  <c r="AL33" i="1"/>
  <c r="AJ33" i="1"/>
  <c r="AB20" i="1" l="1"/>
  <c r="B21" i="1"/>
  <c r="X20" i="1"/>
  <c r="N20" i="1"/>
  <c r="AH20" i="1"/>
  <c r="R20" i="1"/>
  <c r="AD20" i="1"/>
  <c r="P20" i="1"/>
  <c r="AF20" i="1"/>
  <c r="Z20" i="1"/>
  <c r="Z21" i="1" s="1"/>
  <c r="AN146" i="1"/>
  <c r="Q44" i="8"/>
  <c r="Q45" i="8"/>
  <c r="BF64" i="1"/>
  <c r="BF65" i="1" s="1"/>
  <c r="BF66" i="1" s="1"/>
  <c r="BF68" i="1" s="1"/>
  <c r="BF69" i="1" s="1"/>
  <c r="AR64" i="2"/>
  <c r="AR65" i="2" s="1"/>
  <c r="AR66" i="2" s="1"/>
  <c r="AR68" i="2" s="1"/>
  <c r="AR69" i="2" s="1"/>
  <c r="AP64" i="1"/>
  <c r="AP65" i="1" s="1"/>
  <c r="AP66" i="1" s="1"/>
  <c r="AP68" i="1" s="1"/>
  <c r="AP69" i="1" s="1"/>
  <c r="L64" i="2"/>
  <c r="L65" i="2" s="1"/>
  <c r="L66" i="2" s="1"/>
  <c r="L68" i="2" s="1"/>
  <c r="L69" i="2" s="1"/>
  <c r="AB64" i="2"/>
  <c r="AB65" i="2" s="1"/>
  <c r="AB66" i="2" s="1"/>
  <c r="AB68" i="2" s="1"/>
  <c r="AB69" i="2" s="1"/>
  <c r="BH64" i="2"/>
  <c r="BH65" i="2" s="1"/>
  <c r="BH66" i="2" s="1"/>
  <c r="BH68" i="2" s="1"/>
  <c r="BH69" i="2" s="1"/>
  <c r="AR64" i="1"/>
  <c r="AR65" i="1" s="1"/>
  <c r="AR66" i="1" s="1"/>
  <c r="AR68" i="1" s="1"/>
  <c r="AR69" i="1" s="1"/>
  <c r="BH64" i="1"/>
  <c r="BH65" i="1" s="1"/>
  <c r="BH66" i="1" s="1"/>
  <c r="BH68" i="1" s="1"/>
  <c r="BH69" i="1" s="1"/>
  <c r="N64" i="2"/>
  <c r="N65" i="2" s="1"/>
  <c r="N66" i="2" s="1"/>
  <c r="N68" i="2" s="1"/>
  <c r="N69" i="2" s="1"/>
  <c r="AD64" i="2"/>
  <c r="AD65" i="2" s="1"/>
  <c r="AD66" i="2" s="1"/>
  <c r="AD68" i="2" s="1"/>
  <c r="AD69" i="2" s="1"/>
  <c r="AT64" i="2"/>
  <c r="AT65" i="2" s="1"/>
  <c r="AT66" i="2" s="1"/>
  <c r="AT68" i="2" s="1"/>
  <c r="AT69" i="2" s="1"/>
  <c r="BJ64" i="2"/>
  <c r="BJ65" i="2" s="1"/>
  <c r="BJ66" i="2" s="1"/>
  <c r="BJ68" i="2" s="1"/>
  <c r="BJ69" i="2" s="1"/>
  <c r="AT64" i="1"/>
  <c r="AT65" i="1" s="1"/>
  <c r="AT66" i="1" s="1"/>
  <c r="AT68" i="1" s="1"/>
  <c r="AT69" i="1" s="1"/>
  <c r="BJ64" i="1"/>
  <c r="BJ65" i="1" s="1"/>
  <c r="BJ66" i="1" s="1"/>
  <c r="BJ68" i="1" s="1"/>
  <c r="BJ69" i="1" s="1"/>
  <c r="P64" i="2"/>
  <c r="P65" i="2" s="1"/>
  <c r="P66" i="2" s="1"/>
  <c r="P68" i="2" s="1"/>
  <c r="P69" i="2" s="1"/>
  <c r="AF64" i="2"/>
  <c r="AF65" i="2" s="1"/>
  <c r="AF66" i="2" s="1"/>
  <c r="AF68" i="2" s="1"/>
  <c r="AF69" i="2" s="1"/>
  <c r="AV64" i="2"/>
  <c r="AV65" i="2" s="1"/>
  <c r="AV66" i="2" s="1"/>
  <c r="AV68" i="2" s="1"/>
  <c r="AV69" i="2" s="1"/>
  <c r="AV71" i="2" s="1"/>
  <c r="AV64" i="1"/>
  <c r="AV65" i="1" s="1"/>
  <c r="AV66" i="1" s="1"/>
  <c r="AV68" i="1" s="1"/>
  <c r="AV69" i="1" s="1"/>
  <c r="BL64" i="1"/>
  <c r="BL65" i="1" s="1"/>
  <c r="BL66" i="1" s="1"/>
  <c r="R64" i="2"/>
  <c r="R65" i="2" s="1"/>
  <c r="R66" i="2" s="1"/>
  <c r="R68" i="2" s="1"/>
  <c r="R69" i="2" s="1"/>
  <c r="AH64" i="2"/>
  <c r="AH65" i="2" s="1"/>
  <c r="AH66" i="2" s="1"/>
  <c r="AH68" i="2" s="1"/>
  <c r="AH69" i="2" s="1"/>
  <c r="AX64" i="2"/>
  <c r="AX65" i="2" s="1"/>
  <c r="AX66" i="2" s="1"/>
  <c r="AX68" i="2" s="1"/>
  <c r="AX69" i="2" s="1"/>
  <c r="AX64" i="1"/>
  <c r="AX65" i="1" s="1"/>
  <c r="AX66" i="1" s="1"/>
  <c r="AX68" i="1" s="1"/>
  <c r="AX69" i="1" s="1"/>
  <c r="BL64" i="2"/>
  <c r="BL65" i="2" s="1"/>
  <c r="T64" i="2"/>
  <c r="T65" i="2" s="1"/>
  <c r="T66" i="2" s="1"/>
  <c r="T68" i="2" s="1"/>
  <c r="T69" i="2" s="1"/>
  <c r="AJ64" i="2"/>
  <c r="AJ65" i="2" s="1"/>
  <c r="AJ66" i="2" s="1"/>
  <c r="AJ68" i="2" s="1"/>
  <c r="AJ69" i="2" s="1"/>
  <c r="AZ64" i="2"/>
  <c r="AZ65" i="2" s="1"/>
  <c r="AZ66" i="2" s="1"/>
  <c r="AZ68" i="2" s="1"/>
  <c r="AZ69" i="2" s="1"/>
  <c r="N45" i="8"/>
  <c r="AJ64" i="1"/>
  <c r="AJ65" i="1" s="1"/>
  <c r="AJ66" i="1" s="1"/>
  <c r="AJ68" i="1" s="1"/>
  <c r="AJ69" i="1" s="1"/>
  <c r="AZ64" i="1"/>
  <c r="AZ65" i="1" s="1"/>
  <c r="AZ66" i="1" s="1"/>
  <c r="AZ68" i="1" s="1"/>
  <c r="AZ69" i="1" s="1"/>
  <c r="F64" i="2"/>
  <c r="V64" i="2"/>
  <c r="V65" i="2" s="1"/>
  <c r="V66" i="2" s="1"/>
  <c r="V68" i="2" s="1"/>
  <c r="V69" i="2" s="1"/>
  <c r="AL64" i="2"/>
  <c r="AL65" i="2" s="1"/>
  <c r="AL66" i="2" s="1"/>
  <c r="AL68" i="2" s="1"/>
  <c r="AL69" i="2" s="1"/>
  <c r="BB64" i="2"/>
  <c r="BB65" i="2" s="1"/>
  <c r="BB66" i="2" s="1"/>
  <c r="BB68" i="2" s="1"/>
  <c r="BB69" i="2" s="1"/>
  <c r="AL64" i="1"/>
  <c r="AL65" i="1" s="1"/>
  <c r="AL66" i="1" s="1"/>
  <c r="AL68" i="1" s="1"/>
  <c r="AL69" i="1" s="1"/>
  <c r="X64" i="2"/>
  <c r="X65" i="2" s="1"/>
  <c r="X66" i="2" s="1"/>
  <c r="X68" i="2" s="1"/>
  <c r="X69" i="2" s="1"/>
  <c r="BD64" i="2"/>
  <c r="BD65" i="2" s="1"/>
  <c r="BD66" i="2" s="1"/>
  <c r="BD68" i="2" s="1"/>
  <c r="BD69" i="2" s="1"/>
  <c r="BB64" i="1"/>
  <c r="BB65" i="1" s="1"/>
  <c r="BB66" i="1" s="1"/>
  <c r="BB68" i="1" s="1"/>
  <c r="BB69" i="1" s="1"/>
  <c r="AN64" i="2"/>
  <c r="AN65" i="2" s="1"/>
  <c r="AN66" i="2" s="1"/>
  <c r="AN68" i="2" s="1"/>
  <c r="AN69" i="2" s="1"/>
  <c r="AN64" i="1"/>
  <c r="AN65" i="1" s="1"/>
  <c r="AN66" i="1" s="1"/>
  <c r="AN68" i="1" s="1"/>
  <c r="AN69" i="1" s="1"/>
  <c r="BD64" i="1"/>
  <c r="BD65" i="1" s="1"/>
  <c r="BD66" i="1" s="1"/>
  <c r="BD68" i="1" s="1"/>
  <c r="BD69" i="1" s="1"/>
  <c r="H64" i="2"/>
  <c r="H65" i="2" s="1"/>
  <c r="H66" i="2" s="1"/>
  <c r="H68" i="2" s="1"/>
  <c r="H69" i="2" s="1"/>
  <c r="J64" i="2"/>
  <c r="J65" i="2" s="1"/>
  <c r="J66" i="2" s="1"/>
  <c r="J68" i="2" s="1"/>
  <c r="J69" i="2" s="1"/>
  <c r="Z64" i="2"/>
  <c r="Z65" i="2" s="1"/>
  <c r="Z66" i="2" s="1"/>
  <c r="Z68" i="2" s="1"/>
  <c r="Z69" i="2" s="1"/>
  <c r="AP64" i="2"/>
  <c r="AP65" i="2" s="1"/>
  <c r="AP66" i="2" s="1"/>
  <c r="AP68" i="2" s="1"/>
  <c r="AP69" i="2" s="1"/>
  <c r="BF64" i="2"/>
  <c r="BF65" i="2" s="1"/>
  <c r="BF66" i="2" s="1"/>
  <c r="BF68" i="2" s="1"/>
  <c r="BF69" i="2" s="1"/>
  <c r="J20" i="1"/>
  <c r="L20" i="1"/>
  <c r="T38" i="8"/>
  <c r="X29" i="8"/>
  <c r="X33" i="8"/>
  <c r="T26" i="8"/>
  <c r="X25" i="8"/>
  <c r="T24" i="8"/>
  <c r="W15" i="8"/>
  <c r="X27" i="8"/>
  <c r="X30" i="8"/>
  <c r="X34" i="8"/>
  <c r="AA18" i="8"/>
  <c r="X39" i="8"/>
  <c r="W20" i="8"/>
  <c r="X38" i="8"/>
  <c r="T35" i="8"/>
  <c r="X31" i="8"/>
  <c r="T28" i="8"/>
  <c r="W19" i="8"/>
  <c r="T41" i="8"/>
  <c r="W21" i="8"/>
  <c r="X28" i="8"/>
  <c r="AA17" i="8"/>
  <c r="T42" i="8"/>
  <c r="W22" i="8"/>
  <c r="X26" i="8"/>
  <c r="W16" i="8"/>
  <c r="AA16" i="8"/>
  <c r="T25" i="8"/>
  <c r="W14" i="8"/>
  <c r="W23" i="8"/>
  <c r="AA23" i="8"/>
  <c r="T39" i="8"/>
  <c r="T34" i="8"/>
  <c r="T32" i="8"/>
  <c r="X32" i="8"/>
  <c r="X36" i="8"/>
  <c r="AA15" i="8"/>
  <c r="T33" i="8"/>
  <c r="AA22" i="8"/>
  <c r="T31" i="8"/>
  <c r="AA14" i="8"/>
  <c r="T37" i="8"/>
  <c r="T29" i="8"/>
  <c r="X42" i="8"/>
  <c r="W18" i="8"/>
  <c r="X41" i="8"/>
  <c r="T36" i="8"/>
  <c r="X35" i="8"/>
  <c r="X40" i="8"/>
  <c r="AA19" i="8"/>
  <c r="X24" i="8"/>
  <c r="T27" i="8"/>
  <c r="T30" i="8"/>
  <c r="X37" i="8"/>
  <c r="AA21" i="8"/>
  <c r="T40" i="8"/>
  <c r="AA20" i="8"/>
  <c r="W17" i="8"/>
  <c r="W13" i="8"/>
  <c r="AA13" i="8"/>
  <c r="BN124" i="2"/>
  <c r="H93" i="8" s="1"/>
  <c r="BN48" i="2"/>
  <c r="BN40" i="2"/>
  <c r="BN41" i="2"/>
  <c r="BN53" i="2"/>
  <c r="BN49" i="2"/>
  <c r="BN37" i="2"/>
  <c r="BN144" i="2"/>
  <c r="H99" i="8" s="1"/>
  <c r="BN134" i="2"/>
  <c r="H96" i="8" s="1"/>
  <c r="BN114" i="2"/>
  <c r="H90" i="8" s="1"/>
  <c r="H146" i="2"/>
  <c r="H149" i="2" s="1"/>
  <c r="X146" i="2"/>
  <c r="X149" i="2" s="1"/>
  <c r="AN146" i="2"/>
  <c r="BD146" i="2"/>
  <c r="BN104" i="2"/>
  <c r="H87" i="8" s="1"/>
  <c r="N146" i="2"/>
  <c r="N149" i="2" s="1"/>
  <c r="AD146" i="2"/>
  <c r="AD149" i="2" s="1"/>
  <c r="AT146" i="2"/>
  <c r="BJ146" i="2"/>
  <c r="F146" i="2"/>
  <c r="F149" i="2" s="1"/>
  <c r="V146" i="2"/>
  <c r="V149" i="2" s="1"/>
  <c r="AL146" i="2"/>
  <c r="BB146" i="2"/>
  <c r="Z146" i="2"/>
  <c r="Z149" i="2" s="1"/>
  <c r="AP146" i="2"/>
  <c r="BF146" i="2"/>
  <c r="L146" i="2"/>
  <c r="L149" i="2" s="1"/>
  <c r="AB146" i="2"/>
  <c r="AB149" i="2" s="1"/>
  <c r="AR146" i="2"/>
  <c r="BH146" i="2"/>
  <c r="P146" i="2"/>
  <c r="P149" i="2" s="1"/>
  <c r="AF146" i="2"/>
  <c r="AF149" i="2" s="1"/>
  <c r="AV146" i="2"/>
  <c r="BL146" i="2"/>
  <c r="R146" i="2"/>
  <c r="R149" i="2" s="1"/>
  <c r="AH146" i="2"/>
  <c r="AH149" i="2" s="1"/>
  <c r="AX146" i="2"/>
  <c r="T146" i="2"/>
  <c r="T149" i="2" s="1"/>
  <c r="AJ146" i="2"/>
  <c r="AZ146" i="2"/>
  <c r="E80" i="15"/>
  <c r="BN62" i="2"/>
  <c r="BN61" i="2"/>
  <c r="BN60" i="2"/>
  <c r="BN59" i="2"/>
  <c r="BN58" i="2"/>
  <c r="BN57" i="2"/>
  <c r="BN56" i="2"/>
  <c r="BN55" i="2"/>
  <c r="BN54" i="2"/>
  <c r="BN52" i="2"/>
  <c r="BN51" i="2"/>
  <c r="BN50" i="2"/>
  <c r="BN47" i="2"/>
  <c r="BN46" i="2"/>
  <c r="BN45" i="2"/>
  <c r="BN44" i="2"/>
  <c r="BN43" i="2"/>
  <c r="BN42" i="2"/>
  <c r="BN39" i="2"/>
  <c r="BN38" i="2"/>
  <c r="BN36" i="2"/>
  <c r="BM66" i="2"/>
  <c r="BN35" i="2"/>
  <c r="BN34" i="2"/>
  <c r="BN33" i="2"/>
  <c r="J146" i="2"/>
  <c r="J149" i="2" s="1"/>
  <c r="AT146" i="1"/>
  <c r="BJ146" i="1"/>
  <c r="BD146" i="1"/>
  <c r="AJ146" i="1"/>
  <c r="AZ146" i="1"/>
  <c r="AV146" i="1"/>
  <c r="BB146" i="1"/>
  <c r="BL146" i="1"/>
  <c r="AR146" i="1"/>
  <c r="BH146" i="1"/>
  <c r="AX146" i="1"/>
  <c r="AP146" i="1"/>
  <c r="BF146" i="1"/>
  <c r="AL146" i="1"/>
  <c r="AH144" i="1"/>
  <c r="AH134" i="1"/>
  <c r="AH124" i="1"/>
  <c r="AH114" i="1"/>
  <c r="AH104" i="1"/>
  <c r="AF144" i="1"/>
  <c r="AF134" i="1"/>
  <c r="AF124" i="1"/>
  <c r="AF114" i="1"/>
  <c r="AF104" i="1"/>
  <c r="AD144" i="1"/>
  <c r="AD134" i="1"/>
  <c r="AD124" i="1"/>
  <c r="AD114" i="1"/>
  <c r="AD104" i="1"/>
  <c r="AB144" i="1"/>
  <c r="AB134" i="1"/>
  <c r="AB124" i="1"/>
  <c r="AB114" i="1"/>
  <c r="AB104" i="1"/>
  <c r="Z144" i="1"/>
  <c r="Z134" i="1"/>
  <c r="Z124" i="1"/>
  <c r="Z114" i="1"/>
  <c r="Z104" i="1"/>
  <c r="X144" i="1"/>
  <c r="X134" i="1"/>
  <c r="X124" i="1"/>
  <c r="X114" i="1"/>
  <c r="X104" i="1"/>
  <c r="V144" i="1"/>
  <c r="V134" i="1"/>
  <c r="V124" i="1"/>
  <c r="V114" i="1"/>
  <c r="V104" i="1"/>
  <c r="T144" i="1"/>
  <c r="T134" i="1"/>
  <c r="T124" i="1"/>
  <c r="T114" i="1"/>
  <c r="T104" i="1"/>
  <c r="R144" i="1"/>
  <c r="R134" i="1"/>
  <c r="R124" i="1"/>
  <c r="R114" i="1"/>
  <c r="P144" i="1"/>
  <c r="P134" i="1"/>
  <c r="P124" i="1"/>
  <c r="P114" i="1"/>
  <c r="P104" i="1"/>
  <c r="N144" i="1"/>
  <c r="N134" i="1"/>
  <c r="N124" i="1"/>
  <c r="N114" i="1"/>
  <c r="N104" i="1"/>
  <c r="L144" i="1"/>
  <c r="L134" i="1"/>
  <c r="L124" i="1"/>
  <c r="L114" i="1"/>
  <c r="L104" i="1"/>
  <c r="J144" i="1"/>
  <c r="J134" i="1"/>
  <c r="J124" i="1"/>
  <c r="J114" i="1"/>
  <c r="J104" i="1"/>
  <c r="H144" i="1"/>
  <c r="H134" i="1"/>
  <c r="H124" i="1"/>
  <c r="H114" i="1"/>
  <c r="H104" i="1"/>
  <c r="F144" i="1"/>
  <c r="F134" i="1"/>
  <c r="F124" i="1"/>
  <c r="F114" i="1"/>
  <c r="AD21" i="1" l="1"/>
  <c r="N21" i="1"/>
  <c r="X21" i="1"/>
  <c r="R146" i="1"/>
  <c r="AF21" i="1"/>
  <c r="AB21" i="1"/>
  <c r="V21" i="1"/>
  <c r="R21" i="1"/>
  <c r="AH21" i="1"/>
  <c r="T21" i="1"/>
  <c r="P21" i="1"/>
  <c r="Q46" i="8"/>
  <c r="T44" i="8"/>
  <c r="AL71" i="2"/>
  <c r="AL72" i="2" s="1"/>
  <c r="AL148" i="2" s="1"/>
  <c r="T71" i="2"/>
  <c r="T72" i="2" s="1"/>
  <c r="N71" i="2"/>
  <c r="N72" i="2" s="1"/>
  <c r="BH71" i="2"/>
  <c r="BH72" i="2" s="1"/>
  <c r="BH148" i="2" s="1"/>
  <c r="V71" i="2"/>
  <c r="V72" i="2" s="1"/>
  <c r="AF71" i="2"/>
  <c r="AF72" i="2" s="1"/>
  <c r="AJ71" i="2"/>
  <c r="AJ72" i="2" s="1"/>
  <c r="AJ148" i="2" s="1"/>
  <c r="AN71" i="2"/>
  <c r="AN72" i="2" s="1"/>
  <c r="AN148" i="2" s="1"/>
  <c r="P71" i="2"/>
  <c r="P72" i="2" s="1"/>
  <c r="L71" i="2"/>
  <c r="L72" i="2" s="1"/>
  <c r="H71" i="2"/>
  <c r="H72" i="2" s="1"/>
  <c r="H148" i="2" s="1"/>
  <c r="BF71" i="2"/>
  <c r="BF72" i="2" s="1"/>
  <c r="BF148" i="2" s="1"/>
  <c r="AX71" i="2"/>
  <c r="AX72" i="2" s="1"/>
  <c r="AX148" i="2" s="1"/>
  <c r="AD71" i="2"/>
  <c r="AD72" i="2" s="1"/>
  <c r="AP71" i="2"/>
  <c r="AP72" i="2" s="1"/>
  <c r="AP148" i="2" s="1"/>
  <c r="BD71" i="2"/>
  <c r="BD72" i="2" s="1"/>
  <c r="BD148" i="2" s="1"/>
  <c r="AH71" i="2"/>
  <c r="AH72" i="2" s="1"/>
  <c r="AB71" i="2"/>
  <c r="AB72" i="2" s="1"/>
  <c r="Z71" i="2"/>
  <c r="Z72" i="2" s="1"/>
  <c r="X71" i="2"/>
  <c r="X72" i="2" s="1"/>
  <c r="R71" i="2"/>
  <c r="R72" i="2" s="1"/>
  <c r="BJ71" i="2"/>
  <c r="BJ72" i="2" s="1"/>
  <c r="BJ148" i="2" s="1"/>
  <c r="AR71" i="2"/>
  <c r="AR72" i="2" s="1"/>
  <c r="AR148" i="2" s="1"/>
  <c r="BB71" i="2"/>
  <c r="BB72" i="2" s="1"/>
  <c r="BB148" i="2" s="1"/>
  <c r="AT71" i="2"/>
  <c r="AT72" i="2" s="1"/>
  <c r="AT148" i="2" s="1"/>
  <c r="J71" i="2"/>
  <c r="J72" i="2" s="1"/>
  <c r="AZ71" i="2"/>
  <c r="AZ72" i="2" s="1"/>
  <c r="AZ148" i="2" s="1"/>
  <c r="K48" i="8"/>
  <c r="T45" i="8"/>
  <c r="N48" i="8"/>
  <c r="BN64" i="2"/>
  <c r="F65" i="2"/>
  <c r="BN65" i="2" s="1"/>
  <c r="H45" i="8" s="1"/>
  <c r="BL66" i="2"/>
  <c r="BL68" i="2" s="1"/>
  <c r="BL69" i="2" s="1"/>
  <c r="B22" i="1"/>
  <c r="AF22" i="1" s="1"/>
  <c r="AF23" i="1" s="1"/>
  <c r="AF25" i="1" s="1"/>
  <c r="L21" i="1"/>
  <c r="J21" i="1"/>
  <c r="H21" i="1"/>
  <c r="F146" i="1"/>
  <c r="F149" i="1" s="1"/>
  <c r="Z18" i="8"/>
  <c r="Z21" i="8"/>
  <c r="AD19" i="8"/>
  <c r="Z15" i="8"/>
  <c r="Z16" i="8"/>
  <c r="AD16" i="8"/>
  <c r="AA26" i="8"/>
  <c r="W28" i="8"/>
  <c r="W34" i="8"/>
  <c r="AD20" i="8"/>
  <c r="AD21" i="8"/>
  <c r="AA24" i="8"/>
  <c r="Z19" i="8"/>
  <c r="W40" i="8"/>
  <c r="AA35" i="8"/>
  <c r="AA41" i="8"/>
  <c r="AA42" i="8"/>
  <c r="Z22" i="8"/>
  <c r="W32" i="8"/>
  <c r="W33" i="8"/>
  <c r="W24" i="8"/>
  <c r="AA40" i="8"/>
  <c r="W42" i="8"/>
  <c r="AA31" i="8"/>
  <c r="AA38" i="8"/>
  <c r="W39" i="8"/>
  <c r="AA39" i="8"/>
  <c r="AA27" i="8"/>
  <c r="AA29" i="8"/>
  <c r="AD15" i="8"/>
  <c r="AA32" i="8"/>
  <c r="AA28" i="8"/>
  <c r="W31" i="8"/>
  <c r="AA30" i="8"/>
  <c r="AA25" i="8"/>
  <c r="AA33" i="8"/>
  <c r="W35" i="8"/>
  <c r="W41" i="8"/>
  <c r="Z14" i="8"/>
  <c r="AA36" i="8"/>
  <c r="W26" i="8"/>
  <c r="AD17" i="8"/>
  <c r="AA34" i="8"/>
  <c r="AA37" i="8"/>
  <c r="W37" i="8"/>
  <c r="AD23" i="8"/>
  <c r="Z17" i="8"/>
  <c r="W38" i="8"/>
  <c r="AD18" i="8"/>
  <c r="W27" i="8"/>
  <c r="W29" i="8"/>
  <c r="Z20" i="8"/>
  <c r="AD14" i="8"/>
  <c r="AD22" i="8"/>
  <c r="W36" i="8"/>
  <c r="Z23" i="8"/>
  <c r="W30" i="8"/>
  <c r="W25" i="8"/>
  <c r="Z13" i="8"/>
  <c r="AD13" i="8"/>
  <c r="N49" i="8"/>
  <c r="BN146" i="2"/>
  <c r="H101" i="8" s="1"/>
  <c r="AV72" i="2"/>
  <c r="AV148" i="2" s="1"/>
  <c r="BL68" i="1"/>
  <c r="R22" i="1" l="1"/>
  <c r="R23" i="1" s="1"/>
  <c r="R25" i="1" s="1"/>
  <c r="AD148" i="2"/>
  <c r="AD150" i="2"/>
  <c r="AJ149" i="2"/>
  <c r="AJ152" i="2" s="1"/>
  <c r="R148" i="2"/>
  <c r="R150" i="2"/>
  <c r="AF148" i="2"/>
  <c r="AF150" i="2"/>
  <c r="X148" i="2"/>
  <c r="X150" i="2"/>
  <c r="V148" i="2"/>
  <c r="V150" i="2"/>
  <c r="Z148" i="2"/>
  <c r="Z150" i="2"/>
  <c r="J148" i="2"/>
  <c r="J150" i="2"/>
  <c r="AB148" i="2"/>
  <c r="AB150" i="2"/>
  <c r="H150" i="2"/>
  <c r="N148" i="2"/>
  <c r="N150" i="2"/>
  <c r="AH148" i="2"/>
  <c r="AH150" i="2"/>
  <c r="L148" i="2"/>
  <c r="L150" i="2"/>
  <c r="T148" i="2"/>
  <c r="T150" i="2"/>
  <c r="P148" i="2"/>
  <c r="P150" i="2"/>
  <c r="AH22" i="1"/>
  <c r="AH23" i="1" s="1"/>
  <c r="AH25" i="1" s="1"/>
  <c r="V22" i="1"/>
  <c r="V23" i="1" s="1"/>
  <c r="V25" i="1" s="1"/>
  <c r="AB22" i="1"/>
  <c r="AB23" i="1" s="1"/>
  <c r="AB25" i="1" s="1"/>
  <c r="X22" i="1"/>
  <c r="X23" i="1" s="1"/>
  <c r="X25" i="1" s="1"/>
  <c r="T22" i="1"/>
  <c r="T23" i="1" s="1"/>
  <c r="T25" i="1" s="1"/>
  <c r="Z22" i="1"/>
  <c r="Z23" i="1" s="1"/>
  <c r="Z25" i="1" s="1"/>
  <c r="P22" i="1"/>
  <c r="P23" i="1" s="1"/>
  <c r="P25" i="1" s="1"/>
  <c r="N22" i="1"/>
  <c r="N23" i="1" s="1"/>
  <c r="N25" i="1" s="1"/>
  <c r="AD22" i="1"/>
  <c r="AD23" i="1" s="1"/>
  <c r="AD25" i="1" s="1"/>
  <c r="W44" i="8"/>
  <c r="H22" i="1"/>
  <c r="H23" i="1" s="1"/>
  <c r="H25" i="1" s="1"/>
  <c r="BL71" i="2"/>
  <c r="BL72" i="2" s="1"/>
  <c r="BL148" i="2" s="1"/>
  <c r="W45" i="8"/>
  <c r="F66" i="2"/>
  <c r="F68" i="2" s="1"/>
  <c r="BN68" i="2" s="1"/>
  <c r="H48" i="8" s="1"/>
  <c r="Q48" i="8"/>
  <c r="J22" i="1"/>
  <c r="J23" i="1" s="1"/>
  <c r="J25" i="1" s="1"/>
  <c r="L22" i="1"/>
  <c r="L23" i="1" s="1"/>
  <c r="L25" i="1" s="1"/>
  <c r="Z34" i="8"/>
  <c r="Z41" i="8"/>
  <c r="Z28" i="8"/>
  <c r="Z37" i="8"/>
  <c r="AD30" i="8"/>
  <c r="AD28" i="8"/>
  <c r="Z29" i="8"/>
  <c r="AD27" i="8"/>
  <c r="Z40" i="8"/>
  <c r="AC20" i="8"/>
  <c r="AD26" i="8"/>
  <c r="AD25" i="8"/>
  <c r="Z33" i="8"/>
  <c r="AD33" i="8"/>
  <c r="AC23" i="8"/>
  <c r="AD36" i="8"/>
  <c r="Z38" i="8"/>
  <c r="Z42" i="8"/>
  <c r="AC21" i="8"/>
  <c r="Z26" i="8"/>
  <c r="AD29" i="8"/>
  <c r="AC22" i="8"/>
  <c r="AD37" i="8"/>
  <c r="AD34" i="8"/>
  <c r="Z39" i="8"/>
  <c r="Z35" i="8"/>
  <c r="AD35" i="8"/>
  <c r="AC16" i="8"/>
  <c r="AC18" i="8"/>
  <c r="Z30" i="8"/>
  <c r="AD41" i="8"/>
  <c r="AD24" i="8"/>
  <c r="AC19" i="8"/>
  <c r="AC17" i="8"/>
  <c r="Z36" i="8"/>
  <c r="Z25" i="8"/>
  <c r="AC15" i="8"/>
  <c r="Z27" i="8"/>
  <c r="AD31" i="8"/>
  <c r="AD40" i="8"/>
  <c r="AD42" i="8"/>
  <c r="AC14" i="8"/>
  <c r="Z32" i="8"/>
  <c r="AD32" i="8"/>
  <c r="AD39" i="8"/>
  <c r="AD38" i="8"/>
  <c r="Z31" i="8"/>
  <c r="Z24" i="8"/>
  <c r="AC13" i="8"/>
  <c r="BL69" i="1"/>
  <c r="L152" i="2" l="1"/>
  <c r="AB152" i="2"/>
  <c r="X152" i="2"/>
  <c r="AL149" i="2"/>
  <c r="AL152" i="2" s="1"/>
  <c r="AD153" i="2"/>
  <c r="H152" i="2"/>
  <c r="P152" i="2"/>
  <c r="Z152" i="2"/>
  <c r="V153" i="2"/>
  <c r="AD152" i="2"/>
  <c r="J152" i="2"/>
  <c r="AF152" i="2"/>
  <c r="N153" i="2"/>
  <c r="T153" i="2"/>
  <c r="P153" i="2"/>
  <c r="L153" i="2"/>
  <c r="H153" i="2"/>
  <c r="AH152" i="2"/>
  <c r="AB153" i="2"/>
  <c r="AB154" i="2" s="1"/>
  <c r="Z153" i="2"/>
  <c r="X153" i="2"/>
  <c r="X154" i="2" s="1"/>
  <c r="AJ150" i="2"/>
  <c r="AL150" i="2" s="1"/>
  <c r="J153" i="2"/>
  <c r="AF153" i="2"/>
  <c r="R152" i="2"/>
  <c r="R153" i="2"/>
  <c r="T152" i="2"/>
  <c r="N152" i="2"/>
  <c r="V152" i="2"/>
  <c r="W46" i="8"/>
  <c r="Z44" i="8"/>
  <c r="T49" i="8"/>
  <c r="K49" i="8"/>
  <c r="T48" i="8"/>
  <c r="Z45" i="8"/>
  <c r="BN66" i="2"/>
  <c r="F69" i="2"/>
  <c r="Q49" i="8"/>
  <c r="AC32" i="8"/>
  <c r="AF14" i="8"/>
  <c r="AF20" i="8"/>
  <c r="AC36" i="8"/>
  <c r="AF22" i="8"/>
  <c r="AC42" i="8"/>
  <c r="AC40" i="8"/>
  <c r="AF15" i="8"/>
  <c r="AC30" i="8"/>
  <c r="AC39" i="8"/>
  <c r="AC29" i="8"/>
  <c r="AC28" i="8"/>
  <c r="AC31" i="8"/>
  <c r="AC24" i="8"/>
  <c r="AC35" i="8"/>
  <c r="AC25" i="8"/>
  <c r="AF23" i="8"/>
  <c r="AF18" i="8"/>
  <c r="AC41" i="8"/>
  <c r="AC37" i="8"/>
  <c r="AF17" i="8"/>
  <c r="AC38" i="8"/>
  <c r="AF21" i="8"/>
  <c r="AC33" i="8"/>
  <c r="AC26" i="8"/>
  <c r="AC34" i="8"/>
  <c r="AF16" i="8"/>
  <c r="AF19" i="8"/>
  <c r="AC27" i="8"/>
  <c r="L154" i="2" l="1"/>
  <c r="AN149" i="2"/>
  <c r="AN150" i="2" s="1"/>
  <c r="AD154" i="2"/>
  <c r="P154" i="2"/>
  <c r="H154" i="2"/>
  <c r="V154" i="2"/>
  <c r="AF154" i="2"/>
  <c r="T154" i="2"/>
  <c r="J154" i="2"/>
  <c r="Z154" i="2"/>
  <c r="N154" i="2"/>
  <c r="R154" i="2"/>
  <c r="AH153" i="2"/>
  <c r="AJ153" i="2" s="1"/>
  <c r="AC44" i="8"/>
  <c r="BN69" i="2"/>
  <c r="H49" i="8" s="1"/>
  <c r="F71" i="2"/>
  <c r="BN71" i="2" s="1"/>
  <c r="H51" i="8" s="1"/>
  <c r="AC45" i="8"/>
  <c r="AF37" i="8"/>
  <c r="AF42" i="8"/>
  <c r="AF29" i="8"/>
  <c r="AF13" i="8"/>
  <c r="AF32" i="8"/>
  <c r="AF34" i="8"/>
  <c r="AF24" i="8"/>
  <c r="AF30" i="8"/>
  <c r="AF26" i="8"/>
  <c r="AF38" i="8"/>
  <c r="AF39" i="8"/>
  <c r="AF35" i="8"/>
  <c r="AF33" i="8"/>
  <c r="AF27" i="8"/>
  <c r="AF25" i="8"/>
  <c r="AF36" i="8"/>
  <c r="AF28" i="8"/>
  <c r="AF40" i="8"/>
  <c r="AF41" i="8"/>
  <c r="AF31" i="8"/>
  <c r="AN152" i="2" l="1"/>
  <c r="AP149" i="2"/>
  <c r="AC46" i="8"/>
  <c r="AH154" i="2"/>
  <c r="AJ154" i="2"/>
  <c r="AL153" i="2"/>
  <c r="W48" i="8"/>
  <c r="AF44" i="8"/>
  <c r="AF45" i="8"/>
  <c r="F72" i="2"/>
  <c r="W49" i="8"/>
  <c r="AC48" i="8"/>
  <c r="Z48" i="8"/>
  <c r="AR149" i="2" l="1"/>
  <c r="AP152" i="2"/>
  <c r="AP150" i="2"/>
  <c r="E73" i="17"/>
  <c r="F148" i="2"/>
  <c r="F150" i="2"/>
  <c r="AL154" i="2"/>
  <c r="AN153" i="2"/>
  <c r="AF46" i="8"/>
  <c r="BN72" i="2"/>
  <c r="H52" i="8" s="1"/>
  <c r="BN148" i="2"/>
  <c r="H104" i="8" s="1"/>
  <c r="Z49" i="8"/>
  <c r="E107" i="17"/>
  <c r="AR150" i="2" l="1"/>
  <c r="AT149" i="2"/>
  <c r="AR152" i="2"/>
  <c r="F152" i="2"/>
  <c r="E74" i="17"/>
  <c r="AN154" i="2"/>
  <c r="AP153" i="2"/>
  <c r="F153" i="2"/>
  <c r="AC49" i="8"/>
  <c r="AF48" i="8"/>
  <c r="E108" i="17"/>
  <c r="H40" i="8"/>
  <c r="E73" i="15" s="1"/>
  <c r="H32" i="8"/>
  <c r="E65" i="15" s="1"/>
  <c r="H26" i="8"/>
  <c r="E59" i="15" s="1"/>
  <c r="H24" i="8"/>
  <c r="E57" i="15" s="1"/>
  <c r="H16" i="8"/>
  <c r="E49" i="15" s="1"/>
  <c r="H34" i="8"/>
  <c r="E67" i="15" s="1"/>
  <c r="H42" i="8"/>
  <c r="E75" i="15" s="1"/>
  <c r="H15" i="8"/>
  <c r="E48" i="15" s="1"/>
  <c r="H14" i="8"/>
  <c r="E47" i="15" s="1"/>
  <c r="H17" i="8"/>
  <c r="E50" i="15" s="1"/>
  <c r="H21" i="8"/>
  <c r="E54" i="15" s="1"/>
  <c r="H22" i="8"/>
  <c r="E55" i="15" s="1"/>
  <c r="H25" i="8"/>
  <c r="E58" i="15" s="1"/>
  <c r="H27" i="8"/>
  <c r="E60" i="15" s="1"/>
  <c r="H29" i="8"/>
  <c r="E62" i="15" s="1"/>
  <c r="H31" i="8"/>
  <c r="E64" i="15" s="1"/>
  <c r="H28" i="8"/>
  <c r="E61" i="15" s="1"/>
  <c r="H30" i="8"/>
  <c r="E63" i="15" s="1"/>
  <c r="H33" i="8"/>
  <c r="E66" i="15" s="1"/>
  <c r="H35" i="8"/>
  <c r="E68" i="15" s="1"/>
  <c r="H37" i="8"/>
  <c r="E70" i="15" s="1"/>
  <c r="H39" i="8"/>
  <c r="E72" i="15" s="1"/>
  <c r="H19" i="8"/>
  <c r="E52" i="15" s="1"/>
  <c r="H23" i="8"/>
  <c r="E56" i="15" s="1"/>
  <c r="H20" i="8"/>
  <c r="E53" i="15" s="1"/>
  <c r="H18" i="8"/>
  <c r="E51" i="15" s="1"/>
  <c r="H36" i="8"/>
  <c r="E69" i="15" s="1"/>
  <c r="H38" i="8"/>
  <c r="E71" i="15" s="1"/>
  <c r="H41" i="8"/>
  <c r="E74" i="15" s="1"/>
  <c r="H13" i="8"/>
  <c r="AF83" i="8"/>
  <c r="AC83" i="8"/>
  <c r="Z83" i="8"/>
  <c r="W83" i="8"/>
  <c r="T83" i="8"/>
  <c r="Q83" i="8"/>
  <c r="N83" i="8"/>
  <c r="K83" i="8"/>
  <c r="H83" i="8"/>
  <c r="G42" i="8"/>
  <c r="F42" i="8"/>
  <c r="B42" i="8"/>
  <c r="G41" i="8"/>
  <c r="F41" i="8"/>
  <c r="B41" i="8"/>
  <c r="G40" i="8"/>
  <c r="F40" i="8"/>
  <c r="B40" i="8"/>
  <c r="G39" i="8"/>
  <c r="F39" i="8"/>
  <c r="B39" i="8"/>
  <c r="G38" i="8"/>
  <c r="F38" i="8"/>
  <c r="B38" i="8"/>
  <c r="G37" i="8"/>
  <c r="F37" i="8"/>
  <c r="B37" i="8"/>
  <c r="G36" i="8"/>
  <c r="F36" i="8"/>
  <c r="B36" i="8"/>
  <c r="G35" i="8"/>
  <c r="F35" i="8"/>
  <c r="B35" i="8"/>
  <c r="G34" i="8"/>
  <c r="F34" i="8"/>
  <c r="B34" i="8"/>
  <c r="G33" i="8"/>
  <c r="F33" i="8"/>
  <c r="B33" i="8"/>
  <c r="G32" i="8"/>
  <c r="F32" i="8"/>
  <c r="B32" i="8"/>
  <c r="G31" i="8"/>
  <c r="F31" i="8"/>
  <c r="B31" i="8"/>
  <c r="G30" i="8"/>
  <c r="F30" i="8"/>
  <c r="B30" i="8"/>
  <c r="G29" i="8"/>
  <c r="F29" i="8"/>
  <c r="B29" i="8"/>
  <c r="G28" i="8"/>
  <c r="F28" i="8"/>
  <c r="B28" i="8"/>
  <c r="G27" i="8"/>
  <c r="F27" i="8"/>
  <c r="B27" i="8"/>
  <c r="G26" i="8"/>
  <c r="F26" i="8"/>
  <c r="B26" i="8"/>
  <c r="G25" i="8"/>
  <c r="F25" i="8"/>
  <c r="B25" i="8"/>
  <c r="G24" i="8"/>
  <c r="F24" i="8"/>
  <c r="B24" i="8"/>
  <c r="G23" i="8"/>
  <c r="F23" i="8"/>
  <c r="B23" i="8"/>
  <c r="G22" i="8"/>
  <c r="F22" i="8"/>
  <c r="B22" i="8"/>
  <c r="G21" i="8"/>
  <c r="F21" i="8"/>
  <c r="B21" i="8"/>
  <c r="G20" i="8"/>
  <c r="F20" i="8"/>
  <c r="B20" i="8"/>
  <c r="G19" i="8"/>
  <c r="F19" i="8"/>
  <c r="B19" i="8"/>
  <c r="G18" i="8"/>
  <c r="F18" i="8"/>
  <c r="B18" i="8"/>
  <c r="G17" i="8"/>
  <c r="F17" i="8"/>
  <c r="B17" i="8"/>
  <c r="G16" i="8"/>
  <c r="F16" i="8"/>
  <c r="B16" i="8"/>
  <c r="G15" i="8"/>
  <c r="F15" i="8"/>
  <c r="B15" i="8"/>
  <c r="G14" i="8"/>
  <c r="F14" i="8"/>
  <c r="B14" i="8"/>
  <c r="G13" i="8"/>
  <c r="F13" i="8"/>
  <c r="B13" i="8"/>
  <c r="AF6" i="8"/>
  <c r="AC6" i="8"/>
  <c r="Z6" i="8"/>
  <c r="W6" i="8"/>
  <c r="T6" i="8"/>
  <c r="Q6" i="8"/>
  <c r="N6" i="8"/>
  <c r="K6" i="8"/>
  <c r="H6" i="8"/>
  <c r="E6" i="8"/>
  <c r="B3" i="8"/>
  <c r="B2" i="8"/>
  <c r="B1" i="8"/>
  <c r="AG42" i="7"/>
  <c r="AE42" i="7"/>
  <c r="AC42" i="7"/>
  <c r="AA42" i="7"/>
  <c r="Y42" i="7"/>
  <c r="W42" i="7"/>
  <c r="U42" i="7"/>
  <c r="S42" i="7"/>
  <c r="S34" i="15" s="1"/>
  <c r="Q42" i="7"/>
  <c r="Q34" i="15" s="1"/>
  <c r="O42" i="7"/>
  <c r="O34" i="15" s="1"/>
  <c r="M42" i="7"/>
  <c r="M34" i="15" s="1"/>
  <c r="K42" i="7"/>
  <c r="K34" i="15" s="1"/>
  <c r="I42" i="7"/>
  <c r="I34" i="15" s="1"/>
  <c r="G42" i="7"/>
  <c r="G34" i="15" s="1"/>
  <c r="E42" i="7"/>
  <c r="E34" i="15" s="1"/>
  <c r="C42" i="7"/>
  <c r="B42" i="7"/>
  <c r="AG41" i="7"/>
  <c r="AE41" i="7"/>
  <c r="AC41" i="7"/>
  <c r="AA41" i="7"/>
  <c r="Y41" i="7"/>
  <c r="W41" i="7"/>
  <c r="U41" i="7"/>
  <c r="S41" i="7"/>
  <c r="S33" i="15" s="1"/>
  <c r="Q41" i="7"/>
  <c r="Q33" i="15" s="1"/>
  <c r="O41" i="7"/>
  <c r="O33" i="15" s="1"/>
  <c r="M41" i="7"/>
  <c r="M33" i="15" s="1"/>
  <c r="K41" i="7"/>
  <c r="K33" i="15" s="1"/>
  <c r="I41" i="7"/>
  <c r="I33" i="15" s="1"/>
  <c r="G41" i="7"/>
  <c r="G33" i="15" s="1"/>
  <c r="E41" i="7"/>
  <c r="E33" i="15" s="1"/>
  <c r="C41" i="7"/>
  <c r="B41" i="7"/>
  <c r="AG40" i="7"/>
  <c r="AE40" i="7"/>
  <c r="AC40" i="7"/>
  <c r="AA40" i="7"/>
  <c r="Y40" i="7"/>
  <c r="W40" i="7"/>
  <c r="U40" i="7"/>
  <c r="S40" i="7"/>
  <c r="S32" i="15" s="1"/>
  <c r="Q40" i="7"/>
  <c r="Q32" i="15" s="1"/>
  <c r="O40" i="7"/>
  <c r="O32" i="15" s="1"/>
  <c r="M40" i="7"/>
  <c r="M32" i="15" s="1"/>
  <c r="K40" i="7"/>
  <c r="K32" i="15" s="1"/>
  <c r="I40" i="7"/>
  <c r="I32" i="15" s="1"/>
  <c r="G40" i="7"/>
  <c r="G32" i="15" s="1"/>
  <c r="E40" i="7"/>
  <c r="E32" i="15" s="1"/>
  <c r="C40" i="7"/>
  <c r="B40" i="7"/>
  <c r="AG39" i="7"/>
  <c r="AE39" i="7"/>
  <c r="AC39" i="7"/>
  <c r="AA39" i="7"/>
  <c r="Y39" i="7"/>
  <c r="W39" i="7"/>
  <c r="U39" i="7"/>
  <c r="S39" i="7"/>
  <c r="S31" i="15" s="1"/>
  <c r="Q39" i="7"/>
  <c r="Q31" i="15" s="1"/>
  <c r="O39" i="7"/>
  <c r="O31" i="15" s="1"/>
  <c r="M39" i="7"/>
  <c r="M31" i="15" s="1"/>
  <c r="K39" i="7"/>
  <c r="K31" i="15" s="1"/>
  <c r="I39" i="7"/>
  <c r="I31" i="15" s="1"/>
  <c r="G39" i="7"/>
  <c r="G31" i="15" s="1"/>
  <c r="E39" i="7"/>
  <c r="E31" i="15" s="1"/>
  <c r="C39" i="7"/>
  <c r="B39" i="7"/>
  <c r="AG38" i="7"/>
  <c r="AE38" i="7"/>
  <c r="AC38" i="7"/>
  <c r="AA38" i="7"/>
  <c r="Y38" i="7"/>
  <c r="W38" i="7"/>
  <c r="U38" i="7"/>
  <c r="S38" i="7"/>
  <c r="S30" i="15" s="1"/>
  <c r="Q38" i="7"/>
  <c r="Q30" i="15" s="1"/>
  <c r="O38" i="7"/>
  <c r="O30" i="15" s="1"/>
  <c r="M38" i="7"/>
  <c r="M30" i="15" s="1"/>
  <c r="K38" i="7"/>
  <c r="K30" i="15" s="1"/>
  <c r="I38" i="7"/>
  <c r="I30" i="15" s="1"/>
  <c r="G38" i="7"/>
  <c r="G30" i="15" s="1"/>
  <c r="E38" i="7"/>
  <c r="E30" i="15" s="1"/>
  <c r="C38" i="7"/>
  <c r="B38" i="7"/>
  <c r="AG37" i="7"/>
  <c r="AE37" i="7"/>
  <c r="AC37" i="7"/>
  <c r="AA37" i="7"/>
  <c r="Y37" i="7"/>
  <c r="W37" i="7"/>
  <c r="U37" i="7"/>
  <c r="S37" i="7"/>
  <c r="S29" i="15" s="1"/>
  <c r="Q37" i="7"/>
  <c r="Q29" i="15" s="1"/>
  <c r="O37" i="7"/>
  <c r="O29" i="15" s="1"/>
  <c r="M37" i="7"/>
  <c r="M29" i="15" s="1"/>
  <c r="K37" i="7"/>
  <c r="K29" i="15" s="1"/>
  <c r="I37" i="7"/>
  <c r="I29" i="15" s="1"/>
  <c r="G37" i="7"/>
  <c r="G29" i="15" s="1"/>
  <c r="E37" i="7"/>
  <c r="E29" i="15" s="1"/>
  <c r="C37" i="7"/>
  <c r="B37" i="7"/>
  <c r="AG36" i="7"/>
  <c r="AE36" i="7"/>
  <c r="AC36" i="7"/>
  <c r="AA36" i="7"/>
  <c r="Y36" i="7"/>
  <c r="W36" i="7"/>
  <c r="U36" i="7"/>
  <c r="S36" i="7"/>
  <c r="S28" i="15" s="1"/>
  <c r="Q36" i="7"/>
  <c r="Q28" i="15" s="1"/>
  <c r="O36" i="7"/>
  <c r="O28" i="15" s="1"/>
  <c r="M36" i="7"/>
  <c r="M28" i="15" s="1"/>
  <c r="K36" i="7"/>
  <c r="K28" i="15" s="1"/>
  <c r="I36" i="7"/>
  <c r="I28" i="15" s="1"/>
  <c r="G36" i="7"/>
  <c r="G28" i="15" s="1"/>
  <c r="E36" i="7"/>
  <c r="E28" i="15" s="1"/>
  <c r="C36" i="7"/>
  <c r="B36" i="7"/>
  <c r="AG35" i="7"/>
  <c r="AE35" i="7"/>
  <c r="AC35" i="7"/>
  <c r="AA35" i="7"/>
  <c r="Y35" i="7"/>
  <c r="W35" i="7"/>
  <c r="U35" i="7"/>
  <c r="S35" i="7"/>
  <c r="S27" i="15" s="1"/>
  <c r="Q35" i="7"/>
  <c r="Q27" i="15" s="1"/>
  <c r="O35" i="7"/>
  <c r="O27" i="15" s="1"/>
  <c r="M35" i="7"/>
  <c r="M27" i="15" s="1"/>
  <c r="K35" i="7"/>
  <c r="K27" i="15" s="1"/>
  <c r="I35" i="7"/>
  <c r="I27" i="15" s="1"/>
  <c r="G35" i="7"/>
  <c r="G27" i="15" s="1"/>
  <c r="E35" i="7"/>
  <c r="E27" i="15" s="1"/>
  <c r="C35" i="7"/>
  <c r="B35" i="7"/>
  <c r="AG34" i="7"/>
  <c r="AE34" i="7"/>
  <c r="AC34" i="7"/>
  <c r="AA34" i="7"/>
  <c r="Y34" i="7"/>
  <c r="W34" i="7"/>
  <c r="U34" i="7"/>
  <c r="S34" i="7"/>
  <c r="S26" i="15" s="1"/>
  <c r="Q34" i="7"/>
  <c r="Q26" i="15" s="1"/>
  <c r="O34" i="7"/>
  <c r="O26" i="15" s="1"/>
  <c r="M34" i="7"/>
  <c r="M26" i="15" s="1"/>
  <c r="K34" i="7"/>
  <c r="K26" i="15" s="1"/>
  <c r="I34" i="7"/>
  <c r="I26" i="15" s="1"/>
  <c r="G34" i="7"/>
  <c r="G26" i="15" s="1"/>
  <c r="E34" i="7"/>
  <c r="E26" i="15" s="1"/>
  <c r="C34" i="7"/>
  <c r="B34" i="7"/>
  <c r="AG33" i="7"/>
  <c r="AE33" i="7"/>
  <c r="AC33" i="7"/>
  <c r="AA33" i="7"/>
  <c r="Y33" i="7"/>
  <c r="W33" i="7"/>
  <c r="U33" i="7"/>
  <c r="S33" i="7"/>
  <c r="S25" i="15" s="1"/>
  <c r="Q33" i="7"/>
  <c r="Q25" i="15" s="1"/>
  <c r="O33" i="7"/>
  <c r="O25" i="15" s="1"/>
  <c r="M33" i="7"/>
  <c r="M25" i="15" s="1"/>
  <c r="K33" i="7"/>
  <c r="K25" i="15" s="1"/>
  <c r="I33" i="7"/>
  <c r="I25" i="15" s="1"/>
  <c r="G33" i="7"/>
  <c r="G25" i="15" s="1"/>
  <c r="E33" i="7"/>
  <c r="E25" i="15" s="1"/>
  <c r="C33" i="7"/>
  <c r="B33" i="7"/>
  <c r="AG32" i="7"/>
  <c r="AE32" i="7"/>
  <c r="AC32" i="7"/>
  <c r="AA32" i="7"/>
  <c r="Y32" i="7"/>
  <c r="W32" i="7"/>
  <c r="U32" i="7"/>
  <c r="S32" i="7"/>
  <c r="S24" i="15" s="1"/>
  <c r="Q32" i="7"/>
  <c r="Q24" i="15" s="1"/>
  <c r="O32" i="7"/>
  <c r="O24" i="15" s="1"/>
  <c r="M32" i="7"/>
  <c r="M24" i="15" s="1"/>
  <c r="K32" i="7"/>
  <c r="K24" i="15" s="1"/>
  <c r="I32" i="7"/>
  <c r="I24" i="15" s="1"/>
  <c r="G32" i="7"/>
  <c r="G24" i="15" s="1"/>
  <c r="E32" i="7"/>
  <c r="E24" i="15" s="1"/>
  <c r="C32" i="7"/>
  <c r="B32" i="7"/>
  <c r="AG31" i="7"/>
  <c r="AE31" i="7"/>
  <c r="AC31" i="7"/>
  <c r="AA31" i="7"/>
  <c r="Y31" i="7"/>
  <c r="W31" i="7"/>
  <c r="U31" i="7"/>
  <c r="S31" i="7"/>
  <c r="S23" i="15" s="1"/>
  <c r="Q31" i="7"/>
  <c r="Q23" i="15" s="1"/>
  <c r="O31" i="7"/>
  <c r="O23" i="15" s="1"/>
  <c r="M31" i="7"/>
  <c r="M23" i="15" s="1"/>
  <c r="K31" i="7"/>
  <c r="K23" i="15" s="1"/>
  <c r="I31" i="7"/>
  <c r="I23" i="15" s="1"/>
  <c r="G31" i="7"/>
  <c r="G23" i="15" s="1"/>
  <c r="E31" i="7"/>
  <c r="E23" i="15" s="1"/>
  <c r="C31" i="7"/>
  <c r="B31" i="7"/>
  <c r="AG30" i="7"/>
  <c r="AE30" i="7"/>
  <c r="AC30" i="7"/>
  <c r="AA30" i="7"/>
  <c r="Y30" i="7"/>
  <c r="W30" i="7"/>
  <c r="U30" i="7"/>
  <c r="S30" i="7"/>
  <c r="S22" i="15" s="1"/>
  <c r="Q30" i="7"/>
  <c r="Q22" i="15" s="1"/>
  <c r="O30" i="7"/>
  <c r="O22" i="15" s="1"/>
  <c r="M30" i="7"/>
  <c r="M22" i="15" s="1"/>
  <c r="K30" i="7"/>
  <c r="K22" i="15" s="1"/>
  <c r="I30" i="7"/>
  <c r="I22" i="15" s="1"/>
  <c r="G30" i="7"/>
  <c r="G22" i="15" s="1"/>
  <c r="E30" i="7"/>
  <c r="E22" i="15" s="1"/>
  <c r="C30" i="7"/>
  <c r="B30" i="7"/>
  <c r="AG29" i="7"/>
  <c r="AE29" i="7"/>
  <c r="AC29" i="7"/>
  <c r="AA29" i="7"/>
  <c r="Y29" i="7"/>
  <c r="W29" i="7"/>
  <c r="U29" i="7"/>
  <c r="S29" i="7"/>
  <c r="S21" i="15" s="1"/>
  <c r="Q29" i="7"/>
  <c r="Q21" i="15" s="1"/>
  <c r="O29" i="7"/>
  <c r="O21" i="15" s="1"/>
  <c r="M29" i="7"/>
  <c r="M21" i="15" s="1"/>
  <c r="K29" i="7"/>
  <c r="K21" i="15" s="1"/>
  <c r="I29" i="7"/>
  <c r="I21" i="15" s="1"/>
  <c r="G29" i="7"/>
  <c r="G21" i="15" s="1"/>
  <c r="E29" i="7"/>
  <c r="E21" i="15" s="1"/>
  <c r="C29" i="7"/>
  <c r="B29" i="7"/>
  <c r="AG28" i="7"/>
  <c r="AE28" i="7"/>
  <c r="AC28" i="7"/>
  <c r="AA28" i="7"/>
  <c r="Y28" i="7"/>
  <c r="W28" i="7"/>
  <c r="U28" i="7"/>
  <c r="S28" i="7"/>
  <c r="S20" i="15" s="1"/>
  <c r="Q28" i="7"/>
  <c r="Q20" i="15" s="1"/>
  <c r="O28" i="7"/>
  <c r="O20" i="15" s="1"/>
  <c r="M28" i="7"/>
  <c r="M20" i="15" s="1"/>
  <c r="K28" i="7"/>
  <c r="K20" i="15" s="1"/>
  <c r="I28" i="7"/>
  <c r="I20" i="15" s="1"/>
  <c r="G28" i="7"/>
  <c r="G20" i="15" s="1"/>
  <c r="E20" i="15"/>
  <c r="C28" i="7"/>
  <c r="B28" i="7"/>
  <c r="AG27" i="7"/>
  <c r="AE27" i="7"/>
  <c r="AC27" i="7"/>
  <c r="AA27" i="7"/>
  <c r="Y27" i="7"/>
  <c r="W27" i="7"/>
  <c r="U27" i="7"/>
  <c r="S27" i="7"/>
  <c r="S19" i="15" s="1"/>
  <c r="Q27" i="7"/>
  <c r="Q19" i="15" s="1"/>
  <c r="O27" i="7"/>
  <c r="O19" i="15" s="1"/>
  <c r="M27" i="7"/>
  <c r="M19" i="15" s="1"/>
  <c r="K27" i="7"/>
  <c r="K19" i="15" s="1"/>
  <c r="I27" i="7"/>
  <c r="I19" i="15" s="1"/>
  <c r="G27" i="7"/>
  <c r="G19" i="15" s="1"/>
  <c r="E27" i="7"/>
  <c r="E19" i="15" s="1"/>
  <c r="C27" i="7"/>
  <c r="B27" i="7"/>
  <c r="AG26" i="7"/>
  <c r="AE26" i="7"/>
  <c r="AC26" i="7"/>
  <c r="AA26" i="7"/>
  <c r="Y26" i="7"/>
  <c r="W26" i="7"/>
  <c r="U26" i="7"/>
  <c r="S26" i="7"/>
  <c r="S18" i="15" s="1"/>
  <c r="Q26" i="7"/>
  <c r="Q18" i="15" s="1"/>
  <c r="O26" i="7"/>
  <c r="O18" i="15" s="1"/>
  <c r="M26" i="7"/>
  <c r="M18" i="15" s="1"/>
  <c r="K26" i="7"/>
  <c r="K18" i="15" s="1"/>
  <c r="I26" i="7"/>
  <c r="I18" i="15" s="1"/>
  <c r="G26" i="7"/>
  <c r="G18" i="15" s="1"/>
  <c r="E26" i="7"/>
  <c r="E18" i="15" s="1"/>
  <c r="C26" i="7"/>
  <c r="B26" i="7"/>
  <c r="AG25" i="7"/>
  <c r="AE25" i="7"/>
  <c r="AC25" i="7"/>
  <c r="AA25" i="7"/>
  <c r="Y25" i="7"/>
  <c r="W25" i="7"/>
  <c r="U25" i="7"/>
  <c r="S25" i="7"/>
  <c r="S17" i="15" s="1"/>
  <c r="Q25" i="7"/>
  <c r="Q17" i="15" s="1"/>
  <c r="O25" i="7"/>
  <c r="O17" i="15" s="1"/>
  <c r="M25" i="7"/>
  <c r="M17" i="15" s="1"/>
  <c r="K25" i="7"/>
  <c r="K17" i="15" s="1"/>
  <c r="I25" i="7"/>
  <c r="I17" i="15" s="1"/>
  <c r="G25" i="7"/>
  <c r="G17" i="15" s="1"/>
  <c r="E25" i="7"/>
  <c r="E17" i="15" s="1"/>
  <c r="C25" i="7"/>
  <c r="B25" i="7"/>
  <c r="AG24" i="7"/>
  <c r="AE24" i="7"/>
  <c r="AC24" i="7"/>
  <c r="AA24" i="7"/>
  <c r="Y24" i="7"/>
  <c r="W24" i="7"/>
  <c r="U24" i="7"/>
  <c r="S24" i="7"/>
  <c r="S16" i="15" s="1"/>
  <c r="Q24" i="7"/>
  <c r="Q16" i="15" s="1"/>
  <c r="O24" i="7"/>
  <c r="O16" i="15" s="1"/>
  <c r="M24" i="7"/>
  <c r="M16" i="15" s="1"/>
  <c r="K24" i="7"/>
  <c r="K16" i="15" s="1"/>
  <c r="I24" i="7"/>
  <c r="I16" i="15" s="1"/>
  <c r="G24" i="7"/>
  <c r="G16" i="15" s="1"/>
  <c r="E24" i="7"/>
  <c r="E16" i="15" s="1"/>
  <c r="C24" i="7"/>
  <c r="B24" i="7"/>
  <c r="AG23" i="7"/>
  <c r="AE23" i="7"/>
  <c r="AC23" i="7"/>
  <c r="AA23" i="7"/>
  <c r="Y23" i="7"/>
  <c r="W23" i="7"/>
  <c r="U23" i="7"/>
  <c r="S23" i="7"/>
  <c r="S15" i="15" s="1"/>
  <c r="Q23" i="7"/>
  <c r="Q15" i="15" s="1"/>
  <c r="O23" i="7"/>
  <c r="O15" i="15" s="1"/>
  <c r="M23" i="7"/>
  <c r="M15" i="15" s="1"/>
  <c r="K23" i="7"/>
  <c r="K15" i="15" s="1"/>
  <c r="I23" i="7"/>
  <c r="I15" i="15" s="1"/>
  <c r="G23" i="7"/>
  <c r="G15" i="15" s="1"/>
  <c r="E23" i="7"/>
  <c r="E15" i="15" s="1"/>
  <c r="C23" i="7"/>
  <c r="B23" i="7"/>
  <c r="AG22" i="7"/>
  <c r="AE22" i="7"/>
  <c r="AC22" i="7"/>
  <c r="AA22" i="7"/>
  <c r="Y22" i="7"/>
  <c r="W22" i="7"/>
  <c r="U22" i="7"/>
  <c r="S22" i="7"/>
  <c r="S14" i="15" s="1"/>
  <c r="Q22" i="7"/>
  <c r="Q14" i="15" s="1"/>
  <c r="O22" i="7"/>
  <c r="O14" i="15" s="1"/>
  <c r="M22" i="7"/>
  <c r="M14" i="15" s="1"/>
  <c r="K22" i="7"/>
  <c r="K14" i="15" s="1"/>
  <c r="I22" i="7"/>
  <c r="I14" i="15" s="1"/>
  <c r="G22" i="7"/>
  <c r="G14" i="15" s="1"/>
  <c r="E22" i="7"/>
  <c r="E14" i="15" s="1"/>
  <c r="C22" i="7"/>
  <c r="B22" i="7"/>
  <c r="AG21" i="7"/>
  <c r="AE21" i="7"/>
  <c r="AC21" i="7"/>
  <c r="AA21" i="7"/>
  <c r="Y21" i="7"/>
  <c r="W21" i="7"/>
  <c r="U21" i="7"/>
  <c r="S21" i="7"/>
  <c r="S13" i="15" s="1"/>
  <c r="Q21" i="7"/>
  <c r="Q13" i="15" s="1"/>
  <c r="O21" i="7"/>
  <c r="O13" i="15" s="1"/>
  <c r="M21" i="7"/>
  <c r="M13" i="15" s="1"/>
  <c r="K21" i="7"/>
  <c r="K13" i="15" s="1"/>
  <c r="I21" i="7"/>
  <c r="I13" i="15" s="1"/>
  <c r="G21" i="7"/>
  <c r="G13" i="15" s="1"/>
  <c r="E21" i="7"/>
  <c r="E13" i="15" s="1"/>
  <c r="C21" i="7"/>
  <c r="B21" i="7"/>
  <c r="AG20" i="7"/>
  <c r="AE20" i="7"/>
  <c r="AC20" i="7"/>
  <c r="AA20" i="7"/>
  <c r="Y20" i="7"/>
  <c r="W20" i="7"/>
  <c r="U20" i="7"/>
  <c r="S20" i="7"/>
  <c r="S12" i="15" s="1"/>
  <c r="Q20" i="7"/>
  <c r="Q12" i="15" s="1"/>
  <c r="O20" i="7"/>
  <c r="O12" i="15" s="1"/>
  <c r="M20" i="7"/>
  <c r="M12" i="15" s="1"/>
  <c r="K20" i="7"/>
  <c r="K12" i="15" s="1"/>
  <c r="I20" i="7"/>
  <c r="I12" i="15" s="1"/>
  <c r="G20" i="7"/>
  <c r="G12" i="15" s="1"/>
  <c r="E20" i="7"/>
  <c r="E12" i="15" s="1"/>
  <c r="C20" i="7"/>
  <c r="B20" i="7"/>
  <c r="AG19" i="7"/>
  <c r="AE19" i="7"/>
  <c r="AC19" i="7"/>
  <c r="AA19" i="7"/>
  <c r="Y19" i="7"/>
  <c r="W19" i="7"/>
  <c r="U19" i="7"/>
  <c r="S19" i="7"/>
  <c r="S11" i="15" s="1"/>
  <c r="Q19" i="7"/>
  <c r="Q11" i="15" s="1"/>
  <c r="O19" i="7"/>
  <c r="O11" i="15" s="1"/>
  <c r="M19" i="7"/>
  <c r="M11" i="15" s="1"/>
  <c r="K19" i="7"/>
  <c r="K11" i="15" s="1"/>
  <c r="I19" i="7"/>
  <c r="I11" i="15" s="1"/>
  <c r="G19" i="7"/>
  <c r="G11" i="15" s="1"/>
  <c r="E19" i="7"/>
  <c r="E11" i="15" s="1"/>
  <c r="C19" i="7"/>
  <c r="B19" i="7"/>
  <c r="AG18" i="7"/>
  <c r="AE18" i="7"/>
  <c r="AC18" i="7"/>
  <c r="AA18" i="7"/>
  <c r="Y18" i="7"/>
  <c r="W18" i="7"/>
  <c r="U18" i="7"/>
  <c r="S18" i="7"/>
  <c r="S10" i="15" s="1"/>
  <c r="Q18" i="7"/>
  <c r="Q10" i="15" s="1"/>
  <c r="O18" i="7"/>
  <c r="O10" i="15" s="1"/>
  <c r="M18" i="7"/>
  <c r="M10" i="15" s="1"/>
  <c r="K18" i="7"/>
  <c r="K10" i="15" s="1"/>
  <c r="I18" i="7"/>
  <c r="I10" i="15" s="1"/>
  <c r="G18" i="7"/>
  <c r="G10" i="15" s="1"/>
  <c r="E18" i="7"/>
  <c r="E10" i="15" s="1"/>
  <c r="C18" i="7"/>
  <c r="B18" i="7"/>
  <c r="AG17" i="7"/>
  <c r="AE17" i="7"/>
  <c r="AC17" i="7"/>
  <c r="AA17" i="7"/>
  <c r="Y17" i="7"/>
  <c r="W17" i="7"/>
  <c r="U17" i="7"/>
  <c r="S17" i="7"/>
  <c r="S9" i="15" s="1"/>
  <c r="Q17" i="7"/>
  <c r="Q9" i="15" s="1"/>
  <c r="O17" i="7"/>
  <c r="O9" i="15" s="1"/>
  <c r="M17" i="7"/>
  <c r="M9" i="15" s="1"/>
  <c r="K17" i="7"/>
  <c r="K9" i="15" s="1"/>
  <c r="I17" i="7"/>
  <c r="I9" i="15" s="1"/>
  <c r="G17" i="7"/>
  <c r="G9" i="15" s="1"/>
  <c r="E17" i="7"/>
  <c r="E9" i="15" s="1"/>
  <c r="C17" i="7"/>
  <c r="B17" i="7"/>
  <c r="AG16" i="7"/>
  <c r="AE16" i="7"/>
  <c r="AC16" i="7"/>
  <c r="AA16" i="7"/>
  <c r="Y16" i="7"/>
  <c r="W16" i="7"/>
  <c r="U16" i="7"/>
  <c r="S16" i="7"/>
  <c r="S8" i="15" s="1"/>
  <c r="Q16" i="7"/>
  <c r="Q8" i="15" s="1"/>
  <c r="O16" i="7"/>
  <c r="O8" i="15" s="1"/>
  <c r="M16" i="7"/>
  <c r="M8" i="15" s="1"/>
  <c r="K16" i="7"/>
  <c r="K8" i="15" s="1"/>
  <c r="I16" i="7"/>
  <c r="I8" i="15" s="1"/>
  <c r="G16" i="7"/>
  <c r="G8" i="15" s="1"/>
  <c r="E16" i="7"/>
  <c r="E8" i="15" s="1"/>
  <c r="C16" i="7"/>
  <c r="B16" i="7"/>
  <c r="AE15" i="7"/>
  <c r="AC15" i="7"/>
  <c r="AA15" i="7"/>
  <c r="Y15" i="7"/>
  <c r="W15" i="7"/>
  <c r="U15" i="7"/>
  <c r="S15" i="7"/>
  <c r="S7" i="15" s="1"/>
  <c r="Q15" i="7"/>
  <c r="Q7" i="15" s="1"/>
  <c r="O15" i="7"/>
  <c r="O7" i="15" s="1"/>
  <c r="M15" i="7"/>
  <c r="M7" i="15" s="1"/>
  <c r="K15" i="7"/>
  <c r="K7" i="15" s="1"/>
  <c r="I15" i="7"/>
  <c r="I7" i="15" s="1"/>
  <c r="G15" i="7"/>
  <c r="G7" i="15" s="1"/>
  <c r="E15" i="7"/>
  <c r="E7" i="15" s="1"/>
  <c r="C15" i="7"/>
  <c r="B15" i="7"/>
  <c r="AG14" i="7"/>
  <c r="AE14" i="7"/>
  <c r="AC14" i="7"/>
  <c r="AA14" i="7"/>
  <c r="Y14" i="7"/>
  <c r="W14" i="7"/>
  <c r="U14" i="7"/>
  <c r="S14" i="7"/>
  <c r="S6" i="15" s="1"/>
  <c r="Q14" i="7"/>
  <c r="Q6" i="15" s="1"/>
  <c r="O14" i="7"/>
  <c r="O6" i="15" s="1"/>
  <c r="M14" i="7"/>
  <c r="M6" i="15" s="1"/>
  <c r="K14" i="7"/>
  <c r="K6" i="15" s="1"/>
  <c r="I14" i="7"/>
  <c r="I6" i="15" s="1"/>
  <c r="G14" i="7"/>
  <c r="G6" i="15" s="1"/>
  <c r="E14" i="7"/>
  <c r="E6" i="15" s="1"/>
  <c r="C14" i="7"/>
  <c r="B14" i="7"/>
  <c r="AG13" i="7"/>
  <c r="AE13" i="7"/>
  <c r="AC13" i="7"/>
  <c r="AA13" i="7"/>
  <c r="Y13" i="7"/>
  <c r="W13" i="7"/>
  <c r="U13" i="7"/>
  <c r="S13" i="7"/>
  <c r="Q13" i="7"/>
  <c r="O13" i="7"/>
  <c r="M13" i="7"/>
  <c r="K13" i="7"/>
  <c r="I13" i="7"/>
  <c r="G13" i="7"/>
  <c r="E13" i="7"/>
  <c r="B13" i="7"/>
  <c r="AH6" i="7"/>
  <c r="AF6" i="7"/>
  <c r="AD6" i="7"/>
  <c r="AB6" i="7"/>
  <c r="Z6" i="7"/>
  <c r="X6" i="7"/>
  <c r="V6" i="7"/>
  <c r="T6" i="7"/>
  <c r="R6" i="7"/>
  <c r="P6" i="7"/>
  <c r="N6" i="7"/>
  <c r="L6" i="7"/>
  <c r="J6" i="7"/>
  <c r="H6" i="7"/>
  <c r="F6" i="7"/>
  <c r="D6" i="7"/>
  <c r="B3" i="7"/>
  <c r="B2" i="7"/>
  <c r="B1" i="7"/>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I40" i="8"/>
  <c r="I39" i="8"/>
  <c r="I38" i="8"/>
  <c r="I37" i="8"/>
  <c r="I35" i="8"/>
  <c r="I32" i="8"/>
  <c r="I31" i="8"/>
  <c r="I29" i="8"/>
  <c r="I27" i="8"/>
  <c r="I24" i="8"/>
  <c r="I23" i="8"/>
  <c r="I14" i="8"/>
  <c r="BN93" i="1"/>
  <c r="BN91" i="1"/>
  <c r="BN89" i="1"/>
  <c r="BN87" i="1"/>
  <c r="BN85" i="1"/>
  <c r="BN83" i="1"/>
  <c r="E67" i="8" s="1"/>
  <c r="BN81" i="1"/>
  <c r="E68" i="8" s="1"/>
  <c r="BN79" i="1"/>
  <c r="BN77" i="1"/>
  <c r="BN75" i="1"/>
  <c r="E56" i="8" s="1"/>
  <c r="AH56" i="8" s="1"/>
  <c r="AK56" i="8" s="1"/>
  <c r="AG66" i="1"/>
  <c r="AO19" i="17" s="1"/>
  <c r="AP19" i="17" s="1"/>
  <c r="AE66" i="1"/>
  <c r="AO18" i="17" s="1"/>
  <c r="AP18" i="17" s="1"/>
  <c r="AC66" i="1"/>
  <c r="AO17" i="17" s="1"/>
  <c r="AP17" i="17" s="1"/>
  <c r="AA66" i="1"/>
  <c r="AO16" i="17" s="1"/>
  <c r="AP16" i="17" s="1"/>
  <c r="Y66" i="1"/>
  <c r="AO15" i="17" s="1"/>
  <c r="AP15" i="17" s="1"/>
  <c r="W66" i="1"/>
  <c r="AO14" i="17" s="1"/>
  <c r="AP14" i="17" s="1"/>
  <c r="U66" i="1"/>
  <c r="AO13" i="17" s="1"/>
  <c r="AP13" i="17" s="1"/>
  <c r="S66" i="1"/>
  <c r="AO12" i="17" s="1"/>
  <c r="AP12" i="17" s="1"/>
  <c r="Q66" i="1"/>
  <c r="AO11" i="17" s="1"/>
  <c r="AP11" i="17" s="1"/>
  <c r="BM62" i="1"/>
  <c r="D42" i="8" s="1"/>
  <c r="AH62" i="1"/>
  <c r="AF62" i="1"/>
  <c r="AD62" i="1"/>
  <c r="AB62" i="1"/>
  <c r="Z62" i="1"/>
  <c r="X62" i="1"/>
  <c r="V62" i="1"/>
  <c r="T62" i="1"/>
  <c r="R62" i="1"/>
  <c r="P62" i="1"/>
  <c r="N62" i="1"/>
  <c r="L62" i="1"/>
  <c r="J62" i="1"/>
  <c r="H62" i="1"/>
  <c r="F62" i="1"/>
  <c r="BM61" i="1"/>
  <c r="D41" i="8" s="1"/>
  <c r="AH61" i="1"/>
  <c r="AF61" i="1"/>
  <c r="AD61" i="1"/>
  <c r="AB61" i="1"/>
  <c r="Z61" i="1"/>
  <c r="X61" i="1"/>
  <c r="V61" i="1"/>
  <c r="T61" i="1"/>
  <c r="R61" i="1"/>
  <c r="P61" i="1"/>
  <c r="N61" i="1"/>
  <c r="L61" i="1"/>
  <c r="J61" i="1"/>
  <c r="H61" i="1"/>
  <c r="F61" i="1"/>
  <c r="BM60" i="1"/>
  <c r="D40" i="8" s="1"/>
  <c r="AH60" i="1"/>
  <c r="AF60" i="1"/>
  <c r="AD60" i="1"/>
  <c r="AB60" i="1"/>
  <c r="Z60" i="1"/>
  <c r="X60" i="1"/>
  <c r="V60" i="1"/>
  <c r="T60" i="1"/>
  <c r="R60" i="1"/>
  <c r="P60" i="1"/>
  <c r="N60" i="1"/>
  <c r="L60" i="1"/>
  <c r="J60" i="1"/>
  <c r="H60" i="1"/>
  <c r="F60" i="1"/>
  <c r="BM59" i="1"/>
  <c r="D39" i="8" s="1"/>
  <c r="AH59" i="1"/>
  <c r="AF59" i="1"/>
  <c r="AD59" i="1"/>
  <c r="AB59" i="1"/>
  <c r="Z59" i="1"/>
  <c r="X59" i="1"/>
  <c r="V59" i="1"/>
  <c r="T59" i="1"/>
  <c r="R59" i="1"/>
  <c r="P59" i="1"/>
  <c r="N59" i="1"/>
  <c r="L59" i="1"/>
  <c r="J59" i="1"/>
  <c r="H59" i="1"/>
  <c r="F59" i="1"/>
  <c r="BM58" i="1"/>
  <c r="D38" i="8" s="1"/>
  <c r="AH58" i="1"/>
  <c r="AF58" i="1"/>
  <c r="AD58" i="1"/>
  <c r="AB58" i="1"/>
  <c r="Z58" i="1"/>
  <c r="X58" i="1"/>
  <c r="V58" i="1"/>
  <c r="T58" i="1"/>
  <c r="R58" i="1"/>
  <c r="P58" i="1"/>
  <c r="N58" i="1"/>
  <c r="L58" i="1"/>
  <c r="J58" i="1"/>
  <c r="H58" i="1"/>
  <c r="F58" i="1"/>
  <c r="BM57" i="1"/>
  <c r="D37" i="8" s="1"/>
  <c r="AH57" i="1"/>
  <c r="AF57" i="1"/>
  <c r="AD57" i="1"/>
  <c r="AB57" i="1"/>
  <c r="Z57" i="1"/>
  <c r="X57" i="1"/>
  <c r="V57" i="1"/>
  <c r="T57" i="1"/>
  <c r="R57" i="1"/>
  <c r="P57" i="1"/>
  <c r="N57" i="1"/>
  <c r="L57" i="1"/>
  <c r="J57" i="1"/>
  <c r="H57" i="1"/>
  <c r="F57" i="1"/>
  <c r="BM56" i="1"/>
  <c r="D36" i="8" s="1"/>
  <c r="AH56" i="1"/>
  <c r="AF56" i="1"/>
  <c r="AD56" i="1"/>
  <c r="AB56" i="1"/>
  <c r="Z56" i="1"/>
  <c r="X56" i="1"/>
  <c r="V56" i="1"/>
  <c r="T56" i="1"/>
  <c r="R56" i="1"/>
  <c r="P56" i="1"/>
  <c r="N56" i="1"/>
  <c r="L56" i="1"/>
  <c r="J56" i="1"/>
  <c r="H56" i="1"/>
  <c r="F56" i="1"/>
  <c r="BM55" i="1"/>
  <c r="D35" i="8" s="1"/>
  <c r="AH55" i="1"/>
  <c r="AF55" i="1"/>
  <c r="AD55" i="1"/>
  <c r="AB55" i="1"/>
  <c r="Z55" i="1"/>
  <c r="X55" i="1"/>
  <c r="V55" i="1"/>
  <c r="T55" i="1"/>
  <c r="R55" i="1"/>
  <c r="P55" i="1"/>
  <c r="N55" i="1"/>
  <c r="L55" i="1"/>
  <c r="J55" i="1"/>
  <c r="H55" i="1"/>
  <c r="F55" i="1"/>
  <c r="BM54" i="1"/>
  <c r="D34" i="8" s="1"/>
  <c r="AH54" i="1"/>
  <c r="AF54" i="1"/>
  <c r="AD54" i="1"/>
  <c r="AB54" i="1"/>
  <c r="Z54" i="1"/>
  <c r="X54" i="1"/>
  <c r="V54" i="1"/>
  <c r="T54" i="1"/>
  <c r="R54" i="1"/>
  <c r="P54" i="1"/>
  <c r="N54" i="1"/>
  <c r="L54" i="1"/>
  <c r="J54" i="1"/>
  <c r="H54" i="1"/>
  <c r="F54" i="1"/>
  <c r="BM53" i="1"/>
  <c r="D33" i="8" s="1"/>
  <c r="AH53" i="1"/>
  <c r="AF53" i="1"/>
  <c r="AD53" i="1"/>
  <c r="AB53" i="1"/>
  <c r="Z53" i="1"/>
  <c r="X53" i="1"/>
  <c r="V53" i="1"/>
  <c r="T53" i="1"/>
  <c r="R53" i="1"/>
  <c r="P53" i="1"/>
  <c r="N53" i="1"/>
  <c r="L53" i="1"/>
  <c r="J53" i="1"/>
  <c r="H53" i="1"/>
  <c r="F53" i="1"/>
  <c r="BM52" i="1"/>
  <c r="D32" i="8" s="1"/>
  <c r="AH52" i="1"/>
  <c r="AF52" i="1"/>
  <c r="AD52" i="1"/>
  <c r="AB52" i="1"/>
  <c r="Z52" i="1"/>
  <c r="X52" i="1"/>
  <c r="V52" i="1"/>
  <c r="T52" i="1"/>
  <c r="R52" i="1"/>
  <c r="P52" i="1"/>
  <c r="N52" i="1"/>
  <c r="L52" i="1"/>
  <c r="J52" i="1"/>
  <c r="H52" i="1"/>
  <c r="F52" i="1"/>
  <c r="BM51" i="1"/>
  <c r="D31" i="8" s="1"/>
  <c r="AH51" i="1"/>
  <c r="AF51" i="1"/>
  <c r="AD51" i="1"/>
  <c r="AB51" i="1"/>
  <c r="Z51" i="1"/>
  <c r="X51" i="1"/>
  <c r="V51" i="1"/>
  <c r="T51" i="1"/>
  <c r="R51" i="1"/>
  <c r="P51" i="1"/>
  <c r="N51" i="1"/>
  <c r="L51" i="1"/>
  <c r="J51" i="1"/>
  <c r="H51" i="1"/>
  <c r="F51" i="1"/>
  <c r="BM50" i="1"/>
  <c r="D30" i="8" s="1"/>
  <c r="AH50" i="1"/>
  <c r="AF50" i="1"/>
  <c r="AD50" i="1"/>
  <c r="AB50" i="1"/>
  <c r="Z50" i="1"/>
  <c r="X50" i="1"/>
  <c r="V50" i="1"/>
  <c r="T50" i="1"/>
  <c r="R50" i="1"/>
  <c r="P50" i="1"/>
  <c r="N50" i="1"/>
  <c r="L50" i="1"/>
  <c r="J50" i="1"/>
  <c r="H50" i="1"/>
  <c r="F50" i="1"/>
  <c r="BM49" i="1"/>
  <c r="D29" i="8" s="1"/>
  <c r="AH49" i="1"/>
  <c r="AF49" i="1"/>
  <c r="AD49" i="1"/>
  <c r="AB49" i="1"/>
  <c r="Z49" i="1"/>
  <c r="X49" i="1"/>
  <c r="V49" i="1"/>
  <c r="T49" i="1"/>
  <c r="R49" i="1"/>
  <c r="P49" i="1"/>
  <c r="N49" i="1"/>
  <c r="L49" i="1"/>
  <c r="J49" i="1"/>
  <c r="H49" i="1"/>
  <c r="F49" i="1"/>
  <c r="BM48" i="1"/>
  <c r="D28" i="8" s="1"/>
  <c r="AH48" i="1"/>
  <c r="AF48" i="1"/>
  <c r="AD48" i="1"/>
  <c r="AB48" i="1"/>
  <c r="Z48" i="1"/>
  <c r="X48" i="1"/>
  <c r="V48" i="1"/>
  <c r="T48" i="1"/>
  <c r="R48" i="1"/>
  <c r="P48" i="1"/>
  <c r="N48" i="1"/>
  <c r="L48" i="1"/>
  <c r="J48" i="1"/>
  <c r="H48" i="1"/>
  <c r="F48" i="1"/>
  <c r="BM47" i="1"/>
  <c r="D27" i="8" s="1"/>
  <c r="AH47" i="1"/>
  <c r="AF47" i="1"/>
  <c r="AD47" i="1"/>
  <c r="AB47" i="1"/>
  <c r="Z47" i="1"/>
  <c r="X47" i="1"/>
  <c r="V47" i="1"/>
  <c r="T47" i="1"/>
  <c r="R47" i="1"/>
  <c r="P47" i="1"/>
  <c r="N47" i="1"/>
  <c r="L47" i="1"/>
  <c r="J47" i="1"/>
  <c r="H47" i="1"/>
  <c r="F47" i="1"/>
  <c r="BM46" i="1"/>
  <c r="D26" i="8" s="1"/>
  <c r="AH46" i="1"/>
  <c r="AF46" i="1"/>
  <c r="AD46" i="1"/>
  <c r="AB46" i="1"/>
  <c r="Z46" i="1"/>
  <c r="X46" i="1"/>
  <c r="V46" i="1"/>
  <c r="T46" i="1"/>
  <c r="R46" i="1"/>
  <c r="P46" i="1"/>
  <c r="N46" i="1"/>
  <c r="L46" i="1"/>
  <c r="J46" i="1"/>
  <c r="H46" i="1"/>
  <c r="F46" i="1"/>
  <c r="BM45" i="1"/>
  <c r="D25" i="8" s="1"/>
  <c r="AH45" i="1"/>
  <c r="AF45" i="1"/>
  <c r="AD45" i="1"/>
  <c r="AB45" i="1"/>
  <c r="Z45" i="1"/>
  <c r="X45" i="1"/>
  <c r="V45" i="1"/>
  <c r="T45" i="1"/>
  <c r="R45" i="1"/>
  <c r="P45" i="1"/>
  <c r="N45" i="1"/>
  <c r="L45" i="1"/>
  <c r="J45" i="1"/>
  <c r="H45" i="1"/>
  <c r="F45" i="1"/>
  <c r="BM44" i="1"/>
  <c r="D24" i="8" s="1"/>
  <c r="AH44" i="1"/>
  <c r="AF44" i="1"/>
  <c r="AD44" i="1"/>
  <c r="AB44" i="1"/>
  <c r="Z44" i="1"/>
  <c r="X44" i="1"/>
  <c r="V44" i="1"/>
  <c r="T44" i="1"/>
  <c r="R44" i="1"/>
  <c r="P44" i="1"/>
  <c r="N44" i="1"/>
  <c r="L44" i="1"/>
  <c r="J44" i="1"/>
  <c r="H44" i="1"/>
  <c r="H64" i="1" s="1"/>
  <c r="H65" i="1" s="1"/>
  <c r="F44" i="1"/>
  <c r="BM43" i="1"/>
  <c r="D23" i="8" s="1"/>
  <c r="AH43" i="1"/>
  <c r="AF43" i="1"/>
  <c r="AD43" i="1"/>
  <c r="AB43" i="1"/>
  <c r="Z43" i="1"/>
  <c r="X43" i="1"/>
  <c r="V43" i="1"/>
  <c r="T43" i="1"/>
  <c r="R43" i="1"/>
  <c r="P43" i="1"/>
  <c r="N43" i="1"/>
  <c r="L43" i="1"/>
  <c r="J43" i="1"/>
  <c r="F43" i="1"/>
  <c r="BM42" i="1"/>
  <c r="D22" i="8" s="1"/>
  <c r="AH42" i="1"/>
  <c r="AF42" i="1"/>
  <c r="AD42" i="1"/>
  <c r="AB42" i="1"/>
  <c r="Z42" i="1"/>
  <c r="X42" i="1"/>
  <c r="V42" i="1"/>
  <c r="T42" i="1"/>
  <c r="R42" i="1"/>
  <c r="P42" i="1"/>
  <c r="N42" i="1"/>
  <c r="L42" i="1"/>
  <c r="J42" i="1"/>
  <c r="F42" i="1"/>
  <c r="BM41" i="1"/>
  <c r="D21" i="8" s="1"/>
  <c r="AH41" i="1"/>
  <c r="AF41" i="1"/>
  <c r="AD41" i="1"/>
  <c r="AB41" i="1"/>
  <c r="Z41" i="1"/>
  <c r="X41" i="1"/>
  <c r="V41" i="1"/>
  <c r="T41" i="1"/>
  <c r="R41" i="1"/>
  <c r="P41" i="1"/>
  <c r="N41" i="1"/>
  <c r="L41" i="1"/>
  <c r="J41" i="1"/>
  <c r="F41" i="1"/>
  <c r="BM40" i="1"/>
  <c r="D20" i="8" s="1"/>
  <c r="AH40" i="1"/>
  <c r="AF40" i="1"/>
  <c r="AD40" i="1"/>
  <c r="AB40" i="1"/>
  <c r="Z40" i="1"/>
  <c r="X40" i="1"/>
  <c r="V40" i="1"/>
  <c r="T40" i="1"/>
  <c r="R40" i="1"/>
  <c r="P40" i="1"/>
  <c r="N40" i="1"/>
  <c r="L40" i="1"/>
  <c r="J40" i="1"/>
  <c r="F40" i="1"/>
  <c r="BM39" i="1"/>
  <c r="D19" i="8" s="1"/>
  <c r="AH39" i="1"/>
  <c r="AF39" i="1"/>
  <c r="AD39" i="1"/>
  <c r="AB39" i="1"/>
  <c r="Z39" i="1"/>
  <c r="X39" i="1"/>
  <c r="V39" i="1"/>
  <c r="T39" i="1"/>
  <c r="R39" i="1"/>
  <c r="P39" i="1"/>
  <c r="N39" i="1"/>
  <c r="L39" i="1"/>
  <c r="J39" i="1"/>
  <c r="F39" i="1"/>
  <c r="BM38" i="1"/>
  <c r="D18" i="8" s="1"/>
  <c r="AH38" i="1"/>
  <c r="AF38" i="1"/>
  <c r="AD38" i="1"/>
  <c r="AB38" i="1"/>
  <c r="Z38" i="1"/>
  <c r="X38" i="1"/>
  <c r="V38" i="1"/>
  <c r="T38" i="1"/>
  <c r="R38" i="1"/>
  <c r="P38" i="1"/>
  <c r="N38" i="1"/>
  <c r="L38" i="1"/>
  <c r="J38" i="1"/>
  <c r="F38" i="1"/>
  <c r="BM37" i="1"/>
  <c r="D17" i="8" s="1"/>
  <c r="AF37" i="1"/>
  <c r="AD37" i="1"/>
  <c r="AB37" i="1"/>
  <c r="Z37" i="1"/>
  <c r="X37" i="1"/>
  <c r="V37" i="1"/>
  <c r="T37" i="1"/>
  <c r="R37" i="1"/>
  <c r="P37" i="1"/>
  <c r="N37" i="1"/>
  <c r="L37" i="1"/>
  <c r="J37" i="1"/>
  <c r="F37" i="1"/>
  <c r="BM36" i="1"/>
  <c r="D16" i="8" s="1"/>
  <c r="AF36" i="1"/>
  <c r="AD36" i="1"/>
  <c r="AB36" i="1"/>
  <c r="Z36" i="1"/>
  <c r="X36" i="1"/>
  <c r="V36" i="1"/>
  <c r="T36" i="1"/>
  <c r="R36" i="1"/>
  <c r="P36" i="1"/>
  <c r="N36" i="1"/>
  <c r="L36" i="1"/>
  <c r="J36" i="1"/>
  <c r="F36" i="1"/>
  <c r="BM35" i="1"/>
  <c r="D15" i="8" s="1"/>
  <c r="AF35" i="1"/>
  <c r="AD35" i="1"/>
  <c r="AB35" i="1"/>
  <c r="Z35" i="1"/>
  <c r="X35" i="1"/>
  <c r="V35" i="1"/>
  <c r="T35" i="1"/>
  <c r="R35" i="1"/>
  <c r="P35" i="1"/>
  <c r="N35" i="1"/>
  <c r="L35" i="1"/>
  <c r="J35" i="1"/>
  <c r="F35" i="1"/>
  <c r="BM34" i="1"/>
  <c r="D14" i="8" s="1"/>
  <c r="AF34" i="1"/>
  <c r="AD34" i="1"/>
  <c r="AB34" i="1"/>
  <c r="Z34" i="1"/>
  <c r="X34" i="1"/>
  <c r="V34" i="1"/>
  <c r="T34" i="1"/>
  <c r="R34" i="1"/>
  <c r="P34" i="1"/>
  <c r="N34" i="1"/>
  <c r="L34" i="1"/>
  <c r="J34" i="1"/>
  <c r="F34" i="1"/>
  <c r="D13" i="8"/>
  <c r="AH33" i="1"/>
  <c r="AF33" i="1"/>
  <c r="AD33" i="1"/>
  <c r="AB33" i="1"/>
  <c r="Z33" i="1"/>
  <c r="X33" i="1"/>
  <c r="V33" i="1"/>
  <c r="T33" i="1"/>
  <c r="R33" i="1"/>
  <c r="P33" i="1"/>
  <c r="N33" i="1"/>
  <c r="L33" i="1"/>
  <c r="J33" i="1"/>
  <c r="F33" i="1"/>
  <c r="BL28" i="1"/>
  <c r="BJ28" i="1"/>
  <c r="BH28" i="1"/>
  <c r="BF28" i="1"/>
  <c r="BD28" i="1"/>
  <c r="BB28" i="1"/>
  <c r="AZ28" i="1"/>
  <c r="AX28" i="1"/>
  <c r="AV28" i="1"/>
  <c r="AT28" i="1"/>
  <c r="AR28" i="1"/>
  <c r="AP28" i="1"/>
  <c r="AN28" i="1"/>
  <c r="AL28" i="1"/>
  <c r="AJ28" i="1"/>
  <c r="AH28" i="1"/>
  <c r="AF28" i="1"/>
  <c r="AD28" i="1"/>
  <c r="AB28" i="1"/>
  <c r="Z28" i="1"/>
  <c r="X28" i="1"/>
  <c r="V28" i="1"/>
  <c r="T28" i="1"/>
  <c r="R28" i="1"/>
  <c r="P28" i="1"/>
  <c r="N28" i="1"/>
  <c r="L28" i="1"/>
  <c r="J28" i="1"/>
  <c r="H28" i="1"/>
  <c r="F28" i="1"/>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5" i="15"/>
  <c r="H44" i="8" l="1"/>
  <c r="AT150" i="2"/>
  <c r="AT152" i="2"/>
  <c r="AV149" i="2"/>
  <c r="F154" i="2"/>
  <c r="E39" i="17" s="1"/>
  <c r="E75" i="17"/>
  <c r="AP154" i="2"/>
  <c r="AR153" i="2"/>
  <c r="D13" i="7"/>
  <c r="E76" i="8"/>
  <c r="AH76" i="8" s="1"/>
  <c r="AK76" i="8" s="1"/>
  <c r="E77" i="8"/>
  <c r="AH77" i="8" s="1"/>
  <c r="E46" i="15"/>
  <c r="E76" i="15" s="1"/>
  <c r="AD45" i="7"/>
  <c r="AH45" i="7"/>
  <c r="R45" i="7"/>
  <c r="AF45" i="7"/>
  <c r="T46" i="8"/>
  <c r="AB45" i="7"/>
  <c r="X45" i="7"/>
  <c r="Z46" i="8"/>
  <c r="Z45" i="7"/>
  <c r="V45" i="7"/>
  <c r="T45" i="7"/>
  <c r="H66" i="1"/>
  <c r="Y44" i="7"/>
  <c r="E141" i="17"/>
  <c r="E175" i="17"/>
  <c r="K5" i="15"/>
  <c r="K35" i="15" s="1"/>
  <c r="K44" i="7"/>
  <c r="AA44" i="7"/>
  <c r="I5" i="15"/>
  <c r="I35" i="15" s="1"/>
  <c r="I44" i="7"/>
  <c r="AC44" i="7"/>
  <c r="M5" i="15"/>
  <c r="M35" i="15" s="1"/>
  <c r="M44" i="7"/>
  <c r="O5" i="15"/>
  <c r="O35" i="15" s="1"/>
  <c r="O44" i="7"/>
  <c r="AE44" i="7"/>
  <c r="Q5" i="15"/>
  <c r="Q35" i="15" s="1"/>
  <c r="Q44" i="7"/>
  <c r="S5" i="15"/>
  <c r="S35" i="15" s="1"/>
  <c r="S44" i="7"/>
  <c r="E5" i="15"/>
  <c r="E35" i="15" s="1"/>
  <c r="E44" i="7"/>
  <c r="C44" i="7"/>
  <c r="AG44" i="7"/>
  <c r="U44" i="7"/>
  <c r="G5" i="15"/>
  <c r="G35" i="15" s="1"/>
  <c r="G44" i="7"/>
  <c r="W44" i="7"/>
  <c r="V64" i="1"/>
  <c r="V65" i="1" s="1"/>
  <c r="V66" i="1" s="1"/>
  <c r="X64" i="1"/>
  <c r="X65" i="1" s="1"/>
  <c r="X66" i="1" s="1"/>
  <c r="L64" i="1"/>
  <c r="L65" i="1" s="1"/>
  <c r="L66" i="1" s="1"/>
  <c r="AB64" i="1"/>
  <c r="AB65" i="1" s="1"/>
  <c r="AB66" i="1" s="1"/>
  <c r="P64" i="1"/>
  <c r="P65" i="1" s="1"/>
  <c r="P66" i="1" s="1"/>
  <c r="AF64" i="1"/>
  <c r="AF65" i="1" s="1"/>
  <c r="AF66" i="1" s="1"/>
  <c r="N64" i="1"/>
  <c r="N65" i="1" s="1"/>
  <c r="N66" i="1" s="1"/>
  <c r="AD64" i="1"/>
  <c r="AD65" i="1" s="1"/>
  <c r="AD66" i="1" s="1"/>
  <c r="R64" i="1"/>
  <c r="R65" i="1" s="1"/>
  <c r="R66" i="1" s="1"/>
  <c r="AH64" i="1"/>
  <c r="AH65" i="1" s="1"/>
  <c r="AH66" i="1" s="1"/>
  <c r="T64" i="1"/>
  <c r="T65" i="1" s="1"/>
  <c r="T66" i="1" s="1"/>
  <c r="J64" i="1"/>
  <c r="J65" i="1" s="1"/>
  <c r="Z64" i="1"/>
  <c r="Z65" i="1" s="1"/>
  <c r="Z66" i="1" s="1"/>
  <c r="F64" i="1"/>
  <c r="AF49" i="8"/>
  <c r="E59" i="8"/>
  <c r="AH59" i="8" s="1"/>
  <c r="E58" i="8"/>
  <c r="AH58" i="8" s="1"/>
  <c r="AK58" i="8" s="1"/>
  <c r="E62" i="8"/>
  <c r="AH62" i="8" s="1"/>
  <c r="E61" i="8"/>
  <c r="AH61" i="8" s="1"/>
  <c r="AK61" i="8" s="1"/>
  <c r="E65" i="8"/>
  <c r="E64" i="8"/>
  <c r="AH64" i="8" s="1"/>
  <c r="AK64" i="8" s="1"/>
  <c r="D56" i="7"/>
  <c r="D79" i="7"/>
  <c r="E109" i="17"/>
  <c r="AH68" i="8"/>
  <c r="AH67" i="8"/>
  <c r="AK67" i="8" s="1"/>
  <c r="E80" i="8"/>
  <c r="AH80" i="8" s="1"/>
  <c r="E79" i="8"/>
  <c r="AH79" i="8" s="1"/>
  <c r="AK79" i="8" s="1"/>
  <c r="E83" i="8"/>
  <c r="AH83" i="8" s="1"/>
  <c r="E82" i="8"/>
  <c r="AH82" i="8" s="1"/>
  <c r="AK82" i="8" s="1"/>
  <c r="E71" i="8"/>
  <c r="AH71" i="8" s="1"/>
  <c r="E70" i="8"/>
  <c r="E74" i="8"/>
  <c r="AH74" i="8" s="1"/>
  <c r="E73" i="8"/>
  <c r="AH73" i="8" s="1"/>
  <c r="AK73" i="8" s="1"/>
  <c r="BN33" i="1"/>
  <c r="E13" i="8" s="1"/>
  <c r="R149" i="1"/>
  <c r="AH146" i="1"/>
  <c r="AH149" i="1" s="1"/>
  <c r="T146" i="1"/>
  <c r="T149" i="1" s="1"/>
  <c r="X146" i="1"/>
  <c r="X149" i="1" s="1"/>
  <c r="BN125" i="1"/>
  <c r="BN144" i="1"/>
  <c r="E99" i="8" s="1"/>
  <c r="BN145" i="1"/>
  <c r="BN124" i="1"/>
  <c r="E93" i="8" s="1"/>
  <c r="J146" i="1"/>
  <c r="J149" i="1" s="1"/>
  <c r="Z146" i="1"/>
  <c r="Z149" i="1" s="1"/>
  <c r="L146" i="1"/>
  <c r="L149" i="1" s="1"/>
  <c r="AB146" i="1"/>
  <c r="AB149" i="1" s="1"/>
  <c r="BN134" i="1"/>
  <c r="E96" i="8" s="1"/>
  <c r="AH96" i="8" s="1"/>
  <c r="AK96" i="8" s="1"/>
  <c r="P146" i="1"/>
  <c r="P149" i="1" s="1"/>
  <c r="AF146" i="1"/>
  <c r="AF149" i="1" s="1"/>
  <c r="BN135" i="1"/>
  <c r="N146" i="1"/>
  <c r="N149" i="1" s="1"/>
  <c r="AD146" i="1"/>
  <c r="AD149" i="1" s="1"/>
  <c r="BN104" i="1"/>
  <c r="E87" i="8" s="1"/>
  <c r="AH87" i="8" s="1"/>
  <c r="AK87" i="8" s="1"/>
  <c r="V146" i="1"/>
  <c r="V149" i="1" s="1"/>
  <c r="H146" i="1"/>
  <c r="H149" i="1" s="1"/>
  <c r="BN114" i="1"/>
  <c r="E90" i="8" s="1"/>
  <c r="AH90" i="8" s="1"/>
  <c r="AK90" i="8" s="1"/>
  <c r="D58" i="7"/>
  <c r="BN61" i="1"/>
  <c r="E41" i="8" s="1"/>
  <c r="D74" i="15" s="1"/>
  <c r="BN60" i="1"/>
  <c r="E40" i="8" s="1"/>
  <c r="D73" i="15" s="1"/>
  <c r="BN56" i="1"/>
  <c r="E36" i="8" s="1"/>
  <c r="D69" i="15" s="1"/>
  <c r="BN41" i="1"/>
  <c r="E21" i="8" s="1"/>
  <c r="D54" i="15" s="1"/>
  <c r="BN49" i="1"/>
  <c r="E29" i="8" s="1"/>
  <c r="D62" i="15" s="1"/>
  <c r="BN57" i="1"/>
  <c r="E37" i="8" s="1"/>
  <c r="D70" i="15" s="1"/>
  <c r="BN38" i="1"/>
  <c r="E18" i="8" s="1"/>
  <c r="D51" i="15" s="1"/>
  <c r="BN40" i="1"/>
  <c r="E20" i="8" s="1"/>
  <c r="D53" i="15" s="1"/>
  <c r="BN53" i="1"/>
  <c r="E33" i="8" s="1"/>
  <c r="D66" i="15" s="1"/>
  <c r="BN34" i="1"/>
  <c r="E14" i="8" s="1"/>
  <c r="BN35" i="1"/>
  <c r="E15" i="8" s="1"/>
  <c r="BN39" i="1"/>
  <c r="E19" i="8" s="1"/>
  <c r="D52" i="15" s="1"/>
  <c r="BN42" i="1"/>
  <c r="E22" i="8" s="1"/>
  <c r="D55" i="15" s="1"/>
  <c r="BN43" i="1"/>
  <c r="E23" i="8" s="1"/>
  <c r="D56" i="15" s="1"/>
  <c r="BN44" i="1"/>
  <c r="E24" i="8" s="1"/>
  <c r="D57" i="15" s="1"/>
  <c r="BN47" i="1"/>
  <c r="E27" i="8" s="1"/>
  <c r="D60" i="15" s="1"/>
  <c r="BN51" i="1"/>
  <c r="E31" i="8" s="1"/>
  <c r="D64" i="15" s="1"/>
  <c r="BN54" i="1"/>
  <c r="E34" i="8" s="1"/>
  <c r="D67" i="15" s="1"/>
  <c r="BN55" i="1"/>
  <c r="E35" i="8" s="1"/>
  <c r="D68" i="15" s="1"/>
  <c r="BN36" i="1"/>
  <c r="BN37" i="1"/>
  <c r="BN45" i="1"/>
  <c r="E25" i="8" s="1"/>
  <c r="D58" i="15" s="1"/>
  <c r="BN46" i="1"/>
  <c r="E26" i="8" s="1"/>
  <c r="D59" i="15" s="1"/>
  <c r="BN48" i="1"/>
  <c r="E28" i="8" s="1"/>
  <c r="D61" i="15" s="1"/>
  <c r="BN50" i="1"/>
  <c r="E30" i="8" s="1"/>
  <c r="D63" i="15" s="1"/>
  <c r="BN52" i="1"/>
  <c r="E32" i="8" s="1"/>
  <c r="D65" i="15" s="1"/>
  <c r="BN59" i="1"/>
  <c r="E39" i="8" s="1"/>
  <c r="D72" i="15" s="1"/>
  <c r="BN58" i="1"/>
  <c r="E38" i="8" s="1"/>
  <c r="D71" i="15" s="1"/>
  <c r="BN62" i="1"/>
  <c r="E42" i="8" s="1"/>
  <c r="D75" i="15" s="1"/>
  <c r="BM66" i="1"/>
  <c r="V38" i="7"/>
  <c r="D70" i="7"/>
  <c r="H13" i="7"/>
  <c r="D68" i="7"/>
  <c r="D66" i="7"/>
  <c r="L15" i="7"/>
  <c r="L7" i="15" s="1"/>
  <c r="D64" i="7"/>
  <c r="D62" i="7"/>
  <c r="AF13" i="7"/>
  <c r="D60" i="7"/>
  <c r="N37" i="7"/>
  <c r="N29" i="15" s="1"/>
  <c r="AD17" i="7"/>
  <c r="R13" i="7"/>
  <c r="AH91" i="7"/>
  <c r="R91" i="7"/>
  <c r="AH88" i="7"/>
  <c r="R88" i="7"/>
  <c r="AH85" i="7"/>
  <c r="R85" i="7"/>
  <c r="AH82" i="7"/>
  <c r="R82" i="7"/>
  <c r="AH79" i="7"/>
  <c r="R79" i="7"/>
  <c r="T88" i="7"/>
  <c r="T79" i="7"/>
  <c r="AF91" i="7"/>
  <c r="P91" i="7"/>
  <c r="AF88" i="7"/>
  <c r="P88" i="7"/>
  <c r="AF85" i="7"/>
  <c r="P85" i="7"/>
  <c r="AF82" i="7"/>
  <c r="P82" i="7"/>
  <c r="AF79" i="7"/>
  <c r="P79" i="7"/>
  <c r="T85" i="7"/>
  <c r="AD91" i="7"/>
  <c r="N91" i="7"/>
  <c r="AD88" i="7"/>
  <c r="N88" i="7"/>
  <c r="AD85" i="7"/>
  <c r="N85" i="7"/>
  <c r="AD82" i="7"/>
  <c r="N82" i="7"/>
  <c r="AD79" i="7"/>
  <c r="N79" i="7"/>
  <c r="T91" i="7"/>
  <c r="D82" i="7"/>
  <c r="AB91" i="7"/>
  <c r="L91" i="7"/>
  <c r="AB88" i="7"/>
  <c r="L88" i="7"/>
  <c r="AB85" i="7"/>
  <c r="L85" i="7"/>
  <c r="AB82" i="7"/>
  <c r="L82" i="7"/>
  <c r="AB79" i="7"/>
  <c r="L79" i="7"/>
  <c r="D85" i="7"/>
  <c r="Z91" i="7"/>
  <c r="J91" i="7"/>
  <c r="Z88" i="7"/>
  <c r="J88" i="7"/>
  <c r="Z85" i="7"/>
  <c r="J85" i="7"/>
  <c r="Z82" i="7"/>
  <c r="J82" i="7"/>
  <c r="Z79" i="7"/>
  <c r="J79" i="7"/>
  <c r="D91" i="7"/>
  <c r="X91" i="7"/>
  <c r="H91" i="7"/>
  <c r="X88" i="7"/>
  <c r="H88" i="7"/>
  <c r="X85" i="7"/>
  <c r="H85" i="7"/>
  <c r="X82" i="7"/>
  <c r="H82" i="7"/>
  <c r="X79" i="7"/>
  <c r="H79" i="7"/>
  <c r="D88" i="7"/>
  <c r="V91" i="7"/>
  <c r="F91" i="7"/>
  <c r="V88" i="7"/>
  <c r="F88" i="7"/>
  <c r="V85" i="7"/>
  <c r="F85" i="7"/>
  <c r="V82" i="7"/>
  <c r="F82" i="7"/>
  <c r="V79" i="7"/>
  <c r="F79" i="7"/>
  <c r="T82" i="7"/>
  <c r="T72" i="7"/>
  <c r="AH58" i="7"/>
  <c r="R72" i="7"/>
  <c r="AD58" i="7"/>
  <c r="V64" i="7"/>
  <c r="Z58" i="7"/>
  <c r="X66" i="7"/>
  <c r="AD64" i="7"/>
  <c r="AD62" i="7"/>
  <c r="AH60" i="7"/>
  <c r="N74" i="7"/>
  <c r="N58" i="7"/>
  <c r="L60" i="7"/>
  <c r="J62" i="7"/>
  <c r="H64" i="7"/>
  <c r="F66" i="7"/>
  <c r="Z66" i="7"/>
  <c r="F68" i="7"/>
  <c r="AH74" i="7"/>
  <c r="AD74" i="7"/>
  <c r="P74" i="7"/>
  <c r="V66" i="7"/>
  <c r="T66" i="7"/>
  <c r="V62" i="7"/>
  <c r="X58" i="7"/>
  <c r="AB64" i="7"/>
  <c r="AB62" i="7"/>
  <c r="R62" i="7"/>
  <c r="AF66" i="7"/>
  <c r="N72" i="7"/>
  <c r="L74" i="7"/>
  <c r="L58" i="7"/>
  <c r="J60" i="7"/>
  <c r="H62" i="7"/>
  <c r="F64" i="7"/>
  <c r="X68" i="7"/>
  <c r="AB74" i="7"/>
  <c r="AH70" i="7"/>
  <c r="T68" i="7"/>
  <c r="R68" i="7"/>
  <c r="T64" i="7"/>
  <c r="V60" i="7"/>
  <c r="Z64" i="7"/>
  <c r="Z62" i="7"/>
  <c r="X60" i="7"/>
  <c r="AH64" i="7"/>
  <c r="N70" i="7"/>
  <c r="L72" i="7"/>
  <c r="J74" i="7"/>
  <c r="J58" i="7"/>
  <c r="H60" i="7"/>
  <c r="F62" i="7"/>
  <c r="R60" i="7"/>
  <c r="V70" i="7"/>
  <c r="Z74" i="7"/>
  <c r="AF72" i="7"/>
  <c r="AD70" i="7"/>
  <c r="P70" i="7"/>
  <c r="R66" i="7"/>
  <c r="T62" i="7"/>
  <c r="X64" i="7"/>
  <c r="X62" i="7"/>
  <c r="P62" i="7"/>
  <c r="AD60" i="7"/>
  <c r="AF68" i="7"/>
  <c r="N68" i="7"/>
  <c r="L70" i="7"/>
  <c r="J72" i="7"/>
  <c r="H74" i="7"/>
  <c r="H58" i="7"/>
  <c r="F60" i="7"/>
  <c r="AF64" i="7"/>
  <c r="AH72" i="7"/>
  <c r="X74" i="7"/>
  <c r="AD72" i="7"/>
  <c r="AB70" i="7"/>
  <c r="AD68" i="7"/>
  <c r="P68" i="7"/>
  <c r="R64" i="7"/>
  <c r="V74" i="7"/>
  <c r="V72" i="7"/>
  <c r="P72" i="7"/>
  <c r="R58" i="7"/>
  <c r="AH66" i="7"/>
  <c r="N66" i="7"/>
  <c r="L68" i="7"/>
  <c r="J70" i="7"/>
  <c r="H72" i="7"/>
  <c r="F74" i="7"/>
  <c r="F58" i="7"/>
  <c r="X72" i="7"/>
  <c r="H66" i="7"/>
  <c r="P64" i="7"/>
  <c r="AF58" i="7"/>
  <c r="AB72" i="7"/>
  <c r="Z70" i="7"/>
  <c r="AB68" i="7"/>
  <c r="AD66" i="7"/>
  <c r="P66" i="7"/>
  <c r="V58" i="7"/>
  <c r="T74" i="7"/>
  <c r="Z60" i="7"/>
  <c r="AB60" i="7"/>
  <c r="R70" i="7"/>
  <c r="AF70" i="7"/>
  <c r="N64" i="7"/>
  <c r="L66" i="7"/>
  <c r="J68" i="7"/>
  <c r="H70" i="7"/>
  <c r="F72" i="7"/>
  <c r="AB58" i="7"/>
  <c r="P60" i="7"/>
  <c r="P58" i="7"/>
  <c r="V68" i="7"/>
  <c r="Z72" i="7"/>
  <c r="X70" i="7"/>
  <c r="Z68" i="7"/>
  <c r="AB66" i="7"/>
  <c r="AH62" i="7"/>
  <c r="T60" i="7"/>
  <c r="T58" i="7"/>
  <c r="AF60" i="7"/>
  <c r="AH68" i="7"/>
  <c r="N62" i="7"/>
  <c r="L64" i="7"/>
  <c r="J66" i="7"/>
  <c r="H68" i="7"/>
  <c r="F70" i="7"/>
  <c r="R74" i="7"/>
  <c r="T70" i="7"/>
  <c r="AF62" i="7"/>
  <c r="AF74" i="7"/>
  <c r="N60" i="7"/>
  <c r="L62" i="7"/>
  <c r="J64" i="7"/>
  <c r="T13" i="7"/>
  <c r="D72" i="7"/>
  <c r="D74" i="7"/>
  <c r="AD15" i="7"/>
  <c r="H14" i="7"/>
  <c r="H6" i="15" s="1"/>
  <c r="N19" i="7"/>
  <c r="N11" i="15" s="1"/>
  <c r="X18" i="7"/>
  <c r="H15" i="7"/>
  <c r="H7" i="15" s="1"/>
  <c r="X24" i="7"/>
  <c r="F20" i="7"/>
  <c r="F12" i="15" s="1"/>
  <c r="V15" i="7"/>
  <c r="V13" i="7"/>
  <c r="F31" i="7"/>
  <c r="F23" i="15" s="1"/>
  <c r="H21" i="7"/>
  <c r="H13" i="15" s="1"/>
  <c r="F21" i="7"/>
  <c r="F13" i="15" s="1"/>
  <c r="X26" i="7"/>
  <c r="F14" i="7"/>
  <c r="F6" i="15" s="1"/>
  <c r="N32" i="7"/>
  <c r="N24" i="15" s="1"/>
  <c r="X42" i="7"/>
  <c r="AH65" i="8"/>
  <c r="AF27" i="7"/>
  <c r="L42" i="7"/>
  <c r="L34" i="15" s="1"/>
  <c r="L40" i="7"/>
  <c r="L32" i="15" s="1"/>
  <c r="L38" i="7"/>
  <c r="L30" i="15" s="1"/>
  <c r="L36" i="7"/>
  <c r="L28" i="15" s="1"/>
  <c r="L34" i="7"/>
  <c r="L26" i="15" s="1"/>
  <c r="L32" i="7"/>
  <c r="L24" i="15" s="1"/>
  <c r="L30" i="7"/>
  <c r="L22" i="15" s="1"/>
  <c r="L28" i="7"/>
  <c r="L20" i="15" s="1"/>
  <c r="L56" i="7"/>
  <c r="L31" i="7"/>
  <c r="L23" i="15" s="1"/>
  <c r="L41" i="7"/>
  <c r="L33" i="15" s="1"/>
  <c r="L35" i="7"/>
  <c r="L27" i="15" s="1"/>
  <c r="L26" i="7"/>
  <c r="L18" i="15" s="1"/>
  <c r="L24" i="7"/>
  <c r="L16" i="15" s="1"/>
  <c r="L22" i="7"/>
  <c r="L14" i="15" s="1"/>
  <c r="L20" i="7"/>
  <c r="L12" i="15" s="1"/>
  <c r="L18" i="7"/>
  <c r="L10" i="15" s="1"/>
  <c r="L16" i="7"/>
  <c r="L8" i="15" s="1"/>
  <c r="L14" i="7"/>
  <c r="L6" i="15" s="1"/>
  <c r="L29" i="7"/>
  <c r="L21" i="15" s="1"/>
  <c r="L39" i="7"/>
  <c r="L31" i="15" s="1"/>
  <c r="L37" i="7"/>
  <c r="L29" i="15" s="1"/>
  <c r="L17" i="7"/>
  <c r="L9" i="15" s="1"/>
  <c r="L19" i="7"/>
  <c r="L11" i="15" s="1"/>
  <c r="L21" i="7"/>
  <c r="L13" i="15" s="1"/>
  <c r="L27" i="7"/>
  <c r="L19" i="15" s="1"/>
  <c r="L25" i="7"/>
  <c r="L17" i="15" s="1"/>
  <c r="L23" i="7"/>
  <c r="L15" i="15" s="1"/>
  <c r="L33" i="7"/>
  <c r="L25" i="15" s="1"/>
  <c r="T23" i="7"/>
  <c r="AB56" i="7"/>
  <c r="P56" i="7"/>
  <c r="P41" i="7"/>
  <c r="P33" i="15" s="1"/>
  <c r="P39" i="7"/>
  <c r="P31" i="15" s="1"/>
  <c r="P37" i="7"/>
  <c r="P29" i="15" s="1"/>
  <c r="P35" i="7"/>
  <c r="P27" i="15" s="1"/>
  <c r="P33" i="7"/>
  <c r="P25" i="15" s="1"/>
  <c r="P31" i="7"/>
  <c r="P23" i="15" s="1"/>
  <c r="P29" i="7"/>
  <c r="P21" i="15" s="1"/>
  <c r="P27" i="7"/>
  <c r="P19" i="15" s="1"/>
  <c r="P34" i="7"/>
  <c r="P26" i="15" s="1"/>
  <c r="P28" i="7"/>
  <c r="P20" i="15" s="1"/>
  <c r="P42" i="7"/>
  <c r="P34" i="15" s="1"/>
  <c r="P38" i="7"/>
  <c r="P30" i="15" s="1"/>
  <c r="P25" i="7"/>
  <c r="P17" i="15" s="1"/>
  <c r="P23" i="7"/>
  <c r="P15" i="15" s="1"/>
  <c r="P21" i="7"/>
  <c r="P13" i="15" s="1"/>
  <c r="P19" i="7"/>
  <c r="P11" i="15" s="1"/>
  <c r="P17" i="7"/>
  <c r="P9" i="15" s="1"/>
  <c r="P15" i="7"/>
  <c r="P7" i="15" s="1"/>
  <c r="P13" i="7"/>
  <c r="P32" i="7"/>
  <c r="P24" i="15" s="1"/>
  <c r="P40" i="7"/>
  <c r="P32" i="15" s="1"/>
  <c r="P30" i="7"/>
  <c r="P22" i="15" s="1"/>
  <c r="P14" i="7"/>
  <c r="P6" i="15" s="1"/>
  <c r="P36" i="7"/>
  <c r="P28" i="15" s="1"/>
  <c r="P26" i="7"/>
  <c r="P18" i="15" s="1"/>
  <c r="P24" i="7"/>
  <c r="P16" i="15" s="1"/>
  <c r="P16" i="7"/>
  <c r="P8" i="15" s="1"/>
  <c r="P18" i="7"/>
  <c r="P10" i="15" s="1"/>
  <c r="P20" i="7"/>
  <c r="P12" i="15" s="1"/>
  <c r="AF42" i="7"/>
  <c r="AF40" i="7"/>
  <c r="AF56" i="7"/>
  <c r="AF41" i="7"/>
  <c r="AF39" i="7"/>
  <c r="AF31" i="7"/>
  <c r="AF26" i="7"/>
  <c r="AF24" i="7"/>
  <c r="AF22" i="7"/>
  <c r="AF20" i="7"/>
  <c r="AF18" i="7"/>
  <c r="AF16" i="7"/>
  <c r="AF14" i="7"/>
  <c r="AF36" i="7"/>
  <c r="AF35" i="7"/>
  <c r="AF30" i="7"/>
  <c r="AF29" i="7"/>
  <c r="AF34" i="7"/>
  <c r="AF25" i="7"/>
  <c r="AF23" i="7"/>
  <c r="AF38" i="7"/>
  <c r="AF37" i="7"/>
  <c r="AF32" i="7"/>
  <c r="AF15" i="7"/>
  <c r="AF17" i="7"/>
  <c r="AF19" i="7"/>
  <c r="AF33" i="7"/>
  <c r="AF21" i="7"/>
  <c r="AF28" i="7"/>
  <c r="R56" i="7"/>
  <c r="R41" i="7"/>
  <c r="R33" i="15" s="1"/>
  <c r="R39" i="7"/>
  <c r="R31" i="15" s="1"/>
  <c r="R42" i="7"/>
  <c r="R34" i="15" s="1"/>
  <c r="R40" i="7"/>
  <c r="R32" i="15" s="1"/>
  <c r="R38" i="7"/>
  <c r="R30" i="15" s="1"/>
  <c r="R33" i="7"/>
  <c r="R25" i="15" s="1"/>
  <c r="R25" i="7"/>
  <c r="R17" i="15" s="1"/>
  <c r="R23" i="7"/>
  <c r="R15" i="15" s="1"/>
  <c r="R21" i="7"/>
  <c r="R13" i="15" s="1"/>
  <c r="R19" i="7"/>
  <c r="R11" i="15" s="1"/>
  <c r="R17" i="7"/>
  <c r="R9" i="15" s="1"/>
  <c r="R15" i="7"/>
  <c r="R7" i="15" s="1"/>
  <c r="R32" i="7"/>
  <c r="R24" i="15" s="1"/>
  <c r="R27" i="7"/>
  <c r="R19" i="15" s="1"/>
  <c r="R37" i="7"/>
  <c r="R29" i="15" s="1"/>
  <c r="R36" i="7"/>
  <c r="R28" i="15" s="1"/>
  <c r="R31" i="7"/>
  <c r="R23" i="15" s="1"/>
  <c r="R30" i="7"/>
  <c r="R22" i="15" s="1"/>
  <c r="R26" i="7"/>
  <c r="R18" i="15" s="1"/>
  <c r="R24" i="7"/>
  <c r="R16" i="15" s="1"/>
  <c r="R34" i="7"/>
  <c r="R26" i="15" s="1"/>
  <c r="R29" i="7"/>
  <c r="R21" i="15" s="1"/>
  <c r="R28" i="7"/>
  <c r="R20" i="15" s="1"/>
  <c r="R14" i="7"/>
  <c r="R6" i="15" s="1"/>
  <c r="R16" i="7"/>
  <c r="R8" i="15" s="1"/>
  <c r="R18" i="7"/>
  <c r="R10" i="15" s="1"/>
  <c r="R20" i="7"/>
  <c r="R12" i="15" s="1"/>
  <c r="R22" i="7"/>
  <c r="R14" i="15" s="1"/>
  <c r="R35" i="7"/>
  <c r="R27" i="15" s="1"/>
  <c r="AH56" i="7"/>
  <c r="L13" i="7"/>
  <c r="T56" i="7"/>
  <c r="T42" i="7"/>
  <c r="T40" i="7"/>
  <c r="T38" i="7"/>
  <c r="T36" i="7"/>
  <c r="T34" i="7"/>
  <c r="T32" i="7"/>
  <c r="T30" i="7"/>
  <c r="T28" i="7"/>
  <c r="T37" i="7"/>
  <c r="T31" i="7"/>
  <c r="T26" i="7"/>
  <c r="T24" i="7"/>
  <c r="T22" i="7"/>
  <c r="T20" i="7"/>
  <c r="T18" i="7"/>
  <c r="T16" i="7"/>
  <c r="T14" i="7"/>
  <c r="T35" i="7"/>
  <c r="T41" i="7"/>
  <c r="T29" i="7"/>
  <c r="T33" i="7"/>
  <c r="T39" i="7"/>
  <c r="T27" i="7"/>
  <c r="T15" i="7"/>
  <c r="T17" i="7"/>
  <c r="T19" i="7"/>
  <c r="T21" i="7"/>
  <c r="T25" i="7"/>
  <c r="P22" i="7"/>
  <c r="P14" i="15" s="1"/>
  <c r="X16" i="7"/>
  <c r="N17" i="7"/>
  <c r="N9" i="15" s="1"/>
  <c r="F19" i="7"/>
  <c r="F11" i="15" s="1"/>
  <c r="F22" i="7"/>
  <c r="F14" i="15" s="1"/>
  <c r="N13" i="7"/>
  <c r="X14" i="7"/>
  <c r="N15" i="7"/>
  <c r="N7" i="15" s="1"/>
  <c r="F17" i="7"/>
  <c r="F9" i="15" s="1"/>
  <c r="AD21" i="7"/>
  <c r="V27" i="7"/>
  <c r="F13" i="7"/>
  <c r="F42" i="7"/>
  <c r="F34" i="15" s="1"/>
  <c r="F34" i="7"/>
  <c r="F26" i="15" s="1"/>
  <c r="F29" i="7"/>
  <c r="F21" i="15" s="1"/>
  <c r="F39" i="7"/>
  <c r="F31" i="15" s="1"/>
  <c r="F28" i="7"/>
  <c r="F20" i="15" s="1"/>
  <c r="F56" i="7"/>
  <c r="F38" i="7"/>
  <c r="F30" i="15" s="1"/>
  <c r="F33" i="7"/>
  <c r="F25" i="15" s="1"/>
  <c r="F40" i="7"/>
  <c r="F32" i="15" s="1"/>
  <c r="F32" i="7"/>
  <c r="F24" i="15" s="1"/>
  <c r="F27" i="7"/>
  <c r="F19" i="15" s="1"/>
  <c r="F25" i="7"/>
  <c r="F17" i="15" s="1"/>
  <c r="F37" i="7"/>
  <c r="F29" i="15" s="1"/>
  <c r="F41" i="7"/>
  <c r="F33" i="15" s="1"/>
  <c r="F30" i="7"/>
  <c r="F22" i="15" s="1"/>
  <c r="F35" i="7"/>
  <c r="F27" i="15" s="1"/>
  <c r="F26" i="7"/>
  <c r="F18" i="15" s="1"/>
  <c r="V42" i="7"/>
  <c r="V40" i="7"/>
  <c r="V41" i="7"/>
  <c r="V39" i="7"/>
  <c r="V36" i="7"/>
  <c r="V26" i="7"/>
  <c r="V24" i="7"/>
  <c r="V22" i="7"/>
  <c r="V20" i="7"/>
  <c r="V18" i="7"/>
  <c r="V16" i="7"/>
  <c r="V14" i="7"/>
  <c r="V56" i="7"/>
  <c r="V35" i="7"/>
  <c r="V30" i="7"/>
  <c r="V29" i="7"/>
  <c r="V34" i="7"/>
  <c r="V33" i="7"/>
  <c r="V28" i="7"/>
  <c r="V25" i="7"/>
  <c r="V23" i="7"/>
  <c r="V37" i="7"/>
  <c r="V32" i="7"/>
  <c r="V31" i="7"/>
  <c r="H56" i="7"/>
  <c r="H42" i="7"/>
  <c r="H34" i="15" s="1"/>
  <c r="H38" i="7"/>
  <c r="H30" i="15" s="1"/>
  <c r="H33" i="7"/>
  <c r="H25" i="15" s="1"/>
  <c r="H40" i="7"/>
  <c r="H32" i="15" s="1"/>
  <c r="H32" i="7"/>
  <c r="H24" i="15" s="1"/>
  <c r="H27" i="7"/>
  <c r="H19" i="15" s="1"/>
  <c r="H25" i="7"/>
  <c r="H17" i="15" s="1"/>
  <c r="H23" i="7"/>
  <c r="H15" i="15" s="1"/>
  <c r="H37" i="7"/>
  <c r="H29" i="15" s="1"/>
  <c r="H36" i="7"/>
  <c r="H28" i="15" s="1"/>
  <c r="H31" i="7"/>
  <c r="H23" i="15" s="1"/>
  <c r="H41" i="7"/>
  <c r="H33" i="15" s="1"/>
  <c r="H30" i="7"/>
  <c r="H22" i="15" s="1"/>
  <c r="H34" i="7"/>
  <c r="H26" i="15" s="1"/>
  <c r="H29" i="7"/>
  <c r="H21" i="15" s="1"/>
  <c r="H39" i="7"/>
  <c r="H31" i="15" s="1"/>
  <c r="H28" i="7"/>
  <c r="H20" i="15" s="1"/>
  <c r="X41" i="7"/>
  <c r="X39" i="7"/>
  <c r="X37" i="7"/>
  <c r="X35" i="7"/>
  <c r="X33" i="7"/>
  <c r="X31" i="7"/>
  <c r="X29" i="7"/>
  <c r="X27" i="7"/>
  <c r="X56" i="7"/>
  <c r="X34" i="7"/>
  <c r="X28" i="7"/>
  <c r="X25" i="7"/>
  <c r="X23" i="7"/>
  <c r="X21" i="7"/>
  <c r="X19" i="7"/>
  <c r="X17" i="7"/>
  <c r="X15" i="7"/>
  <c r="X13" i="7"/>
  <c r="X38" i="7"/>
  <c r="X32" i="7"/>
  <c r="X36" i="7"/>
  <c r="X40" i="7"/>
  <c r="X30" i="7"/>
  <c r="F15" i="7"/>
  <c r="F7" i="15" s="1"/>
  <c r="F18" i="7"/>
  <c r="F10" i="15" s="1"/>
  <c r="H19" i="7"/>
  <c r="H11" i="15" s="1"/>
  <c r="AD19" i="7"/>
  <c r="H22" i="7"/>
  <c r="H14" i="15" s="1"/>
  <c r="AD29" i="7"/>
  <c r="H35" i="7"/>
  <c r="H27" i="15" s="1"/>
  <c r="F16" i="7"/>
  <c r="F8" i="15" s="1"/>
  <c r="H17" i="7"/>
  <c r="H9" i="15" s="1"/>
  <c r="H20" i="7"/>
  <c r="H12" i="15" s="1"/>
  <c r="F24" i="7"/>
  <c r="F16" i="15" s="1"/>
  <c r="H18" i="7"/>
  <c r="H10" i="15" s="1"/>
  <c r="V21" i="7"/>
  <c r="F36" i="7"/>
  <c r="F28" i="15" s="1"/>
  <c r="N42" i="7"/>
  <c r="N34" i="15" s="1"/>
  <c r="N40" i="7"/>
  <c r="N32" i="15" s="1"/>
  <c r="N56" i="7"/>
  <c r="N41" i="7"/>
  <c r="N33" i="15" s="1"/>
  <c r="N39" i="7"/>
  <c r="N31" i="15" s="1"/>
  <c r="N35" i="7"/>
  <c r="N27" i="15" s="1"/>
  <c r="N30" i="7"/>
  <c r="N22" i="15" s="1"/>
  <c r="N26" i="7"/>
  <c r="N18" i="15" s="1"/>
  <c r="N24" i="7"/>
  <c r="N16" i="15" s="1"/>
  <c r="N22" i="7"/>
  <c r="N14" i="15" s="1"/>
  <c r="N20" i="7"/>
  <c r="N12" i="15" s="1"/>
  <c r="N18" i="7"/>
  <c r="N10" i="15" s="1"/>
  <c r="N16" i="7"/>
  <c r="N8" i="15" s="1"/>
  <c r="N14" i="7"/>
  <c r="N6" i="15" s="1"/>
  <c r="N29" i="7"/>
  <c r="N21" i="15" s="1"/>
  <c r="N34" i="7"/>
  <c r="N26" i="15" s="1"/>
  <c r="N33" i="7"/>
  <c r="N25" i="15" s="1"/>
  <c r="N28" i="7"/>
  <c r="N20" i="15" s="1"/>
  <c r="N38" i="7"/>
  <c r="N30" i="15" s="1"/>
  <c r="N27" i="7"/>
  <c r="N19" i="15" s="1"/>
  <c r="N25" i="7"/>
  <c r="N17" i="15" s="1"/>
  <c r="N23" i="7"/>
  <c r="N15" i="15" s="1"/>
  <c r="N31" i="7"/>
  <c r="N23" i="15" s="1"/>
  <c r="N36" i="7"/>
  <c r="N28" i="15" s="1"/>
  <c r="AD56" i="7"/>
  <c r="AD42" i="7"/>
  <c r="AD40" i="7"/>
  <c r="AD38" i="7"/>
  <c r="AD36" i="7"/>
  <c r="AD34" i="7"/>
  <c r="AD32" i="7"/>
  <c r="AD30" i="7"/>
  <c r="AD28" i="7"/>
  <c r="AD27" i="7"/>
  <c r="AD39" i="7"/>
  <c r="AD37" i="7"/>
  <c r="AD31" i="7"/>
  <c r="AD26" i="7"/>
  <c r="AD24" i="7"/>
  <c r="AD22" i="7"/>
  <c r="AD20" i="7"/>
  <c r="AD18" i="7"/>
  <c r="AD16" i="7"/>
  <c r="AD14" i="7"/>
  <c r="AD35" i="7"/>
  <c r="AD41" i="7"/>
  <c r="AD33" i="7"/>
  <c r="AD13" i="7"/>
  <c r="H16" i="7"/>
  <c r="H8" i="15" s="1"/>
  <c r="V19" i="7"/>
  <c r="X22" i="7"/>
  <c r="AD23" i="7"/>
  <c r="H24" i="7"/>
  <c r="H16" i="15" s="1"/>
  <c r="H26" i="7"/>
  <c r="H18" i="15" s="1"/>
  <c r="V17" i="7"/>
  <c r="X20" i="7"/>
  <c r="N21" i="7"/>
  <c r="N13" i="15" s="1"/>
  <c r="F23" i="7"/>
  <c r="F15" i="15" s="1"/>
  <c r="AD25" i="7"/>
  <c r="J56" i="7"/>
  <c r="Z56" i="7"/>
  <c r="L30" i="8"/>
  <c r="L19" i="8"/>
  <c r="I19" i="8"/>
  <c r="J17" i="8"/>
  <c r="AG17" i="8" s="1"/>
  <c r="J345" i="17" s="1"/>
  <c r="J346" i="17" s="1"/>
  <c r="AI17" i="7"/>
  <c r="I22" i="8"/>
  <c r="J23" i="8"/>
  <c r="AG23" i="8" s="1"/>
  <c r="P345" i="17" s="1"/>
  <c r="P346" i="17" s="1"/>
  <c r="AI23" i="7"/>
  <c r="J28" i="8"/>
  <c r="AG28" i="8" s="1"/>
  <c r="U345" i="17" s="1"/>
  <c r="U346" i="17" s="1"/>
  <c r="AI28" i="7"/>
  <c r="I36" i="8"/>
  <c r="L38" i="8"/>
  <c r="I16" i="8"/>
  <c r="L27" i="8"/>
  <c r="J14" i="8"/>
  <c r="AG14" i="8" s="1"/>
  <c r="G345" i="17" s="1"/>
  <c r="G346" i="17" s="1"/>
  <c r="AI14" i="7"/>
  <c r="I25" i="8"/>
  <c r="I30" i="8"/>
  <c r="I17" i="8"/>
  <c r="J20" i="8"/>
  <c r="AG20" i="8" s="1"/>
  <c r="M345" i="17" s="1"/>
  <c r="M346" i="17" s="1"/>
  <c r="AI20" i="7"/>
  <c r="I28" i="8"/>
  <c r="I41" i="8"/>
  <c r="I42" i="8"/>
  <c r="J19" i="8"/>
  <c r="AG19" i="8" s="1"/>
  <c r="L345" i="17" s="1"/>
  <c r="L346" i="17" s="1"/>
  <c r="AI19" i="7"/>
  <c r="J15" i="8"/>
  <c r="AG15" i="8" s="1"/>
  <c r="H345" i="17" s="1"/>
  <c r="H346" i="17" s="1"/>
  <c r="AI15" i="7"/>
  <c r="I26" i="8"/>
  <c r="J25" i="8"/>
  <c r="AG25" i="8" s="1"/>
  <c r="R345" i="17" s="1"/>
  <c r="R346" i="17" s="1"/>
  <c r="AI25" i="7"/>
  <c r="L35" i="8"/>
  <c r="J39" i="8"/>
  <c r="AG39" i="8" s="1"/>
  <c r="AF345" i="17" s="1"/>
  <c r="AF346" i="17" s="1"/>
  <c r="AI39" i="7"/>
  <c r="I20" i="8"/>
  <c r="I15" i="8"/>
  <c r="J31" i="8"/>
  <c r="AG31" i="8" s="1"/>
  <c r="X345" i="17" s="1"/>
  <c r="X346" i="17" s="1"/>
  <c r="AI31" i="7"/>
  <c r="J36" i="8"/>
  <c r="AG36" i="8" s="1"/>
  <c r="AC345" i="17" s="1"/>
  <c r="AC346" i="17" s="1"/>
  <c r="AI36" i="7"/>
  <c r="J13" i="8"/>
  <c r="AG13" i="8" s="1"/>
  <c r="F345" i="17" s="1"/>
  <c r="F346" i="17" s="1"/>
  <c r="AI13" i="7"/>
  <c r="I18" i="8"/>
  <c r="J21" i="8"/>
  <c r="AG21" i="8" s="1"/>
  <c r="N345" i="17" s="1"/>
  <c r="N346" i="17" s="1"/>
  <c r="AI21" i="7"/>
  <c r="J29" i="8"/>
  <c r="AG29" i="8" s="1"/>
  <c r="V345" i="17" s="1"/>
  <c r="V346" i="17" s="1"/>
  <c r="AI29" i="7"/>
  <c r="J37" i="8"/>
  <c r="AG37" i="8" s="1"/>
  <c r="AD345" i="17" s="1"/>
  <c r="AD346" i="17" s="1"/>
  <c r="AI37" i="7"/>
  <c r="I33" i="8"/>
  <c r="I13" i="8"/>
  <c r="J16" i="8"/>
  <c r="AG16" i="8" s="1"/>
  <c r="I345" i="17" s="1"/>
  <c r="I346" i="17" s="1"/>
  <c r="AI16" i="7"/>
  <c r="I21" i="8"/>
  <c r="I34" i="8"/>
  <c r="J18" i="8"/>
  <c r="AG18" i="8" s="1"/>
  <c r="K345" i="17" s="1"/>
  <c r="K346" i="17" s="1"/>
  <c r="AI18" i="7"/>
  <c r="J26" i="8"/>
  <c r="AG26" i="8" s="1"/>
  <c r="S345" i="17" s="1"/>
  <c r="S346" i="17" s="1"/>
  <c r="AI26" i="7"/>
  <c r="J34" i="8"/>
  <c r="AG34" i="8" s="1"/>
  <c r="AA345" i="17" s="1"/>
  <c r="AA346" i="17" s="1"/>
  <c r="AI34" i="7"/>
  <c r="J42" i="8"/>
  <c r="AG42" i="8" s="1"/>
  <c r="AI345" i="17" s="1"/>
  <c r="AI346" i="17" s="1"/>
  <c r="AI42" i="7"/>
  <c r="AI24" i="7"/>
  <c r="J24" i="8"/>
  <c r="AG24" i="8" s="1"/>
  <c r="Q345" i="17" s="1"/>
  <c r="Q346" i="17" s="1"/>
  <c r="J32" i="8"/>
  <c r="AG32" i="8" s="1"/>
  <c r="Y345" i="17" s="1"/>
  <c r="Y346" i="17" s="1"/>
  <c r="AI32" i="7"/>
  <c r="J40" i="8"/>
  <c r="AG40" i="8" s="1"/>
  <c r="AG345" i="17" s="1"/>
  <c r="AG346" i="17" s="1"/>
  <c r="AI40" i="7"/>
  <c r="J27" i="8"/>
  <c r="AG27" i="8" s="1"/>
  <c r="T345" i="17" s="1"/>
  <c r="T346" i="17" s="1"/>
  <c r="AI27" i="7"/>
  <c r="J35" i="8"/>
  <c r="AG35" i="8" s="1"/>
  <c r="AB345" i="17" s="1"/>
  <c r="AB346" i="17" s="1"/>
  <c r="AI35" i="7"/>
  <c r="J22" i="8"/>
  <c r="AG22" i="8" s="1"/>
  <c r="O345" i="17" s="1"/>
  <c r="O346" i="17" s="1"/>
  <c r="AI22" i="7"/>
  <c r="J30" i="8"/>
  <c r="AG30" i="8" s="1"/>
  <c r="W345" i="17" s="1"/>
  <c r="W346" i="17" s="1"/>
  <c r="AI30" i="7"/>
  <c r="J38" i="8"/>
  <c r="AG38" i="8" s="1"/>
  <c r="AE345" i="17" s="1"/>
  <c r="AE346" i="17" s="1"/>
  <c r="AI38" i="7"/>
  <c r="J33" i="8"/>
  <c r="AG33" i="8" s="1"/>
  <c r="Z345" i="17" s="1"/>
  <c r="Z346" i="17" s="1"/>
  <c r="AI33" i="7"/>
  <c r="J41" i="8"/>
  <c r="AG41" i="8" s="1"/>
  <c r="AH345" i="17" s="1"/>
  <c r="AH346" i="17" s="1"/>
  <c r="AI41" i="7"/>
  <c r="AV150" i="2" l="1"/>
  <c r="AX149" i="2"/>
  <c r="AV152" i="2"/>
  <c r="AR154" i="2"/>
  <c r="AT153" i="2"/>
  <c r="E17" i="8"/>
  <c r="D50" i="15" s="1"/>
  <c r="E16" i="8"/>
  <c r="D49" i="15" s="1"/>
  <c r="AD93" i="7"/>
  <c r="AH93" i="7"/>
  <c r="AG44" i="8"/>
  <c r="N2" i="17" s="1"/>
  <c r="AF93" i="7"/>
  <c r="D48" i="15"/>
  <c r="AJ15" i="7"/>
  <c r="AM15" i="7" s="1"/>
  <c r="J45" i="7"/>
  <c r="N45" i="7"/>
  <c r="H46" i="8"/>
  <c r="H45" i="7"/>
  <c r="L45" i="7"/>
  <c r="P45" i="7"/>
  <c r="L93" i="7"/>
  <c r="V93" i="7"/>
  <c r="F93" i="7"/>
  <c r="J66" i="1"/>
  <c r="J68" i="1" s="1"/>
  <c r="J69" i="1" s="1"/>
  <c r="F45" i="7"/>
  <c r="Z93" i="7"/>
  <c r="P93" i="7"/>
  <c r="J93" i="7"/>
  <c r="X93" i="7"/>
  <c r="AB93" i="7"/>
  <c r="N93" i="7"/>
  <c r="H93" i="7"/>
  <c r="T93" i="7"/>
  <c r="R93" i="7"/>
  <c r="D93" i="7"/>
  <c r="E176" i="17"/>
  <c r="E142" i="17"/>
  <c r="E40" i="17"/>
  <c r="N5" i="15"/>
  <c r="N35" i="15" s="1"/>
  <c r="N44" i="7"/>
  <c r="V44" i="7"/>
  <c r="H5" i="15"/>
  <c r="H35" i="15" s="1"/>
  <c r="H44" i="7"/>
  <c r="AJ70" i="7"/>
  <c r="AM70" i="7" s="1"/>
  <c r="F5" i="15"/>
  <c r="F35" i="15" s="1"/>
  <c r="F44" i="7"/>
  <c r="AF44" i="7"/>
  <c r="T44" i="7"/>
  <c r="AD44" i="7"/>
  <c r="X44" i="7"/>
  <c r="R5" i="15"/>
  <c r="R35" i="15" s="1"/>
  <c r="R44" i="7"/>
  <c r="AI44" i="7"/>
  <c r="AI99" i="7" s="1"/>
  <c r="L5" i="15"/>
  <c r="L35" i="15" s="1"/>
  <c r="L44" i="7"/>
  <c r="P5" i="15"/>
  <c r="P35" i="15" s="1"/>
  <c r="P44" i="7"/>
  <c r="BN64" i="1"/>
  <c r="AJ13" i="7"/>
  <c r="AM13" i="7" s="1"/>
  <c r="D47" i="15"/>
  <c r="AJ14" i="7"/>
  <c r="AM14" i="7" s="1"/>
  <c r="E110" i="17"/>
  <c r="AH93" i="8"/>
  <c r="AK93" i="8" s="1"/>
  <c r="D81" i="15"/>
  <c r="D80" i="15"/>
  <c r="AH70" i="8"/>
  <c r="AK70" i="8" s="1"/>
  <c r="R40" i="15"/>
  <c r="H40" i="15"/>
  <c r="G40" i="15"/>
  <c r="K40" i="15"/>
  <c r="F40" i="15"/>
  <c r="P40" i="15"/>
  <c r="D40" i="15"/>
  <c r="N40" i="15"/>
  <c r="I40" i="15"/>
  <c r="Q40" i="15"/>
  <c r="L40" i="15"/>
  <c r="M40" i="15"/>
  <c r="O40" i="15"/>
  <c r="S40" i="15"/>
  <c r="J40" i="15"/>
  <c r="E40" i="15"/>
  <c r="AJ79" i="7"/>
  <c r="AM79" i="7" s="1"/>
  <c r="D39" i="15"/>
  <c r="G39" i="15"/>
  <c r="K39" i="15"/>
  <c r="R39" i="15"/>
  <c r="N39" i="15"/>
  <c r="S39" i="15"/>
  <c r="J39" i="15"/>
  <c r="L39" i="15"/>
  <c r="E39" i="15"/>
  <c r="O39" i="15"/>
  <c r="Q39" i="15"/>
  <c r="M39" i="15"/>
  <c r="I39" i="15"/>
  <c r="P39" i="15"/>
  <c r="F39" i="15"/>
  <c r="H39" i="15"/>
  <c r="BN115" i="1"/>
  <c r="BN146" i="1"/>
  <c r="E101" i="8" s="1"/>
  <c r="AD68" i="1"/>
  <c r="AD69" i="1" s="1"/>
  <c r="X68" i="1"/>
  <c r="X69" i="1" s="1"/>
  <c r="R68" i="1"/>
  <c r="Z68" i="1"/>
  <c r="Z69" i="1" s="1"/>
  <c r="AH68" i="1"/>
  <c r="AH69" i="1" s="1"/>
  <c r="AB68" i="1"/>
  <c r="AB69" i="1" s="1"/>
  <c r="N68" i="1"/>
  <c r="N69" i="1" s="1"/>
  <c r="L68" i="1"/>
  <c r="L69" i="1" s="1"/>
  <c r="AF68" i="1"/>
  <c r="AF69" i="1" s="1"/>
  <c r="V68" i="1"/>
  <c r="P68" i="1"/>
  <c r="P69" i="1" s="1"/>
  <c r="T68" i="1"/>
  <c r="H68" i="1"/>
  <c r="H69" i="1" s="1"/>
  <c r="AJ72" i="7"/>
  <c r="AM72" i="7" s="1"/>
  <c r="AJ58" i="7"/>
  <c r="AM58" i="7" s="1"/>
  <c r="AJ74" i="7"/>
  <c r="AM74" i="7" s="1"/>
  <c r="AJ64" i="7"/>
  <c r="AM64" i="7" s="1"/>
  <c r="AJ66" i="7"/>
  <c r="AM66" i="7" s="1"/>
  <c r="AJ68" i="7"/>
  <c r="AM68" i="7" s="1"/>
  <c r="AJ60" i="7"/>
  <c r="AM60" i="7" s="1"/>
  <c r="AJ62" i="7"/>
  <c r="AM62" i="7" s="1"/>
  <c r="AJ82" i="7"/>
  <c r="AM82" i="7" s="1"/>
  <c r="AJ56" i="7"/>
  <c r="AM56" i="7" s="1"/>
  <c r="K38" i="8"/>
  <c r="F71" i="15" s="1"/>
  <c r="K15" i="8"/>
  <c r="F48" i="15" s="1"/>
  <c r="K17" i="8"/>
  <c r="F50" i="15" s="1"/>
  <c r="K31" i="8"/>
  <c r="F64" i="15" s="1"/>
  <c r="L37" i="8"/>
  <c r="K41" i="8"/>
  <c r="F74" i="15" s="1"/>
  <c r="N30" i="8"/>
  <c r="G63" i="15" s="1"/>
  <c r="L20" i="8"/>
  <c r="AH20" i="7"/>
  <c r="N19" i="8"/>
  <c r="G52" i="15" s="1"/>
  <c r="K23" i="8"/>
  <c r="F56" i="15" s="1"/>
  <c r="L29" i="8"/>
  <c r="AH29" i="7"/>
  <c r="K13" i="8"/>
  <c r="L34" i="8"/>
  <c r="L36" i="8"/>
  <c r="L15" i="8"/>
  <c r="L18" i="8"/>
  <c r="AH18" i="7"/>
  <c r="L26" i="8"/>
  <c r="L41" i="8"/>
  <c r="AH27" i="7"/>
  <c r="L22" i="8"/>
  <c r="N35" i="8"/>
  <c r="G68" i="15" s="1"/>
  <c r="N27" i="8"/>
  <c r="G60" i="15" s="1"/>
  <c r="L14" i="8"/>
  <c r="L25" i="8"/>
  <c r="N38" i="8"/>
  <c r="G71" i="15" s="1"/>
  <c r="L21" i="8"/>
  <c r="L40" i="8"/>
  <c r="AH40" i="7"/>
  <c r="L39" i="8"/>
  <c r="L13" i="8"/>
  <c r="L33" i="8"/>
  <c r="L42" i="8"/>
  <c r="L17" i="8"/>
  <c r="AH17" i="7"/>
  <c r="L32" i="8"/>
  <c r="L31" i="8"/>
  <c r="L16" i="8"/>
  <c r="AH16" i="7"/>
  <c r="AH38" i="7"/>
  <c r="AH19" i="7"/>
  <c r="AH30" i="7"/>
  <c r="L24" i="8"/>
  <c r="L23" i="8"/>
  <c r="AH35" i="7"/>
  <c r="L28" i="8"/>
  <c r="AX152" i="2" l="1"/>
  <c r="AX150" i="2"/>
  <c r="AZ149" i="2"/>
  <c r="AT154" i="2"/>
  <c r="AV153" i="2"/>
  <c r="AG108" i="8"/>
  <c r="F46" i="15"/>
  <c r="D46" i="15"/>
  <c r="D76" i="15" s="1"/>
  <c r="E44" i="8"/>
  <c r="X46" i="7"/>
  <c r="X48" i="7" s="1"/>
  <c r="X49" i="7" s="1"/>
  <c r="X51" i="7" s="1"/>
  <c r="X52" i="7" s="1"/>
  <c r="X96" i="7" s="1"/>
  <c r="X97" i="7" s="1"/>
  <c r="X99" i="7" s="1"/>
  <c r="X100" i="7" s="1"/>
  <c r="X101" i="7" s="1"/>
  <c r="P46" i="7"/>
  <c r="P48" i="7" s="1"/>
  <c r="P49" i="7" s="1"/>
  <c r="P51" i="7" s="1"/>
  <c r="P52" i="7" s="1"/>
  <c r="P96" i="7" s="1"/>
  <c r="P97" i="7" s="1"/>
  <c r="P99" i="7" s="1"/>
  <c r="P100" i="7" s="1"/>
  <c r="P101" i="7" s="1"/>
  <c r="AD46" i="7"/>
  <c r="AD48" i="7" s="1"/>
  <c r="AD49" i="7" s="1"/>
  <c r="AD51" i="7" s="1"/>
  <c r="AD52" i="7" s="1"/>
  <c r="AD96" i="7" s="1"/>
  <c r="AD97" i="7" s="1"/>
  <c r="AD99" i="7" s="1"/>
  <c r="AD100" i="7" s="1"/>
  <c r="AD101" i="7" s="1"/>
  <c r="V46" i="7"/>
  <c r="V48" i="7" s="1"/>
  <c r="V49" i="7" s="1"/>
  <c r="V51" i="7" s="1"/>
  <c r="V52" i="7" s="1"/>
  <c r="V96" i="7" s="1"/>
  <c r="V97" i="7" s="1"/>
  <c r="V99" i="7" s="1"/>
  <c r="V100" i="7" s="1"/>
  <c r="V101" i="7" s="1"/>
  <c r="T46" i="7"/>
  <c r="T48" i="7" s="1"/>
  <c r="T49" i="7" s="1"/>
  <c r="T51" i="7" s="1"/>
  <c r="T52" i="7" s="1"/>
  <c r="T96" i="7" s="1"/>
  <c r="T97" i="7" s="1"/>
  <c r="T99" i="7" s="1"/>
  <c r="T100" i="7" s="1"/>
  <c r="T101" i="7" s="1"/>
  <c r="N46" i="7"/>
  <c r="N48" i="7" s="1"/>
  <c r="N49" i="7" s="1"/>
  <c r="N51" i="7" s="1"/>
  <c r="N52" i="7" s="1"/>
  <c r="N96" i="7" s="1"/>
  <c r="N97" i="7" s="1"/>
  <c r="N99" i="7" s="1"/>
  <c r="N100" i="7" s="1"/>
  <c r="N101" i="7" s="1"/>
  <c r="L46" i="7"/>
  <c r="L48" i="7" s="1"/>
  <c r="L49" i="7" s="1"/>
  <c r="L51" i="7" s="1"/>
  <c r="L52" i="7" s="1"/>
  <c r="L96" i="7" s="1"/>
  <c r="L97" i="7" s="1"/>
  <c r="L99" i="7" s="1"/>
  <c r="L100" i="7" s="1"/>
  <c r="L101" i="7" s="1"/>
  <c r="AF46" i="7"/>
  <c r="AF48" i="7" s="1"/>
  <c r="AF49" i="7" s="1"/>
  <c r="AF51" i="7" s="1"/>
  <c r="AF52" i="7" s="1"/>
  <c r="AF96" i="7" s="1"/>
  <c r="AF97" i="7" s="1"/>
  <c r="AF99" i="7" s="1"/>
  <c r="AF100" i="7" s="1"/>
  <c r="AF101" i="7" s="1"/>
  <c r="F46" i="7"/>
  <c r="F48" i="7" s="1"/>
  <c r="F49" i="7" s="1"/>
  <c r="F51" i="7" s="1"/>
  <c r="F52" i="7" s="1"/>
  <c r="F96" i="7" s="1"/>
  <c r="F97" i="7" s="1"/>
  <c r="F99" i="7" s="1"/>
  <c r="F100" i="7" s="1"/>
  <c r="F101" i="7" s="1"/>
  <c r="R46" i="7"/>
  <c r="R48" i="7" s="1"/>
  <c r="R49" i="7" s="1"/>
  <c r="R51" i="7" s="1"/>
  <c r="R52" i="7" s="1"/>
  <c r="R96" i="7" s="1"/>
  <c r="R97" i="7" s="1"/>
  <c r="R99" i="7" s="1"/>
  <c r="R100" i="7" s="1"/>
  <c r="R101" i="7" s="1"/>
  <c r="H46" i="7"/>
  <c r="H48" i="7" s="1"/>
  <c r="H49" i="7" s="1"/>
  <c r="H51" i="7" s="1"/>
  <c r="H52" i="7" s="1"/>
  <c r="H96" i="7" s="1"/>
  <c r="H97" i="7" s="1"/>
  <c r="H99" i="7" s="1"/>
  <c r="H100" i="7" s="1"/>
  <c r="H101" i="7" s="1"/>
  <c r="AJ93" i="7"/>
  <c r="AM93" i="7" s="1"/>
  <c r="E76" i="17"/>
  <c r="E277" i="17"/>
  <c r="E143" i="17"/>
  <c r="E210" i="17"/>
  <c r="E177" i="17"/>
  <c r="E41" i="17"/>
  <c r="V69" i="1"/>
  <c r="T69" i="1"/>
  <c r="R69" i="1"/>
  <c r="E111" i="17"/>
  <c r="P41" i="15"/>
  <c r="G41" i="15"/>
  <c r="S41" i="15"/>
  <c r="D82" i="15"/>
  <c r="N80" i="15"/>
  <c r="K41" i="15"/>
  <c r="D41" i="15"/>
  <c r="F41" i="15"/>
  <c r="R41" i="15"/>
  <c r="H41" i="15"/>
  <c r="Q41" i="15"/>
  <c r="I41" i="15"/>
  <c r="N41" i="15"/>
  <c r="M41" i="15"/>
  <c r="O41" i="15"/>
  <c r="L41" i="15"/>
  <c r="J41" i="15"/>
  <c r="T40" i="15"/>
  <c r="E41" i="15"/>
  <c r="T39" i="15"/>
  <c r="AH31" i="7"/>
  <c r="AH42" i="7"/>
  <c r="N40" i="8"/>
  <c r="G73" i="15" s="1"/>
  <c r="N22" i="8"/>
  <c r="G55" i="15" s="1"/>
  <c r="N23" i="8"/>
  <c r="G56" i="15" s="1"/>
  <c r="AH24" i="7"/>
  <c r="AH34" i="7"/>
  <c r="N16" i="8"/>
  <c r="G49" i="15" s="1"/>
  <c r="AH33" i="7"/>
  <c r="K14" i="8"/>
  <c r="F47" i="15" s="1"/>
  <c r="N24" i="8"/>
  <c r="G57" i="15" s="1"/>
  <c r="K25" i="8"/>
  <c r="F58" i="15" s="1"/>
  <c r="N42" i="8"/>
  <c r="G75" i="15" s="1"/>
  <c r="K39" i="8"/>
  <c r="F72" i="15" s="1"/>
  <c r="H63" i="15"/>
  <c r="K32" i="8"/>
  <c r="F65" i="15" s="1"/>
  <c r="N18" i="8"/>
  <c r="G51" i="15" s="1"/>
  <c r="H52" i="15"/>
  <c r="K28" i="8"/>
  <c r="F61" i="15" s="1"/>
  <c r="AH39" i="7"/>
  <c r="H71" i="15"/>
  <c r="N25" i="8"/>
  <c r="G58" i="15" s="1"/>
  <c r="K35" i="8"/>
  <c r="F68" i="15" s="1"/>
  <c r="AH26" i="7"/>
  <c r="K36" i="8"/>
  <c r="F69" i="15" s="1"/>
  <c r="K27" i="8"/>
  <c r="F60" i="15" s="1"/>
  <c r="AH32" i="7"/>
  <c r="K42" i="8"/>
  <c r="F75" i="15" s="1"/>
  <c r="H68" i="15"/>
  <c r="K40" i="8"/>
  <c r="F73" i="15" s="1"/>
  <c r="AH14" i="7"/>
  <c r="AH36" i="7"/>
  <c r="N34" i="8"/>
  <c r="G67" i="15" s="1"/>
  <c r="K16" i="8"/>
  <c r="F49" i="15" s="1"/>
  <c r="K18" i="8"/>
  <c r="F51" i="15" s="1"/>
  <c r="AH23" i="7"/>
  <c r="AH28" i="7"/>
  <c r="K29" i="8"/>
  <c r="F62" i="15" s="1"/>
  <c r="N32" i="8"/>
  <c r="G65" i="15" s="1"/>
  <c r="N14" i="8"/>
  <c r="G47" i="15" s="1"/>
  <c r="AH37" i="7"/>
  <c r="K20" i="8"/>
  <c r="F53" i="15" s="1"/>
  <c r="N33" i="8"/>
  <c r="G66" i="15" s="1"/>
  <c r="AH13" i="7"/>
  <c r="N39" i="8"/>
  <c r="G72" i="15" s="1"/>
  <c r="AH22" i="7"/>
  <c r="K22" i="8"/>
  <c r="F55" i="15" s="1"/>
  <c r="N26" i="8"/>
  <c r="G59" i="15" s="1"/>
  <c r="K24" i="8"/>
  <c r="F57" i="15" s="1"/>
  <c r="AH15" i="7"/>
  <c r="K19" i="8"/>
  <c r="F52" i="15" s="1"/>
  <c r="K34" i="8"/>
  <c r="F67" i="15" s="1"/>
  <c r="N29" i="8"/>
  <c r="G62" i="15" s="1"/>
  <c r="H60" i="15"/>
  <c r="AH21" i="7"/>
  <c r="AH41" i="7"/>
  <c r="K21" i="8"/>
  <c r="F54" i="15" s="1"/>
  <c r="N36" i="8"/>
  <c r="G69" i="15" s="1"/>
  <c r="K30" i="8"/>
  <c r="F63" i="15" s="1"/>
  <c r="N37" i="8"/>
  <c r="G70" i="15" s="1"/>
  <c r="N28" i="8"/>
  <c r="G61" i="15" s="1"/>
  <c r="K37" i="8"/>
  <c r="F70" i="15" s="1"/>
  <c r="K33" i="8"/>
  <c r="F66" i="15" s="1"/>
  <c r="N21" i="8"/>
  <c r="G54" i="15" s="1"/>
  <c r="AH25" i="7"/>
  <c r="K26" i="8"/>
  <c r="F59" i="15" s="1"/>
  <c r="N20" i="8"/>
  <c r="G53" i="15" s="1"/>
  <c r="AZ150" i="2" l="1"/>
  <c r="BB149" i="2"/>
  <c r="AZ152" i="2"/>
  <c r="AV154" i="2"/>
  <c r="AX153" i="2"/>
  <c r="K44" i="8"/>
  <c r="K46" i="8" s="1"/>
  <c r="E209" i="17"/>
  <c r="E77" i="17"/>
  <c r="E178" i="17"/>
  <c r="E243" i="17"/>
  <c r="E144" i="17"/>
  <c r="E211" i="17"/>
  <c r="E42" i="17"/>
  <c r="AH44" i="7"/>
  <c r="E112" i="17"/>
  <c r="F76" i="15"/>
  <c r="T41" i="15"/>
  <c r="I68" i="15"/>
  <c r="I60" i="15"/>
  <c r="H62" i="15"/>
  <c r="H47" i="15"/>
  <c r="H65" i="15"/>
  <c r="N13" i="8"/>
  <c r="H64" i="15"/>
  <c r="H70" i="15"/>
  <c r="H69" i="15"/>
  <c r="N17" i="8"/>
  <c r="G50" i="15" s="1"/>
  <c r="N41" i="8"/>
  <c r="G74" i="15" s="1"/>
  <c r="H58" i="15"/>
  <c r="H74" i="15"/>
  <c r="H53" i="15"/>
  <c r="N15" i="8"/>
  <c r="G48" i="15" s="1"/>
  <c r="H54" i="15"/>
  <c r="I52" i="15"/>
  <c r="H57" i="15"/>
  <c r="H61" i="15"/>
  <c r="H46" i="15"/>
  <c r="N31" i="8"/>
  <c r="G64" i="15" s="1"/>
  <c r="BB150" i="2" l="1"/>
  <c r="BB152" i="2"/>
  <c r="BD149" i="2"/>
  <c r="AX154" i="2"/>
  <c r="AZ153" i="2"/>
  <c r="G46" i="15"/>
  <c r="G76" i="15" s="1"/>
  <c r="N44" i="8"/>
  <c r="N46" i="8" s="1"/>
  <c r="E212" i="17"/>
  <c r="AH46" i="7"/>
  <c r="AH48" i="7" s="1"/>
  <c r="AH49" i="7" s="1"/>
  <c r="AH51" i="7" s="1"/>
  <c r="AH52" i="7" s="1"/>
  <c r="AH96" i="7" s="1"/>
  <c r="AH97" i="7" s="1"/>
  <c r="AH99" i="7" s="1"/>
  <c r="AH100" i="7" s="1"/>
  <c r="AH101" i="7" s="1"/>
  <c r="E278" i="17"/>
  <c r="E78" i="17"/>
  <c r="E244" i="17"/>
  <c r="E179" i="17"/>
  <c r="E145" i="17"/>
  <c r="E43" i="17"/>
  <c r="E113" i="17"/>
  <c r="AJ88" i="7"/>
  <c r="AM88" i="7" s="1"/>
  <c r="I66" i="15"/>
  <c r="I65" i="15"/>
  <c r="J63" i="15"/>
  <c r="I47" i="15"/>
  <c r="I73" i="15"/>
  <c r="H55" i="15"/>
  <c r="I63" i="15"/>
  <c r="I59" i="15"/>
  <c r="H48" i="15"/>
  <c r="H50" i="15"/>
  <c r="H49" i="15"/>
  <c r="Z35" i="7"/>
  <c r="I72" i="15"/>
  <c r="I71" i="15"/>
  <c r="H56" i="15"/>
  <c r="H51" i="15"/>
  <c r="I49" i="15"/>
  <c r="J71" i="15"/>
  <c r="I46" i="15"/>
  <c r="I48" i="15"/>
  <c r="H59" i="15"/>
  <c r="I58" i="15"/>
  <c r="I55" i="15"/>
  <c r="I75" i="15"/>
  <c r="H72" i="15"/>
  <c r="J52" i="15"/>
  <c r="H66" i="15"/>
  <c r="H67" i="15"/>
  <c r="I51" i="15"/>
  <c r="H75" i="15"/>
  <c r="H73" i="15"/>
  <c r="BD150" i="2" l="1"/>
  <c r="BF149" i="2"/>
  <c r="BD152" i="2"/>
  <c r="AZ154" i="2"/>
  <c r="BB153" i="2"/>
  <c r="E213" i="17"/>
  <c r="E279" i="17"/>
  <c r="E79" i="17"/>
  <c r="E180" i="17"/>
  <c r="E146" i="17"/>
  <c r="E245" i="17"/>
  <c r="E311" i="17"/>
  <c r="E44" i="17"/>
  <c r="E114" i="17"/>
  <c r="H76" i="15"/>
  <c r="Z27" i="7"/>
  <c r="K68" i="15"/>
  <c r="J53" i="15"/>
  <c r="J62" i="15"/>
  <c r="J68" i="15"/>
  <c r="I62" i="15"/>
  <c r="J69" i="15"/>
  <c r="J72" i="15"/>
  <c r="J74" i="15"/>
  <c r="J70" i="15"/>
  <c r="I53" i="15"/>
  <c r="Z19" i="7"/>
  <c r="J60" i="15"/>
  <c r="J51" i="15"/>
  <c r="I67" i="15"/>
  <c r="I70" i="15"/>
  <c r="J50" i="15"/>
  <c r="I56" i="15"/>
  <c r="K60" i="15"/>
  <c r="J61" i="15"/>
  <c r="I50" i="15"/>
  <c r="J57" i="15"/>
  <c r="J67" i="15"/>
  <c r="Z30" i="7"/>
  <c r="I69" i="15"/>
  <c r="I61" i="15"/>
  <c r="I54" i="15"/>
  <c r="I64" i="15"/>
  <c r="I57" i="15"/>
  <c r="I74" i="15"/>
  <c r="J48" i="15"/>
  <c r="Z38" i="7"/>
  <c r="BH149" i="2" l="1"/>
  <c r="BF152" i="2"/>
  <c r="BF150" i="2"/>
  <c r="BB154" i="2"/>
  <c r="BD153" i="2"/>
  <c r="E214" i="17"/>
  <c r="E280" i="17"/>
  <c r="E80" i="17"/>
  <c r="E246" i="17"/>
  <c r="E312" i="17"/>
  <c r="E147" i="17"/>
  <c r="E181" i="17"/>
  <c r="E45" i="17"/>
  <c r="E115" i="17"/>
  <c r="I76" i="15"/>
  <c r="Z15" i="7"/>
  <c r="Z29" i="7"/>
  <c r="Z14" i="7"/>
  <c r="Z31" i="7"/>
  <c r="Z28" i="7"/>
  <c r="Z25" i="7"/>
  <c r="K62" i="15"/>
  <c r="Z18" i="7"/>
  <c r="Z37" i="7"/>
  <c r="K55" i="15"/>
  <c r="Z24" i="7"/>
  <c r="Z33" i="7"/>
  <c r="J66" i="15"/>
  <c r="K71" i="15"/>
  <c r="Z40" i="7"/>
  <c r="Z13" i="7"/>
  <c r="Z17" i="7"/>
  <c r="Z16" i="7"/>
  <c r="Z42" i="7"/>
  <c r="L71" i="15"/>
  <c r="K54" i="15"/>
  <c r="L52" i="15"/>
  <c r="K66" i="15"/>
  <c r="Z20" i="7"/>
  <c r="K47" i="15"/>
  <c r="Z26" i="7"/>
  <c r="K56" i="15"/>
  <c r="J59" i="15"/>
  <c r="Z41" i="7"/>
  <c r="K73" i="15"/>
  <c r="K52" i="15"/>
  <c r="J47" i="15"/>
  <c r="K63" i="15"/>
  <c r="J65" i="15"/>
  <c r="J58" i="15"/>
  <c r="Z34" i="7"/>
  <c r="K48" i="15"/>
  <c r="J46" i="15"/>
  <c r="J75" i="15"/>
  <c r="J56" i="15"/>
  <c r="L60" i="15"/>
  <c r="J64" i="15"/>
  <c r="K46" i="15"/>
  <c r="K49" i="15"/>
  <c r="Z22" i="7"/>
  <c r="Z23" i="7"/>
  <c r="J49" i="15"/>
  <c r="J73" i="15"/>
  <c r="Z36" i="7"/>
  <c r="Z39" i="7"/>
  <c r="Z32" i="7"/>
  <c r="J55" i="15"/>
  <c r="K74" i="15"/>
  <c r="J54" i="15"/>
  <c r="Z21" i="7"/>
  <c r="BJ149" i="2" l="1"/>
  <c r="BH152" i="2"/>
  <c r="BH150" i="2"/>
  <c r="BD154" i="2"/>
  <c r="BF153" i="2"/>
  <c r="E215" i="17"/>
  <c r="E81" i="17"/>
  <c r="E46" i="17"/>
  <c r="E313" i="17"/>
  <c r="E247" i="17"/>
  <c r="E148" i="17"/>
  <c r="E182" i="17"/>
  <c r="Z44" i="7"/>
  <c r="E116" i="17"/>
  <c r="J76" i="15"/>
  <c r="AB30" i="7"/>
  <c r="J19" i="7"/>
  <c r="J11" i="15" s="1"/>
  <c r="AB27" i="7"/>
  <c r="D19" i="7"/>
  <c r="D11" i="15" s="1"/>
  <c r="AB35" i="7"/>
  <c r="L65" i="15"/>
  <c r="AB38" i="7"/>
  <c r="L74" i="15"/>
  <c r="AB19" i="7"/>
  <c r="K72" i="15"/>
  <c r="J27" i="7"/>
  <c r="J19" i="15" s="1"/>
  <c r="K70" i="15"/>
  <c r="J30" i="7"/>
  <c r="J22" i="15" s="1"/>
  <c r="L68" i="15"/>
  <c r="J38" i="7"/>
  <c r="J30" i="15" s="1"/>
  <c r="M71" i="15"/>
  <c r="N71" i="15" s="1"/>
  <c r="L70" i="15"/>
  <c r="L66" i="15"/>
  <c r="K61" i="15"/>
  <c r="D38" i="7"/>
  <c r="D30" i="15" s="1"/>
  <c r="K64" i="15"/>
  <c r="L53" i="15"/>
  <c r="K67" i="15"/>
  <c r="L59" i="15"/>
  <c r="L51" i="15"/>
  <c r="K65" i="15"/>
  <c r="K50" i="15"/>
  <c r="K58" i="15"/>
  <c r="AB28" i="7"/>
  <c r="K75" i="15"/>
  <c r="K69" i="15"/>
  <c r="L67" i="15"/>
  <c r="K59" i="15"/>
  <c r="L72" i="15"/>
  <c r="J35" i="7"/>
  <c r="J27" i="15" s="1"/>
  <c r="K51" i="15"/>
  <c r="K57" i="15"/>
  <c r="L64" i="15"/>
  <c r="K53" i="15"/>
  <c r="L49" i="15"/>
  <c r="L57" i="15"/>
  <c r="L48" i="15"/>
  <c r="L47" i="15"/>
  <c r="L63" i="15"/>
  <c r="D30" i="7"/>
  <c r="D22" i="15" s="1"/>
  <c r="L61" i="15"/>
  <c r="AB15" i="7"/>
  <c r="L69" i="15"/>
  <c r="BJ150" i="2" l="1"/>
  <c r="BJ152" i="2"/>
  <c r="BL149" i="2"/>
  <c r="BF154" i="2"/>
  <c r="BH153" i="2"/>
  <c r="E82" i="17"/>
  <c r="E216" i="17"/>
  <c r="E314" i="17"/>
  <c r="Z46" i="7"/>
  <c r="Z48" i="7" s="1"/>
  <c r="Z49" i="7" s="1"/>
  <c r="Z51" i="7" s="1"/>
  <c r="Z52" i="7" s="1"/>
  <c r="Z96" i="7" s="1"/>
  <c r="Z97" i="7" s="1"/>
  <c r="Z99" i="7" s="1"/>
  <c r="Z100" i="7" s="1"/>
  <c r="Z101" i="7" s="1"/>
  <c r="E281" i="17"/>
  <c r="E47" i="17"/>
  <c r="E149" i="17"/>
  <c r="E183" i="17"/>
  <c r="E248" i="17"/>
  <c r="E117" i="17"/>
  <c r="K76" i="15"/>
  <c r="T22" i="15"/>
  <c r="T30" i="15"/>
  <c r="T11" i="15"/>
  <c r="J34" i="7"/>
  <c r="J26" i="15" s="1"/>
  <c r="AB21" i="7"/>
  <c r="AB42" i="7"/>
  <c r="AB37" i="7"/>
  <c r="AB25" i="7"/>
  <c r="AB14" i="7"/>
  <c r="AB29" i="7"/>
  <c r="AB16" i="7"/>
  <c r="AB41" i="7"/>
  <c r="AJ38" i="7"/>
  <c r="AM38" i="7" s="1"/>
  <c r="J16" i="7"/>
  <c r="J8" i="15" s="1"/>
  <c r="AH38" i="8"/>
  <c r="AK38" i="8" s="1"/>
  <c r="AB20" i="7"/>
  <c r="J22" i="7"/>
  <c r="J14" i="15" s="1"/>
  <c r="AB31" i="7"/>
  <c r="D16" i="7"/>
  <c r="D8" i="15" s="1"/>
  <c r="AB39" i="7"/>
  <c r="AB34" i="7"/>
  <c r="AB23" i="7"/>
  <c r="AB17" i="7"/>
  <c r="M56" i="15"/>
  <c r="J25" i="7"/>
  <c r="J17" i="15" s="1"/>
  <c r="J26" i="7"/>
  <c r="J18" i="15" s="1"/>
  <c r="M53" i="15"/>
  <c r="N53" i="15" s="1"/>
  <c r="AB32" i="7"/>
  <c r="AB40" i="7"/>
  <c r="D37" i="7"/>
  <c r="D29" i="15" s="1"/>
  <c r="D42" i="7"/>
  <c r="D34" i="15" s="1"/>
  <c r="J18" i="7"/>
  <c r="J10" i="15" s="1"/>
  <c r="AB36" i="7"/>
  <c r="J40" i="7"/>
  <c r="J32" i="15" s="1"/>
  <c r="D14" i="7"/>
  <c r="AB24" i="7"/>
  <c r="J41" i="7"/>
  <c r="J33" i="15" s="1"/>
  <c r="AB13" i="7"/>
  <c r="D29" i="7"/>
  <c r="D21" i="15" s="1"/>
  <c r="AB26" i="7"/>
  <c r="AB22" i="7"/>
  <c r="AB18" i="7"/>
  <c r="M57" i="15"/>
  <c r="N57" i="15" s="1"/>
  <c r="J36" i="7"/>
  <c r="J28" i="15" s="1"/>
  <c r="D36" i="7"/>
  <c r="D28" i="15" s="1"/>
  <c r="D20" i="7"/>
  <c r="D12" i="15" s="1"/>
  <c r="AB33" i="7"/>
  <c r="D41" i="7"/>
  <c r="D33" i="15" s="1"/>
  <c r="D26" i="7"/>
  <c r="D18" i="15" s="1"/>
  <c r="L75" i="15"/>
  <c r="J33" i="7"/>
  <c r="J25" i="15" s="1"/>
  <c r="J17" i="7"/>
  <c r="J9" i="15" s="1"/>
  <c r="J20" i="7"/>
  <c r="J12" i="15" s="1"/>
  <c r="M62" i="15"/>
  <c r="AJ34" i="7"/>
  <c r="AM34" i="7" s="1"/>
  <c r="M68" i="15"/>
  <c r="N68" i="15" s="1"/>
  <c r="D35" i="7"/>
  <c r="D27" i="15" s="1"/>
  <c r="T27" i="15" s="1"/>
  <c r="J21" i="7"/>
  <c r="J13" i="15" s="1"/>
  <c r="AJ21" i="7"/>
  <c r="AM21" i="7" s="1"/>
  <c r="M58" i="15"/>
  <c r="J14" i="7"/>
  <c r="J6" i="15" s="1"/>
  <c r="L73" i="15"/>
  <c r="L46" i="15"/>
  <c r="D5" i="15"/>
  <c r="M63" i="15"/>
  <c r="N63" i="15" s="1"/>
  <c r="AJ30" i="7"/>
  <c r="AM30" i="7" s="1"/>
  <c r="M73" i="15"/>
  <c r="L50" i="15"/>
  <c r="D17" i="7"/>
  <c r="D9" i="15" s="1"/>
  <c r="M52" i="15"/>
  <c r="N52" i="15" s="1"/>
  <c r="AJ19" i="7"/>
  <c r="AM19" i="7" s="1"/>
  <c r="J39" i="7"/>
  <c r="J31" i="15" s="1"/>
  <c r="D23" i="7"/>
  <c r="D15" i="15" s="1"/>
  <c r="L55" i="15"/>
  <c r="J32" i="7"/>
  <c r="J24" i="15" s="1"/>
  <c r="J31" i="7"/>
  <c r="J23" i="15" s="1"/>
  <c r="J13" i="7"/>
  <c r="D25" i="7"/>
  <c r="D17" i="15" s="1"/>
  <c r="M49" i="15"/>
  <c r="N49" i="15" s="1"/>
  <c r="M60" i="15"/>
  <c r="N60" i="15" s="1"/>
  <c r="D27" i="7"/>
  <c r="D19" i="15" s="1"/>
  <c r="T19" i="15" s="1"/>
  <c r="AJ27" i="7"/>
  <c r="AM27" i="7" s="1"/>
  <c r="D31" i="7"/>
  <c r="D23" i="15" s="1"/>
  <c r="M47" i="15"/>
  <c r="N47" i="15" s="1"/>
  <c r="D32" i="7"/>
  <c r="D24" i="15" s="1"/>
  <c r="AJ35" i="7"/>
  <c r="AM35" i="7" s="1"/>
  <c r="M72" i="15"/>
  <c r="N72" i="15" s="1"/>
  <c r="D39" i="7"/>
  <c r="D31" i="15" s="1"/>
  <c r="J37" i="7"/>
  <c r="J29" i="15" s="1"/>
  <c r="J23" i="7"/>
  <c r="J15" i="15" s="1"/>
  <c r="M69" i="15"/>
  <c r="N69" i="15" s="1"/>
  <c r="AJ24" i="7"/>
  <c r="AM24" i="7" s="1"/>
  <c r="J42" i="7"/>
  <c r="J34" i="15" s="1"/>
  <c r="J15" i="7"/>
  <c r="J7" i="15" s="1"/>
  <c r="L62" i="15"/>
  <c r="L54" i="15"/>
  <c r="L56" i="15"/>
  <c r="L58" i="15"/>
  <c r="J24" i="7"/>
  <c r="J16" i="15" s="1"/>
  <c r="D24" i="7"/>
  <c r="D16" i="15" s="1"/>
  <c r="M75" i="15"/>
  <c r="M46" i="15"/>
  <c r="J29" i="7"/>
  <c r="J21" i="15" s="1"/>
  <c r="M55" i="15"/>
  <c r="D22" i="7"/>
  <c r="D14" i="15" s="1"/>
  <c r="J28" i="7"/>
  <c r="J20" i="15" s="1"/>
  <c r="D40" i="7"/>
  <c r="D32" i="15" s="1"/>
  <c r="BL150" i="2" l="1"/>
  <c r="BN150" i="2" s="1"/>
  <c r="BL152" i="2"/>
  <c r="BN152" i="2" s="1"/>
  <c r="BN149" i="2"/>
  <c r="BH154" i="2"/>
  <c r="BJ153" i="2"/>
  <c r="E83" i="17"/>
  <c r="E217" i="17"/>
  <c r="E315" i="17"/>
  <c r="E48" i="17"/>
  <c r="E283" i="17"/>
  <c r="E249" i="17"/>
  <c r="E184" i="17"/>
  <c r="E150" i="17"/>
  <c r="AB44" i="7"/>
  <c r="J5" i="15"/>
  <c r="T5" i="15" s="1"/>
  <c r="J44" i="7"/>
  <c r="D6" i="15"/>
  <c r="T6" i="15" s="1"/>
  <c r="N75" i="15"/>
  <c r="E118" i="17"/>
  <c r="N55" i="15"/>
  <c r="N62" i="15"/>
  <c r="N58" i="15"/>
  <c r="N73" i="15"/>
  <c r="L76" i="15"/>
  <c r="N56" i="15"/>
  <c r="N46" i="15"/>
  <c r="T14" i="15"/>
  <c r="T17" i="15"/>
  <c r="T32" i="15"/>
  <c r="T24" i="15"/>
  <c r="T31" i="15"/>
  <c r="T9" i="15"/>
  <c r="T33" i="15"/>
  <c r="T23" i="15"/>
  <c r="T15" i="15"/>
  <c r="T29" i="15"/>
  <c r="T28" i="15"/>
  <c r="T16" i="15"/>
  <c r="T8" i="15"/>
  <c r="T12" i="15"/>
  <c r="T18" i="15"/>
  <c r="T21" i="15"/>
  <c r="T34" i="15"/>
  <c r="AH35" i="8"/>
  <c r="AK35" i="8" s="1"/>
  <c r="AH24" i="8"/>
  <c r="AK24" i="8" s="1"/>
  <c r="AH20" i="8"/>
  <c r="AK20" i="8" s="1"/>
  <c r="AJ20" i="7"/>
  <c r="AM20" i="7" s="1"/>
  <c r="AJ36" i="7"/>
  <c r="AM36" i="7" s="1"/>
  <c r="AH14" i="8"/>
  <c r="AK14" i="8" s="1"/>
  <c r="AJ23" i="7"/>
  <c r="AM23" i="7" s="1"/>
  <c r="AJ39" i="7"/>
  <c r="AM39" i="7" s="1"/>
  <c r="AH36" i="8"/>
  <c r="AK36" i="8" s="1"/>
  <c r="M66" i="15"/>
  <c r="N66" i="15" s="1"/>
  <c r="D33" i="7"/>
  <c r="D25" i="15" s="1"/>
  <c r="T25" i="15" s="1"/>
  <c r="AJ33" i="7"/>
  <c r="AM33" i="7" s="1"/>
  <c r="AH39" i="8"/>
  <c r="AK39" i="8" s="1"/>
  <c r="AH25" i="8"/>
  <c r="AK25" i="8" s="1"/>
  <c r="M64" i="15"/>
  <c r="N64" i="15" s="1"/>
  <c r="AJ31" i="7"/>
  <c r="AM31" i="7" s="1"/>
  <c r="M51" i="15"/>
  <c r="N51" i="15" s="1"/>
  <c r="D18" i="7"/>
  <c r="D10" i="15" s="1"/>
  <c r="T10" i="15" s="1"/>
  <c r="AJ18" i="7"/>
  <c r="AM18" i="7" s="1"/>
  <c r="M54" i="15"/>
  <c r="N54" i="15" s="1"/>
  <c r="D21" i="7"/>
  <c r="D13" i="15" s="1"/>
  <c r="T13" i="15" s="1"/>
  <c r="AJ42" i="7"/>
  <c r="AM42" i="7" s="1"/>
  <c r="AH23" i="8"/>
  <c r="AK23" i="8" s="1"/>
  <c r="AH16" i="8"/>
  <c r="AK16" i="8" s="1"/>
  <c r="AJ16" i="7"/>
  <c r="AM16" i="7" s="1"/>
  <c r="M59" i="15"/>
  <c r="N59" i="15" s="1"/>
  <c r="AJ26" i="7"/>
  <c r="AM26" i="7" s="1"/>
  <c r="AH30" i="8"/>
  <c r="AK30" i="8" s="1"/>
  <c r="AJ25" i="7"/>
  <c r="AM25" i="7" s="1"/>
  <c r="AJ29" i="7"/>
  <c r="AM29" i="7" s="1"/>
  <c r="M61" i="15"/>
  <c r="N61" i="15" s="1"/>
  <c r="D28" i="7"/>
  <c r="D20" i="15" s="1"/>
  <c r="T20" i="15" s="1"/>
  <c r="AH27" i="8"/>
  <c r="AK27" i="8" s="1"/>
  <c r="M65" i="15"/>
  <c r="N65" i="15" s="1"/>
  <c r="AJ32" i="7"/>
  <c r="AM32" i="7" s="1"/>
  <c r="M74" i="15"/>
  <c r="N74" i="15" s="1"/>
  <c r="AJ41" i="7"/>
  <c r="AM41" i="7" s="1"/>
  <c r="AJ40" i="7"/>
  <c r="AM40" i="7" s="1"/>
  <c r="M70" i="15"/>
  <c r="N70" i="15" s="1"/>
  <c r="AJ37" i="7"/>
  <c r="AM37" i="7" s="1"/>
  <c r="M50" i="15"/>
  <c r="N50" i="15" s="1"/>
  <c r="AJ17" i="7"/>
  <c r="AM17" i="7" s="1"/>
  <c r="AH29" i="8"/>
  <c r="AK29" i="8" s="1"/>
  <c r="AJ22" i="7"/>
  <c r="AM22" i="7" s="1"/>
  <c r="AH40" i="8"/>
  <c r="AK40" i="8" s="1"/>
  <c r="AJ28" i="7"/>
  <c r="AM28" i="7" s="1"/>
  <c r="AH19" i="8"/>
  <c r="AK19" i="8" s="1"/>
  <c r="M48" i="15"/>
  <c r="N48" i="15" s="1"/>
  <c r="D15" i="7"/>
  <c r="D7" i="15" s="1"/>
  <c r="T7" i="15" s="1"/>
  <c r="AH42" i="8"/>
  <c r="AK42" i="8" s="1"/>
  <c r="AH22" i="8"/>
  <c r="AK22" i="8" s="1"/>
  <c r="AH13" i="8"/>
  <c r="M67" i="15"/>
  <c r="N67" i="15" s="1"/>
  <c r="D34" i="7"/>
  <c r="D26" i="15" s="1"/>
  <c r="T26" i="15" s="1"/>
  <c r="BJ154" i="2" l="1"/>
  <c r="BL153" i="2"/>
  <c r="E84" i="17"/>
  <c r="E218" i="17"/>
  <c r="AK13" i="8"/>
  <c r="E316" i="17"/>
  <c r="E49" i="17"/>
  <c r="AB46" i="7"/>
  <c r="AB48" i="7" s="1"/>
  <c r="AB49" i="7" s="1"/>
  <c r="AB51" i="7" s="1"/>
  <c r="AB52" i="7" s="1"/>
  <c r="AB96" i="7" s="1"/>
  <c r="AB97" i="7" s="1"/>
  <c r="AB99" i="7" s="1"/>
  <c r="AB100" i="7" s="1"/>
  <c r="AB101" i="7" s="1"/>
  <c r="J46" i="7"/>
  <c r="J48" i="7" s="1"/>
  <c r="J49" i="7" s="1"/>
  <c r="J51" i="7" s="1"/>
  <c r="J52" i="7" s="1"/>
  <c r="J96" i="7" s="1"/>
  <c r="J97" i="7" s="1"/>
  <c r="J99" i="7" s="1"/>
  <c r="J100" i="7" s="1"/>
  <c r="J101" i="7" s="1"/>
  <c r="E282" i="17"/>
  <c r="E185" i="17"/>
  <c r="E250" i="17"/>
  <c r="E151" i="17"/>
  <c r="AJ44" i="7"/>
  <c r="AM44" i="7" s="1"/>
  <c r="J35" i="15"/>
  <c r="D44" i="7"/>
  <c r="E119" i="17"/>
  <c r="M76" i="15"/>
  <c r="N76" i="15" s="1"/>
  <c r="D35" i="15"/>
  <c r="AJ85" i="7"/>
  <c r="AM85" i="7" s="1"/>
  <c r="AH21" i="8"/>
  <c r="AK21" i="8" s="1"/>
  <c r="AH17" i="8"/>
  <c r="AK17" i="8" s="1"/>
  <c r="AH37" i="8"/>
  <c r="AK37" i="8" s="1"/>
  <c r="AH41" i="8"/>
  <c r="AK41" i="8" s="1"/>
  <c r="AH32" i="8"/>
  <c r="AK32" i="8" s="1"/>
  <c r="AH33" i="8"/>
  <c r="AK33" i="8" s="1"/>
  <c r="AH26" i="8"/>
  <c r="AK26" i="8" s="1"/>
  <c r="AH18" i="8"/>
  <c r="AK18" i="8" s="1"/>
  <c r="AH15" i="8"/>
  <c r="AK15" i="8" s="1"/>
  <c r="AH34" i="8"/>
  <c r="AK34" i="8" s="1"/>
  <c r="AH28" i="8"/>
  <c r="AK28" i="8" s="1"/>
  <c r="AH31" i="8"/>
  <c r="AK31" i="8" s="1"/>
  <c r="BN153" i="2" l="1"/>
  <c r="BL154" i="2"/>
  <c r="BN154" i="2" s="1"/>
  <c r="E85" i="17"/>
  <c r="E50" i="17"/>
  <c r="E219" i="17"/>
  <c r="AH44" i="8"/>
  <c r="AK44" i="8" s="1"/>
  <c r="E317" i="17"/>
  <c r="E284" i="17"/>
  <c r="E251" i="17"/>
  <c r="E186" i="17"/>
  <c r="E152" i="17"/>
  <c r="T35" i="15"/>
  <c r="E120" i="17"/>
  <c r="E87" i="17" l="1"/>
  <c r="E86" i="17"/>
  <c r="E51" i="17"/>
  <c r="E220" i="17"/>
  <c r="E318" i="17"/>
  <c r="E285" i="17"/>
  <c r="E252" i="17"/>
  <c r="E187" i="17"/>
  <c r="E153" i="17"/>
  <c r="E121" i="17"/>
  <c r="AH101" i="8"/>
  <c r="AK101" i="8" s="1"/>
  <c r="E52" i="17" l="1"/>
  <c r="E221" i="17"/>
  <c r="E319" i="17"/>
  <c r="E286" i="17"/>
  <c r="E253" i="17"/>
  <c r="E188" i="17"/>
  <c r="E154" i="17"/>
  <c r="E122" i="17"/>
  <c r="E53" i="17" l="1"/>
  <c r="E222" i="17"/>
  <c r="E320" i="17"/>
  <c r="E287" i="17"/>
  <c r="E189" i="17"/>
  <c r="E155" i="17"/>
  <c r="E254" i="17"/>
  <c r="E123" i="17"/>
  <c r="AJ91" i="7"/>
  <c r="AM91" i="7" s="1"/>
  <c r="E89" i="17" l="1"/>
  <c r="E88" i="17"/>
  <c r="E54" i="17"/>
  <c r="E223" i="17"/>
  <c r="E321" i="17"/>
  <c r="E288" i="17"/>
  <c r="E156" i="17"/>
  <c r="E190" i="17"/>
  <c r="E255" i="17"/>
  <c r="E124" i="17"/>
  <c r="E90" i="17" l="1"/>
  <c r="E55" i="17"/>
  <c r="E224" i="17"/>
  <c r="E322" i="17"/>
  <c r="E289" i="17"/>
  <c r="E157" i="17"/>
  <c r="E256" i="17"/>
  <c r="E191" i="17"/>
  <c r="E125" i="17"/>
  <c r="E91" i="17" l="1"/>
  <c r="E56" i="17"/>
  <c r="E225" i="17"/>
  <c r="E323" i="17"/>
  <c r="E290" i="17"/>
  <c r="E192" i="17"/>
  <c r="E158" i="17"/>
  <c r="E257" i="17"/>
  <c r="E126" i="17"/>
  <c r="E92" i="17" l="1"/>
  <c r="E57" i="17"/>
  <c r="E226" i="17"/>
  <c r="E324" i="17"/>
  <c r="E291" i="17"/>
  <c r="E159" i="17"/>
  <c r="E193" i="17"/>
  <c r="E258" i="17"/>
  <c r="E127" i="17"/>
  <c r="E93" i="17" l="1"/>
  <c r="E58" i="17"/>
  <c r="E227" i="17"/>
  <c r="E325" i="17"/>
  <c r="E292" i="17"/>
  <c r="E160" i="17"/>
  <c r="E194" i="17"/>
  <c r="E259" i="17"/>
  <c r="E128" i="17"/>
  <c r="E94" i="17" l="1"/>
  <c r="E59" i="17"/>
  <c r="E228" i="17"/>
  <c r="E326" i="17"/>
  <c r="E293" i="17"/>
  <c r="E195" i="17"/>
  <c r="E161" i="17"/>
  <c r="E260" i="17"/>
  <c r="E129" i="17"/>
  <c r="E95" i="17" l="1"/>
  <c r="E60" i="17"/>
  <c r="E229" i="17"/>
  <c r="E327" i="17"/>
  <c r="E294" i="17"/>
  <c r="N51" i="8"/>
  <c r="E196" i="17"/>
  <c r="E162" i="17"/>
  <c r="E261" i="17"/>
  <c r="E130" i="17"/>
  <c r="E96" i="17" l="1"/>
  <c r="E61" i="17"/>
  <c r="E230" i="17"/>
  <c r="E328" i="17"/>
  <c r="E295" i="17"/>
  <c r="N52" i="8"/>
  <c r="E163" i="17"/>
  <c r="E197" i="17"/>
  <c r="E262" i="17"/>
  <c r="E131" i="17"/>
  <c r="E97" i="17" l="1"/>
  <c r="E98" i="17"/>
  <c r="E62" i="17"/>
  <c r="E231" i="17"/>
  <c r="E329" i="17"/>
  <c r="N104" i="8"/>
  <c r="E296" i="17"/>
  <c r="E164" i="17"/>
  <c r="E198" i="17"/>
  <c r="E263" i="17"/>
  <c r="E132" i="17"/>
  <c r="E99" i="17" l="1"/>
  <c r="E63" i="17"/>
  <c r="E232" i="17"/>
  <c r="E330" i="17"/>
  <c r="E297" i="17"/>
  <c r="Q51" i="8"/>
  <c r="E199" i="17"/>
  <c r="E165" i="17"/>
  <c r="E264" i="17"/>
  <c r="E133" i="17"/>
  <c r="E100" i="17" l="1"/>
  <c r="E64" i="17"/>
  <c r="E233" i="17"/>
  <c r="E331" i="17"/>
  <c r="K51" i="8"/>
  <c r="Q52" i="8"/>
  <c r="E298" i="17"/>
  <c r="T51" i="8"/>
  <c r="E265" i="17"/>
  <c r="E166" i="17"/>
  <c r="E200" i="17"/>
  <c r="E134" i="17"/>
  <c r="E332" i="17" l="1"/>
  <c r="E101" i="17"/>
  <c r="E65" i="17"/>
  <c r="W51" i="8"/>
  <c r="E299" i="17"/>
  <c r="Q104" i="8"/>
  <c r="K52" i="8"/>
  <c r="T52" i="8"/>
  <c r="E201" i="17"/>
  <c r="E234" i="17"/>
  <c r="E167" i="17"/>
  <c r="E266" i="17"/>
  <c r="E135" i="17"/>
  <c r="N105" i="8"/>
  <c r="E333" i="17" l="1"/>
  <c r="T104" i="8"/>
  <c r="Q105" i="8"/>
  <c r="E66" i="17"/>
  <c r="E300" i="17"/>
  <c r="K104" i="8"/>
  <c r="W52" i="8"/>
  <c r="Z51" i="8"/>
  <c r="E202" i="17"/>
  <c r="E168" i="17"/>
  <c r="E334" i="17"/>
  <c r="E235" i="17"/>
  <c r="E267" i="17"/>
  <c r="N108" i="8"/>
  <c r="K105" i="8" l="1"/>
  <c r="T105" i="8"/>
  <c r="E301" i="17"/>
  <c r="Z52" i="8"/>
  <c r="W104" i="8"/>
  <c r="E169" i="17"/>
  <c r="E203" i="17"/>
  <c r="E236" i="17"/>
  <c r="E268" i="17"/>
  <c r="E335" i="17"/>
  <c r="E67" i="17"/>
  <c r="H105" i="8"/>
  <c r="N109" i="8"/>
  <c r="K81" i="15"/>
  <c r="K82" i="15" s="1"/>
  <c r="N110" i="8" l="1"/>
  <c r="E136" i="17"/>
  <c r="W108" i="8"/>
  <c r="AC51" i="8"/>
  <c r="K109" i="8"/>
  <c r="K108" i="8"/>
  <c r="E302" i="17"/>
  <c r="AF51" i="8"/>
  <c r="Z104" i="8"/>
  <c r="T108" i="8"/>
  <c r="E336" i="17"/>
  <c r="E269" i="17"/>
  <c r="H108" i="8"/>
  <c r="W105" i="8"/>
  <c r="Q108" i="8"/>
  <c r="E81" i="15"/>
  <c r="E82" i="15" s="1"/>
  <c r="G81" i="15"/>
  <c r="G82" i="15" s="1"/>
  <c r="F81" i="15"/>
  <c r="F82" i="15" s="1"/>
  <c r="H81" i="15"/>
  <c r="H82" i="15" s="1"/>
  <c r="M81" i="15"/>
  <c r="M82" i="15" s="1"/>
  <c r="L81" i="15"/>
  <c r="L82" i="15" s="1"/>
  <c r="J81" i="15"/>
  <c r="J82" i="15" s="1"/>
  <c r="I81" i="15"/>
  <c r="I82" i="15" s="1"/>
  <c r="H110" i="8" l="1"/>
  <c r="E68" i="17"/>
  <c r="H109" i="8"/>
  <c r="AF52" i="8"/>
  <c r="AC104" i="8"/>
  <c r="AC52" i="8"/>
  <c r="E303" i="17"/>
  <c r="E337" i="17"/>
  <c r="E270" i="17"/>
  <c r="T109" i="8"/>
  <c r="E237" i="17"/>
  <c r="Q109" i="8"/>
  <c r="N81" i="15"/>
  <c r="N82" i="15" s="1"/>
  <c r="AH99" i="8"/>
  <c r="AK99" i="8" s="1"/>
  <c r="T110" i="8" l="1"/>
  <c r="E204" i="17"/>
  <c r="K110" i="8"/>
  <c r="E102" i="17"/>
  <c r="Q110" i="8"/>
  <c r="E170" i="17"/>
  <c r="AF104" i="8"/>
  <c r="AF105" i="8"/>
  <c r="E304" i="17"/>
  <c r="E338" i="17"/>
  <c r="E271" i="17"/>
  <c r="W109" i="8"/>
  <c r="Z105" i="8"/>
  <c r="W110" i="8" l="1"/>
  <c r="E238" i="17"/>
  <c r="AF108" i="8"/>
  <c r="E305" i="17"/>
  <c r="AC105" i="8"/>
  <c r="Z108" i="8"/>
  <c r="AF109" i="8" l="1"/>
  <c r="AC108" i="8"/>
  <c r="Z109" i="8"/>
  <c r="E339" i="17"/>
  <c r="F10" i="1"/>
  <c r="Z110" i="8" l="1"/>
  <c r="E272" i="17"/>
  <c r="AC110" i="8"/>
  <c r="E306" i="17"/>
  <c r="AC109" i="8"/>
  <c r="F12" i="1"/>
  <c r="AF110" i="8" l="1"/>
  <c r="E340" i="17"/>
  <c r="F13" i="1"/>
  <c r="F14" i="1" l="1"/>
  <c r="F15" i="1" l="1"/>
  <c r="F16" i="1" s="1"/>
  <c r="F17" i="1" s="1"/>
  <c r="F18" i="1" l="1"/>
  <c r="F19" i="1" s="1"/>
  <c r="F20" i="1" l="1"/>
  <c r="F21" i="1" s="1"/>
  <c r="F22" i="1" s="1"/>
  <c r="F23" i="1" l="1"/>
  <c r="F25" i="1" l="1"/>
  <c r="F65" i="1" s="1"/>
  <c r="D45" i="7" s="1"/>
  <c r="BN65" i="1" l="1"/>
  <c r="E45" i="8" s="1"/>
  <c r="AH45" i="8" s="1"/>
  <c r="F66" i="1"/>
  <c r="BN66" i="1" s="1"/>
  <c r="AJ45" i="7"/>
  <c r="D46" i="7"/>
  <c r="AM45" i="7" l="1"/>
  <c r="E46" i="8"/>
  <c r="AK45" i="8"/>
  <c r="AH46" i="8"/>
  <c r="AK46" i="8" s="1"/>
  <c r="F68" i="1"/>
  <c r="BN68" i="1" s="1"/>
  <c r="E48" i="8" s="1"/>
  <c r="AH48" i="8" s="1"/>
  <c r="AK48" i="8" s="1"/>
  <c r="D48" i="7"/>
  <c r="AJ46" i="7"/>
  <c r="AM46" i="7" s="1"/>
  <c r="F69" i="1" l="1"/>
  <c r="F71" i="1" s="1"/>
  <c r="H71" i="1" s="1"/>
  <c r="J71" i="1" s="1"/>
  <c r="D49" i="7"/>
  <c r="AJ48" i="7"/>
  <c r="AM48" i="7" s="1"/>
  <c r="BN69" i="1" l="1"/>
  <c r="E49" i="8" s="1"/>
  <c r="AH49" i="8" s="1"/>
  <c r="AK49" i="8" s="1"/>
  <c r="F72" i="1"/>
  <c r="H72" i="1"/>
  <c r="D51" i="7"/>
  <c r="AJ49" i="7"/>
  <c r="L71" i="1"/>
  <c r="J72" i="1"/>
  <c r="J148" i="1" l="1"/>
  <c r="J150" i="1"/>
  <c r="H148" i="1"/>
  <c r="H150" i="1"/>
  <c r="F148" i="1"/>
  <c r="F150" i="1"/>
  <c r="AM49" i="7"/>
  <c r="D52" i="7"/>
  <c r="AJ51" i="7"/>
  <c r="N71" i="1"/>
  <c r="L72" i="1"/>
  <c r="L150" i="1" s="1"/>
  <c r="J153" i="1" l="1"/>
  <c r="H153" i="1"/>
  <c r="F153" i="1"/>
  <c r="H152" i="1"/>
  <c r="F152" i="1"/>
  <c r="J152" i="1"/>
  <c r="AJ52" i="7"/>
  <c r="D96" i="7"/>
  <c r="P71" i="1"/>
  <c r="N72" i="1"/>
  <c r="L148" i="1"/>
  <c r="L152" i="1" s="1"/>
  <c r="L153" i="1" l="1"/>
  <c r="N148" i="1"/>
  <c r="N150" i="1"/>
  <c r="AJ96" i="7"/>
  <c r="D97" i="7"/>
  <c r="D99" i="7" s="1"/>
  <c r="D100" i="7" s="1"/>
  <c r="D101" i="7" s="1"/>
  <c r="R71" i="1"/>
  <c r="P72" i="1"/>
  <c r="P150" i="1" s="1"/>
  <c r="F154" i="1"/>
  <c r="E5" i="17" s="1"/>
  <c r="N153" i="1" l="1"/>
  <c r="N152" i="1"/>
  <c r="P148" i="1"/>
  <c r="P152" i="1" s="1"/>
  <c r="T71" i="1"/>
  <c r="R72" i="1"/>
  <c r="H154" i="1"/>
  <c r="E6" i="17" s="1"/>
  <c r="P153" i="1" l="1"/>
  <c r="R148" i="1"/>
  <c r="R150" i="1"/>
  <c r="V71" i="1"/>
  <c r="T72" i="1"/>
  <c r="T150" i="1" s="1"/>
  <c r="R153" i="1" l="1"/>
  <c r="R152" i="1"/>
  <c r="T148" i="1"/>
  <c r="T152" i="1" s="1"/>
  <c r="X71" i="1"/>
  <c r="V72" i="1"/>
  <c r="J154" i="1"/>
  <c r="E7" i="17" s="1"/>
  <c r="T153" i="1" l="1"/>
  <c r="V148" i="1"/>
  <c r="V150" i="1"/>
  <c r="Z71" i="1"/>
  <c r="X72" i="1"/>
  <c r="X150" i="1" s="1"/>
  <c r="N154" i="1"/>
  <c r="E9" i="17" s="1"/>
  <c r="L154" i="1"/>
  <c r="E8" i="17" s="1"/>
  <c r="V153" i="1" l="1"/>
  <c r="V152" i="1"/>
  <c r="X148" i="1"/>
  <c r="X152" i="1" s="1"/>
  <c r="AB71" i="1"/>
  <c r="Z72" i="1"/>
  <c r="X153" i="1" l="1"/>
  <c r="Z148" i="1"/>
  <c r="Z150" i="1"/>
  <c r="AD71" i="1"/>
  <c r="AB72" i="1"/>
  <c r="AB150" i="1" s="1"/>
  <c r="P154" i="1"/>
  <c r="E10" i="17" s="1"/>
  <c r="AJ97" i="7"/>
  <c r="Z153" i="1" l="1"/>
  <c r="Z152" i="1"/>
  <c r="AF71" i="1"/>
  <c r="AD72" i="1"/>
  <c r="AB148" i="1"/>
  <c r="AB152" i="1" s="1"/>
  <c r="R154" i="1"/>
  <c r="E11" i="17" s="1"/>
  <c r="AB153" i="1" l="1"/>
  <c r="AD148" i="1"/>
  <c r="AD150" i="1"/>
  <c r="AH71" i="1"/>
  <c r="AF72" i="1"/>
  <c r="AJ99" i="7"/>
  <c r="T154" i="1"/>
  <c r="E12" i="17" s="1"/>
  <c r="AD153" i="1" l="1"/>
  <c r="AF148" i="1"/>
  <c r="AF150" i="1"/>
  <c r="AD152" i="1"/>
  <c r="X154" i="1"/>
  <c r="E14" i="17" s="1"/>
  <c r="AJ71" i="1"/>
  <c r="AH72" i="1"/>
  <c r="V154" i="1"/>
  <c r="AJ100" i="7"/>
  <c r="AF153" i="1" l="1"/>
  <c r="AH148" i="1"/>
  <c r="AH150" i="1"/>
  <c r="AF152" i="1"/>
  <c r="AJ101" i="7"/>
  <c r="E13" i="17"/>
  <c r="Z154" i="1"/>
  <c r="E15" i="17" s="1"/>
  <c r="AL71" i="1"/>
  <c r="AJ72" i="1"/>
  <c r="AJ148" i="1" s="1"/>
  <c r="AH152" i="1" l="1"/>
  <c r="AH153" i="1" s="1"/>
  <c r="AJ149" i="1"/>
  <c r="AJ150" i="1" s="1"/>
  <c r="AB154" i="1"/>
  <c r="E16" i="17" s="1"/>
  <c r="AN71" i="1"/>
  <c r="AL72" i="1"/>
  <c r="AL148" i="1" s="1"/>
  <c r="AL149" i="1" l="1"/>
  <c r="AL150" i="1" s="1"/>
  <c r="AD154" i="1"/>
  <c r="E17" i="17" s="1"/>
  <c r="AP71" i="1"/>
  <c r="AN72" i="1"/>
  <c r="AN148" i="1" s="1"/>
  <c r="AN149" i="1" l="1"/>
  <c r="AN150" i="1" s="1"/>
  <c r="AF154" i="1"/>
  <c r="E18" i="17" s="1"/>
  <c r="AR71" i="1"/>
  <c r="AP72" i="1"/>
  <c r="AP148" i="1" s="1"/>
  <c r="AP149" i="1" l="1"/>
  <c r="AP150" i="1" s="1"/>
  <c r="AH154" i="1"/>
  <c r="E19" i="17" s="1"/>
  <c r="AT71" i="1"/>
  <c r="AR72" i="1"/>
  <c r="AR148" i="1" s="1"/>
  <c r="AJ152" i="1"/>
  <c r="AR149" i="1" l="1"/>
  <c r="AR150" i="1" s="1"/>
  <c r="AJ153" i="1"/>
  <c r="AJ154" i="1" s="1"/>
  <c r="E20" i="17" s="1"/>
  <c r="AV71" i="1"/>
  <c r="AT72" i="1"/>
  <c r="AT148" i="1" s="1"/>
  <c r="AT149" i="1" s="1"/>
  <c r="AT150" i="1" s="1"/>
  <c r="AL152" i="1"/>
  <c r="AL153" i="1" l="1"/>
  <c r="AL154" i="1" s="1"/>
  <c r="E21" i="17" s="1"/>
  <c r="AX71" i="1"/>
  <c r="AV72" i="1"/>
  <c r="AV148" i="1" s="1"/>
  <c r="AV149" i="1" s="1"/>
  <c r="AV150" i="1" s="1"/>
  <c r="AN152" i="1"/>
  <c r="AN153" i="1" l="1"/>
  <c r="AN154" i="1" s="1"/>
  <c r="E22" i="17" s="1"/>
  <c r="AZ71" i="1"/>
  <c r="AX72" i="1"/>
  <c r="AX148" i="1" s="1"/>
  <c r="AX149" i="1" s="1"/>
  <c r="AX150" i="1" s="1"/>
  <c r="AP152" i="1"/>
  <c r="AP153" i="1" l="1"/>
  <c r="AP154" i="1" s="1"/>
  <c r="E23" i="17" s="1"/>
  <c r="BB71" i="1"/>
  <c r="AZ72" i="1"/>
  <c r="AZ148" i="1" s="1"/>
  <c r="AZ149" i="1" s="1"/>
  <c r="AZ150" i="1" s="1"/>
  <c r="AR152" i="1"/>
  <c r="AR153" i="1" l="1"/>
  <c r="AR154" i="1" s="1"/>
  <c r="E24" i="17" s="1"/>
  <c r="BD71" i="1"/>
  <c r="BB72" i="1"/>
  <c r="BB148" i="1" s="1"/>
  <c r="BB149" i="1" s="1"/>
  <c r="BB150" i="1" s="1"/>
  <c r="AT152" i="1"/>
  <c r="AT153" i="1" l="1"/>
  <c r="AT154" i="1" s="1"/>
  <c r="E25" i="17" s="1"/>
  <c r="BF71" i="1"/>
  <c r="BD72" i="1"/>
  <c r="BD148" i="1" s="1"/>
  <c r="BD149" i="1" s="1"/>
  <c r="BD150" i="1" s="1"/>
  <c r="AV152" i="1"/>
  <c r="AV153" i="1" l="1"/>
  <c r="AV154" i="1" s="1"/>
  <c r="E26" i="17" s="1"/>
  <c r="BH71" i="1"/>
  <c r="BF72" i="1"/>
  <c r="BF148" i="1" s="1"/>
  <c r="BF149" i="1" s="1"/>
  <c r="BF150" i="1" s="1"/>
  <c r="AX152" i="1"/>
  <c r="AX153" i="1" l="1"/>
  <c r="BJ71" i="1"/>
  <c r="BH72" i="1"/>
  <c r="BH148" i="1" s="1"/>
  <c r="BH149" i="1" s="1"/>
  <c r="BH150" i="1" s="1"/>
  <c r="AZ152" i="1"/>
  <c r="AZ153" i="1" l="1"/>
  <c r="AZ154" i="1" s="1"/>
  <c r="E28" i="17" s="1"/>
  <c r="BL71" i="1"/>
  <c r="BJ72" i="1"/>
  <c r="BJ148" i="1" s="1"/>
  <c r="BJ149" i="1" s="1"/>
  <c r="BJ150" i="1" s="1"/>
  <c r="AX154" i="1"/>
  <c r="E27" i="17" s="1"/>
  <c r="BB152" i="1"/>
  <c r="BB153" i="1" l="1"/>
  <c r="BB154" i="1" s="1"/>
  <c r="E29" i="17" s="1"/>
  <c r="BL72" i="1"/>
  <c r="BN71" i="1"/>
  <c r="BD152" i="1"/>
  <c r="BD153" i="1" l="1"/>
  <c r="BD154" i="1" s="1"/>
  <c r="E30" i="17" s="1"/>
  <c r="E51" i="8"/>
  <c r="AH51" i="8" s="1"/>
  <c r="AK51" i="8" s="1"/>
  <c r="AM51" i="7"/>
  <c r="BL148" i="1"/>
  <c r="BN72" i="1"/>
  <c r="BF152" i="1"/>
  <c r="BF153" i="1" l="1"/>
  <c r="BF154" i="1" s="1"/>
  <c r="E31" i="17" s="1"/>
  <c r="E52" i="8"/>
  <c r="AH52" i="8" s="1"/>
  <c r="AK52" i="8" s="1"/>
  <c r="AM52" i="7"/>
  <c r="BN148" i="1"/>
  <c r="BL149" i="1"/>
  <c r="BL150" i="1" s="1"/>
  <c r="BN150" i="1" s="1"/>
  <c r="E106" i="8" s="1"/>
  <c r="AH106" i="8" s="1"/>
  <c r="AK106" i="8" s="1"/>
  <c r="BH152" i="1"/>
  <c r="BH153" i="1" l="1"/>
  <c r="BH154" i="1" s="1"/>
  <c r="E32" i="17" s="1"/>
  <c r="E104" i="8"/>
  <c r="AH104" i="8" s="1"/>
  <c r="AK104" i="8" s="1"/>
  <c r="AM96" i="7"/>
  <c r="BL152" i="1"/>
  <c r="BJ152" i="1"/>
  <c r="BN149" i="1"/>
  <c r="BJ153" i="1" l="1"/>
  <c r="BL153" i="1" s="1"/>
  <c r="BN153" i="1" s="1"/>
  <c r="AM100" i="7" s="1"/>
  <c r="E105" i="8"/>
  <c r="AH105" i="8" s="1"/>
  <c r="AK105" i="8" s="1"/>
  <c r="AM97" i="7"/>
  <c r="BN152" i="1"/>
  <c r="BJ154" i="1" l="1"/>
  <c r="E33" i="17" s="1"/>
  <c r="E108" i="8"/>
  <c r="AH108" i="8" s="1"/>
  <c r="AK108" i="8" s="1"/>
  <c r="AM99" i="7"/>
  <c r="BL154" i="1"/>
  <c r="E109" i="8"/>
  <c r="AH109" i="8" s="1"/>
  <c r="AK109" i="8" s="1"/>
  <c r="BN154" i="1" l="1"/>
  <c r="E110" i="8" s="1"/>
  <c r="AH110" i="8" s="1"/>
  <c r="AK110" i="8" s="1"/>
  <c r="E34" i="17"/>
  <c r="E342" i="17" s="1"/>
  <c r="I2" i="17" l="1"/>
  <c r="AM101" i="7"/>
</calcChain>
</file>

<file path=xl/sharedStrings.xml><?xml version="1.0" encoding="utf-8"?>
<sst xmlns="http://schemas.openxmlformats.org/spreadsheetml/2006/main" count="1489" uniqueCount="188">
  <si>
    <t>Task Number</t>
  </si>
  <si>
    <t>Task Name</t>
  </si>
  <si>
    <t>Start Date</t>
  </si>
  <si>
    <t>End Date</t>
  </si>
  <si>
    <t>Name</t>
  </si>
  <si>
    <t>Hourly Rate</t>
  </si>
  <si>
    <t># Hours</t>
  </si>
  <si>
    <t>Dollar Value</t>
  </si>
  <si>
    <t>Subtotal</t>
  </si>
  <si>
    <t>Labor Subtotal</t>
  </si>
  <si>
    <t>Fringe Rate @</t>
  </si>
  <si>
    <t>Other Direct Costs:</t>
  </si>
  <si>
    <t>Travel</t>
  </si>
  <si>
    <t>Number of trips</t>
  </si>
  <si>
    <t>Number of days</t>
  </si>
  <si>
    <t>Destination 1</t>
  </si>
  <si>
    <t>Lodging per diem</t>
  </si>
  <si>
    <t>Meal per diem</t>
  </si>
  <si>
    <t>Destination 2</t>
  </si>
  <si>
    <t>ODC Subtotal</t>
  </si>
  <si>
    <t>SUBTOTAL</t>
  </si>
  <si>
    <t>Subtotal Budget</t>
  </si>
  <si>
    <t>Fee @</t>
  </si>
  <si>
    <t>TOTAL BUDGET</t>
  </si>
  <si>
    <t>Task 1.1</t>
  </si>
  <si>
    <t xml:space="preserve">Item 1  </t>
  </si>
  <si>
    <t xml:space="preserve">Item 2 </t>
  </si>
  <si>
    <t xml:space="preserve">Item 3 </t>
  </si>
  <si>
    <t xml:space="preserve">Item 4 </t>
  </si>
  <si>
    <t xml:space="preserve">Item 5 </t>
  </si>
  <si>
    <t>Cost @ --&gt;</t>
  </si>
  <si>
    <t>Task 1.2</t>
  </si>
  <si>
    <t>Task 1.3</t>
  </si>
  <si>
    <t>Task 1.4</t>
  </si>
  <si>
    <t>Task 1.5</t>
  </si>
  <si>
    <t>Task 1.6</t>
  </si>
  <si>
    <t>Task 1.7</t>
  </si>
  <si>
    <t>Task 1.8</t>
  </si>
  <si>
    <t>Total @ --&gt;</t>
  </si>
  <si>
    <t>Task 1.9</t>
  </si>
  <si>
    <t>Task 1.10</t>
  </si>
  <si>
    <t>Subtask Number</t>
  </si>
  <si>
    <t>Task 1</t>
  </si>
  <si>
    <t>Task 2</t>
  </si>
  <si>
    <t>Task 3</t>
  </si>
  <si>
    <t>Task 4</t>
  </si>
  <si>
    <t>Budget by Task</t>
  </si>
  <si>
    <t>Task 5</t>
  </si>
  <si>
    <t>Task 6</t>
  </si>
  <si>
    <t>Task 7</t>
  </si>
  <si>
    <t>Task 8</t>
  </si>
  <si>
    <t>Task 9</t>
  </si>
  <si>
    <t>Task 10</t>
  </si>
  <si>
    <t>Total Hours</t>
  </si>
  <si>
    <t>Total Dollars</t>
  </si>
  <si>
    <t>Budget by Year</t>
  </si>
  <si>
    <t>Year 1</t>
  </si>
  <si>
    <t>Year 2</t>
  </si>
  <si>
    <t>Year 3</t>
  </si>
  <si>
    <t>Year 4</t>
  </si>
  <si>
    <t>Year 5</t>
  </si>
  <si>
    <t>Year 6</t>
  </si>
  <si>
    <t>(Will be applied to rates in every Year)</t>
  </si>
  <si>
    <t xml:space="preserve">Staff </t>
  </si>
  <si>
    <t>Staff</t>
  </si>
  <si>
    <t>Number of nights</t>
  </si>
  <si>
    <t>Transportation per day</t>
  </si>
  <si>
    <t>Airfare/Train Cost</t>
  </si>
  <si>
    <t>Total</t>
  </si>
  <si>
    <t>Overhead Rate @</t>
  </si>
  <si>
    <t>Indirect/G&amp;A Rate @</t>
  </si>
  <si>
    <t xml:space="preserve">Overhead Rate </t>
  </si>
  <si>
    <t xml:space="preserve">Fringe Rate </t>
  </si>
  <si>
    <t>ODC Costs</t>
  </si>
  <si>
    <t>Travel Total</t>
  </si>
  <si>
    <t>ODC Total</t>
  </si>
  <si>
    <t>ODC Cost by Task</t>
  </si>
  <si>
    <t>ODC Cost by Year</t>
  </si>
  <si>
    <t xml:space="preserve">ODC Costs </t>
  </si>
  <si>
    <t>Budget By Task</t>
  </si>
  <si>
    <t>Summary Tables</t>
  </si>
  <si>
    <t>Item 7</t>
  </si>
  <si>
    <t>Item 8</t>
  </si>
  <si>
    <t>Item 9</t>
  </si>
  <si>
    <t>Item 10</t>
  </si>
  <si>
    <t>Destination 3</t>
  </si>
  <si>
    <t>Destination 4</t>
  </si>
  <si>
    <t>Destination 5</t>
  </si>
  <si>
    <t>Item 6</t>
  </si>
  <si>
    <t>Year 7</t>
  </si>
  <si>
    <t>Year 8</t>
  </si>
  <si>
    <t>Year 9</t>
  </si>
  <si>
    <t>Year 10</t>
  </si>
  <si>
    <t>Project Year</t>
  </si>
  <si>
    <t>Budget Form Instructions</t>
  </si>
  <si>
    <t>Task 11</t>
  </si>
  <si>
    <t>Task 12</t>
  </si>
  <si>
    <t>Task 13</t>
  </si>
  <si>
    <t>Task 14</t>
  </si>
  <si>
    <t>Task 15</t>
  </si>
  <si>
    <t>Task 16</t>
  </si>
  <si>
    <t>Enter Destination</t>
  </si>
  <si>
    <t>Item 2 [Enter ODC Title Here.]</t>
  </si>
  <si>
    <t>Item 3 [Enter ODC Title Here.]</t>
  </si>
  <si>
    <t>Item 4 [Enter ODC Title Here.]</t>
  </si>
  <si>
    <t>Item 5 [Enter ODC Title Here.]</t>
  </si>
  <si>
    <t>Item 6 [Enter ODC Title Here.]</t>
  </si>
  <si>
    <t>Item 7 [Enter ODC Title Here.]</t>
  </si>
  <si>
    <t>Item 8 [Enter ODC Title Here.]</t>
  </si>
  <si>
    <t>Item 9 [Enter ODC Title Here.]</t>
  </si>
  <si>
    <t>Item 10 [Enter ODC Title Here.]</t>
  </si>
  <si>
    <t>Enter Task # Here</t>
  </si>
  <si>
    <t>Enter Subtask # Here</t>
  </si>
  <si>
    <t>Enter Task Name</t>
  </si>
  <si>
    <t>Item 1</t>
  </si>
  <si>
    <t>Travel:</t>
  </si>
  <si>
    <t>Item 1 [Enter ODC Title Here.]</t>
  </si>
  <si>
    <t>Labor Category/Title</t>
  </si>
  <si>
    <t>Enter Labor Category/Title</t>
  </si>
  <si>
    <t>Edit the task columns by providing task and subtask numbers, names, and start/end dates.</t>
  </si>
  <si>
    <t>Input the hours corresponding to each staff member and task.</t>
  </si>
  <si>
    <t>Following the staff hours section is an area for you to input any ODCs and travel costs. Enter any ODC names in Column B, and then provide the costs to the right. For travel, enter the destination name, and fill out the appropriate rows below.</t>
  </si>
  <si>
    <t>Beginning in the Year 1 tab, please enter your company name, the project name, the client name, staff names, staff labor categories, hourly rates, and salary increment. These items will automatically be applied across all years.</t>
  </si>
  <si>
    <t>In B4, please enter the period of performance (e.g., base year, option period 1, etc.). In D48 and D51, please enter your fringe and overhead rates, respectively. These should be entered for each subsequent year.</t>
  </si>
  <si>
    <t xml:space="preserve">There are a ten tabs available for you to input budget information. </t>
  </si>
  <si>
    <t>Should you need more rows to enter staff names, ODCs, or travel, unhide the rows indicated by the "unhide here" boxes in each tab.</t>
  </si>
  <si>
    <t>The "Budget by Task" and "Budget by Year" tabs are summary tables that summarize your budget by task and by year. AJ100 in "Budget by Task" or AH108 in "Budget by Year" is the total budget amount.</t>
  </si>
  <si>
    <t>The "Buttons" tab includes buttons that will hide zeros for each "Year X" tab to make the budget better for viewing. Similarly, the "Hide Zeros" buttons in the "Budget by Task" and "Budget by Year" tabs will do the same for those tabs.</t>
  </si>
  <si>
    <r>
      <t xml:space="preserve">Cells with </t>
    </r>
    <r>
      <rPr>
        <sz val="11"/>
        <color rgb="FF0066FF"/>
        <rFont val="Calibri"/>
        <family val="2"/>
        <scheme val="minor"/>
      </rPr>
      <t xml:space="preserve">blue </t>
    </r>
    <r>
      <rPr>
        <sz val="11"/>
        <rFont val="Calibri"/>
        <family val="2"/>
        <scheme val="minor"/>
      </rPr>
      <t>font should be updated with your specific budget information (staff names, labor categories, salary increment, etc.). Cells with black font should not be edited, as they contain formulas and are protected cells.</t>
    </r>
  </si>
  <si>
    <t>Start Date -&gt;</t>
  </si>
  <si>
    <t>End Date -&gt;</t>
  </si>
  <si>
    <t>Summed Months</t>
  </si>
  <si>
    <t>When do your rates escalate?</t>
  </si>
  <si>
    <t>When is your escalation percentage?</t>
  </si>
  <si>
    <t>Labor Increment</t>
  </si>
  <si>
    <t>Salary Increment</t>
  </si>
  <si>
    <t>General Labor Dollars</t>
  </si>
  <si>
    <t>CHECK</t>
  </si>
  <si>
    <t>COL</t>
  </si>
  <si>
    <t>Total Cost</t>
  </si>
  <si>
    <t>Check</t>
  </si>
  <si>
    <t>Col</t>
  </si>
  <si>
    <t>Check Row</t>
  </si>
  <si>
    <t>Budget by Period</t>
  </si>
  <si>
    <t>Base Period</t>
  </si>
  <si>
    <t>Option Period 1</t>
  </si>
  <si>
    <t>Option Period 2</t>
  </si>
  <si>
    <t>Option Period 3</t>
  </si>
  <si>
    <t>Option Period 4</t>
  </si>
  <si>
    <t>Option Period 5</t>
  </si>
  <si>
    <t>Option Period 6</t>
  </si>
  <si>
    <t>Option Period 7</t>
  </si>
  <si>
    <t>Option Period 8</t>
  </si>
  <si>
    <t>Option Period 9</t>
  </si>
  <si>
    <t xml:space="preserve">Budget Check </t>
  </si>
  <si>
    <t>Total Budget</t>
  </si>
  <si>
    <t>Hours Check</t>
  </si>
  <si>
    <t>Weekly Meetings</t>
  </si>
  <si>
    <t>Monthly Progress Reports</t>
  </si>
  <si>
    <t>3.7.1</t>
  </si>
  <si>
    <t>Acquire CMS DUAs and Claims Data</t>
  </si>
  <si>
    <t>Data Collection and Analysis Plan</t>
  </si>
  <si>
    <t>Onboarding of Model Participants, incl. Task 3.3.1</t>
  </si>
  <si>
    <t>RO Model Monitoring</t>
  </si>
  <si>
    <t>Site Review</t>
  </si>
  <si>
    <t>Virtual/Desk Audit</t>
  </si>
  <si>
    <t>Chart Review</t>
  </si>
  <si>
    <t>Monitor Compliance with Billing Requirements</t>
  </si>
  <si>
    <t>Monitor &amp; Perform Trend Analyses on Effects of the RO Model</t>
  </si>
  <si>
    <t>Short-term Claims-Based Research and Analyses</t>
  </si>
  <si>
    <t>Lont-Term Claims-Based Research and Analyses</t>
  </si>
  <si>
    <t>Model Close Out</t>
  </si>
  <si>
    <t>Senior Medical Integrity Reviewer</t>
  </si>
  <si>
    <t>Mid Level Medical Integrity Reviewer</t>
  </si>
  <si>
    <t>Data Analyst</t>
  </si>
  <si>
    <t>Senior Data Manager</t>
  </si>
  <si>
    <t>Junior Level Medical Integrity Reviewer</t>
  </si>
  <si>
    <t>Unknown/Various</t>
  </si>
  <si>
    <t>Various/Unknown Locations</t>
  </si>
  <si>
    <t>Lodging per diem (plus assumed 10% tax)</t>
  </si>
  <si>
    <t>Centers for Medicare and Medicaid Services</t>
  </si>
  <si>
    <t>Combined Overhead (17.83%) and Facilities (4.29%) @</t>
  </si>
  <si>
    <t>Indirect/G&amp;A Rate applied to Travel/ODCs @</t>
  </si>
  <si>
    <t>Indirect/G&amp;A Rate applied to Direct Labor @</t>
  </si>
  <si>
    <t>Fee applied to fully loaded direct labor @</t>
  </si>
  <si>
    <t>Vendor</t>
  </si>
  <si>
    <t>Description of Contract</t>
  </si>
  <si>
    <t>If you have any questions regarding this template, please contact your Vendor Business Point of Contact for assistance.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</si>
</sst>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0"/>
    <numFmt numFmtId="165" formatCode="&quot;$&quot;#,##0"/>
    <numFmt numFmtId="166" formatCode="mmmm\ d\,\ yyyy"/>
    <numFmt numFmtId="167" formatCode="0.0%"/>
    <numFmt numFmtId="168" formatCode="0.00000000"/>
    <numFmt numFmtId="169" formatCode="0.0"/>
  </numFmts>
  <fonts count="24" x14ac:knownFonts="1">
    <font>
      <sz val="11"/>
      <color theme="1"/>
      <name val="Calibri"/>
      <family val="2"/>
      <scheme val="minor"/>
    </font>
    <font>
      <sz val="11"/>
      <color theme="1"/>
      <name val="Calibri"/>
      <family val="2"/>
      <scheme val="minor"/>
    </font>
    <font>
      <b/>
      <sz val="11"/>
      <color theme="1"/>
      <name val="Calibri"/>
      <family val="2"/>
      <scheme val="minor"/>
    </font>
    <font>
      <sz val="11"/>
      <color rgb="FF0066FF"/>
      <name val="Calibri"/>
      <family val="2"/>
      <scheme val="minor"/>
    </font>
    <font>
      <sz val="11"/>
      <name val="Calibri"/>
      <family val="2"/>
      <scheme val="minor"/>
    </font>
    <font>
      <b/>
      <sz val="11"/>
      <color rgb="FF0066FF"/>
      <name val="Calibri"/>
      <family val="2"/>
      <scheme val="minor"/>
    </font>
    <font>
      <b/>
      <sz val="11"/>
      <name val="Calibri"/>
      <family val="2"/>
      <scheme val="minor"/>
    </font>
    <font>
      <b/>
      <sz val="11"/>
      <color theme="0"/>
      <name val="Calibri"/>
      <family val="2"/>
      <scheme val="minor"/>
    </font>
    <font>
      <sz val="11"/>
      <color theme="0"/>
      <name val="Calibri"/>
      <family val="2"/>
      <scheme val="minor"/>
    </font>
    <font>
      <sz val="10"/>
      <color rgb="FF0066FF"/>
      <name val="Calibri"/>
      <family val="2"/>
      <scheme val="minor"/>
    </font>
    <font>
      <sz val="10"/>
      <color theme="1"/>
      <name val="Calibri"/>
      <family val="2"/>
      <scheme val="minor"/>
    </font>
    <font>
      <sz val="11"/>
      <color rgb="FF000000"/>
      <name val="Calibri"/>
      <family val="2"/>
    </font>
    <font>
      <b/>
      <u/>
      <sz val="22"/>
      <color theme="1"/>
      <name val="Calibri"/>
      <family val="2"/>
      <scheme val="minor"/>
    </font>
    <font>
      <sz val="12"/>
      <color indexed="12"/>
      <name val="Arial"/>
      <family val="2"/>
    </font>
    <font>
      <sz val="11"/>
      <color indexed="10"/>
      <name val="Arial"/>
      <family val="2"/>
    </font>
    <font>
      <sz val="12"/>
      <color theme="1"/>
      <name val="Arial"/>
      <family val="2"/>
    </font>
    <font>
      <sz val="12"/>
      <name val="Calibri"/>
      <family val="2"/>
      <scheme val="minor"/>
    </font>
    <font>
      <sz val="12"/>
      <color theme="1"/>
      <name val="Calibri"/>
      <family val="2"/>
      <scheme val="minor"/>
    </font>
    <font>
      <sz val="11"/>
      <color indexed="12"/>
      <name val="Calibri"/>
      <family val="2"/>
      <scheme val="minor"/>
    </font>
    <font>
      <sz val="11"/>
      <color indexed="10"/>
      <name val="Calibri"/>
      <family val="2"/>
      <scheme val="minor"/>
    </font>
    <font>
      <b/>
      <sz val="12"/>
      <color indexed="10"/>
      <name val="Arial"/>
      <family val="2"/>
    </font>
    <font>
      <b/>
      <sz val="12"/>
      <color rgb="FFFF0000"/>
      <name val="Arial"/>
      <family val="2"/>
    </font>
    <font>
      <sz val="14"/>
      <color rgb="FF000000"/>
      <name val="Calibri"/>
      <family val="2"/>
    </font>
    <font>
      <sz val="11"/>
      <color rgb="FFFF0000"/>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0F8357"/>
        <bgColor indexed="64"/>
      </patternFill>
    </fill>
    <fill>
      <patternFill patternType="solid">
        <fgColor theme="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style="thin">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10"/>
      </left>
      <right style="thick">
        <color indexed="10"/>
      </right>
      <top style="thick">
        <color indexed="10"/>
      </top>
      <bottom/>
      <diagonal/>
    </border>
    <border>
      <left style="thick">
        <color indexed="10"/>
      </left>
      <right style="thick">
        <color indexed="10"/>
      </right>
      <top/>
      <bottom/>
      <diagonal/>
    </border>
    <border>
      <left/>
      <right/>
      <top style="medium">
        <color rgb="FFFF0000"/>
      </top>
      <bottom/>
      <diagonal/>
    </border>
    <border>
      <left style="thick">
        <color indexed="10"/>
      </left>
      <right style="thick">
        <color indexed="10"/>
      </right>
      <top/>
      <bottom style="medium">
        <color rgb="FFFF0000"/>
      </bottom>
      <diagonal/>
    </border>
    <border>
      <left style="medium">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94">
    <xf numFmtId="0" fontId="0" fillId="0" borderId="0" xfId="0"/>
    <xf numFmtId="0" fontId="0" fillId="0" borderId="0" xfId="0" applyAlignment="1">
      <alignment horizontal="center"/>
    </xf>
    <xf numFmtId="0" fontId="3" fillId="0" borderId="0" xfId="0" applyFont="1"/>
    <xf numFmtId="0" fontId="0" fillId="0" borderId="0" xfId="0" applyAlignment="1">
      <alignment horizontal="left" indent="1"/>
    </xf>
    <xf numFmtId="0" fontId="2" fillId="0" borderId="0" xfId="0" applyFont="1"/>
    <xf numFmtId="1" fontId="0" fillId="0" borderId="0" xfId="0" applyNumberFormat="1" applyAlignment="1">
      <alignment horizontal="center"/>
    </xf>
    <xf numFmtId="0" fontId="4" fillId="0" borderId="0" xfId="0" applyFont="1"/>
    <xf numFmtId="0" fontId="5" fillId="0" borderId="0" xfId="0" applyFont="1"/>
    <xf numFmtId="0" fontId="6" fillId="0" borderId="0" xfId="0" applyFont="1"/>
    <xf numFmtId="0" fontId="0" fillId="0" borderId="0" xfId="0" applyProtection="1">
      <protection locked="0"/>
    </xf>
    <xf numFmtId="0" fontId="3" fillId="0" borderId="0" xfId="1" applyNumberFormat="1" applyFont="1" applyAlignment="1" applyProtection="1">
      <alignment horizontal="center"/>
      <protection locked="0"/>
    </xf>
    <xf numFmtId="165" fontId="0" fillId="0" borderId="0" xfId="0" applyNumberFormat="1" applyAlignment="1">
      <alignment horizontal="center"/>
    </xf>
    <xf numFmtId="165" fontId="4" fillId="0" borderId="0" xfId="0" applyNumberFormat="1" applyFont="1"/>
    <xf numFmtId="0" fontId="0" fillId="2" borderId="0" xfId="0" applyFill="1"/>
    <xf numFmtId="165" fontId="0" fillId="0" borderId="0" xfId="0" applyNumberFormat="1"/>
    <xf numFmtId="0" fontId="1" fillId="0" borderId="0" xfId="1" applyNumberFormat="1" applyFont="1" applyAlignment="1" applyProtection="1">
      <alignment horizontal="center"/>
    </xf>
    <xf numFmtId="165" fontId="1" fillId="0" borderId="0" xfId="1" applyNumberFormat="1" applyFont="1" applyAlignment="1" applyProtection="1">
      <alignment horizontal="center"/>
    </xf>
    <xf numFmtId="0" fontId="3" fillId="0" borderId="0" xfId="1" applyNumberFormat="1" applyFont="1" applyAlignment="1" applyProtection="1">
      <alignment horizontal="center"/>
    </xf>
    <xf numFmtId="165" fontId="4" fillId="0" borderId="0" xfId="0" applyNumberFormat="1" applyFont="1" applyAlignment="1">
      <alignment horizontal="right"/>
    </xf>
    <xf numFmtId="0" fontId="4" fillId="0" borderId="0" xfId="0" applyFont="1" applyAlignment="1">
      <alignment horizontal="left"/>
    </xf>
    <xf numFmtId="164" fontId="4" fillId="0" borderId="0" xfId="1" applyNumberFormat="1" applyFont="1" applyAlignment="1" applyProtection="1">
      <alignment horizontal="center"/>
    </xf>
    <xf numFmtId="164" fontId="3" fillId="0" borderId="0" xfId="1" applyNumberFormat="1" applyFont="1" applyAlignment="1" applyProtection="1">
      <alignment horizontal="left" indent="1"/>
    </xf>
    <xf numFmtId="165" fontId="0" fillId="0" borderId="0" xfId="1" applyNumberFormat="1" applyFont="1" applyProtection="1"/>
    <xf numFmtId="165" fontId="0" fillId="0" borderId="0" xfId="1" applyNumberFormat="1" applyFont="1" applyAlignment="1">
      <alignment horizontal="center"/>
    </xf>
    <xf numFmtId="165" fontId="0" fillId="0" borderId="0" xfId="1" applyNumberFormat="1" applyFont="1" applyAlignment="1" applyProtection="1">
      <alignment horizontal="center"/>
    </xf>
    <xf numFmtId="0" fontId="3" fillId="3" borderId="0" xfId="0" applyFont="1" applyFill="1" applyProtection="1">
      <protection locked="0"/>
    </xf>
    <xf numFmtId="165" fontId="0" fillId="0" borderId="2" xfId="1" applyNumberFormat="1" applyFont="1" applyBorder="1" applyAlignment="1">
      <alignment horizontal="center"/>
    </xf>
    <xf numFmtId="0" fontId="0" fillId="0" borderId="3" xfId="0" applyBorder="1" applyAlignment="1">
      <alignment horizontal="center"/>
    </xf>
    <xf numFmtId="0" fontId="3" fillId="3" borderId="2" xfId="1" applyNumberFormat="1" applyFont="1" applyFill="1" applyBorder="1" applyAlignment="1" applyProtection="1">
      <alignment horizontal="center"/>
      <protection locked="0"/>
    </xf>
    <xf numFmtId="165" fontId="4" fillId="0" borderId="3" xfId="1" applyNumberFormat="1" applyFont="1" applyBorder="1" applyAlignment="1" applyProtection="1">
      <alignment horizontal="center"/>
      <protection locked="0"/>
    </xf>
    <xf numFmtId="0" fontId="3" fillId="3" borderId="4" xfId="1" applyNumberFormat="1" applyFont="1" applyFill="1" applyBorder="1" applyAlignment="1" applyProtection="1">
      <alignment horizontal="center"/>
      <protection locked="0"/>
    </xf>
    <xf numFmtId="0" fontId="0" fillId="0" borderId="7" xfId="0" applyBorder="1"/>
    <xf numFmtId="0" fontId="3" fillId="0" borderId="0" xfId="1" applyNumberFormat="1" applyFont="1" applyBorder="1" applyAlignment="1" applyProtection="1">
      <alignment horizontal="center"/>
      <protection locked="0"/>
    </xf>
    <xf numFmtId="165" fontId="0" fillId="0" borderId="8" xfId="0" applyNumberFormat="1" applyBorder="1" applyAlignment="1">
      <alignment horizontal="center"/>
    </xf>
    <xf numFmtId="165" fontId="0" fillId="0" borderId="6" xfId="1" applyNumberFormat="1" applyFont="1" applyBorder="1" applyAlignment="1">
      <alignment horizontal="center"/>
    </xf>
    <xf numFmtId="0" fontId="0" fillId="0" borderId="6" xfId="0" applyBorder="1"/>
    <xf numFmtId="165" fontId="0" fillId="0" borderId="6" xfId="0" applyNumberFormat="1" applyBorder="1" applyAlignment="1">
      <alignment horizontal="center"/>
    </xf>
    <xf numFmtId="0" fontId="0" fillId="0" borderId="6" xfId="0" applyBorder="1" applyAlignment="1">
      <alignment horizontal="center"/>
    </xf>
    <xf numFmtId="0" fontId="4" fillId="0" borderId="7" xfId="0" applyFont="1" applyBorder="1"/>
    <xf numFmtId="165" fontId="3" fillId="0" borderId="7" xfId="0" applyNumberFormat="1" applyFont="1" applyBorder="1" applyProtection="1">
      <protection locked="0"/>
    </xf>
    <xf numFmtId="0" fontId="4" fillId="0" borderId="9" xfId="0" applyFont="1" applyBorder="1"/>
    <xf numFmtId="0" fontId="0" fillId="0" borderId="9" xfId="0" applyBorder="1"/>
    <xf numFmtId="165" fontId="4" fillId="0" borderId="6" xfId="0" applyNumberFormat="1" applyFont="1" applyBorder="1"/>
    <xf numFmtId="165" fontId="0" fillId="0" borderId="6" xfId="0" applyNumberFormat="1" applyBorder="1"/>
    <xf numFmtId="0" fontId="3" fillId="3" borderId="6" xfId="0" applyFont="1" applyFill="1" applyBorder="1" applyAlignment="1" applyProtection="1">
      <alignment horizontal="right"/>
      <protection locked="0"/>
    </xf>
    <xf numFmtId="165" fontId="3" fillId="3" borderId="6" xfId="0" applyNumberFormat="1" applyFont="1" applyFill="1" applyBorder="1" applyAlignment="1" applyProtection="1">
      <alignment horizontal="right"/>
      <protection locked="0"/>
    </xf>
    <xf numFmtId="165" fontId="3" fillId="3" borderId="10" xfId="0" applyNumberFormat="1" applyFont="1" applyFill="1" applyBorder="1" applyProtection="1">
      <protection locked="0"/>
    </xf>
    <xf numFmtId="165" fontId="3" fillId="0" borderId="0" xfId="0" applyNumberFormat="1" applyFont="1" applyAlignment="1">
      <alignment horizontal="right"/>
    </xf>
    <xf numFmtId="165" fontId="3" fillId="0" borderId="6" xfId="0" applyNumberFormat="1" applyFont="1" applyBorder="1" applyAlignment="1">
      <alignment horizontal="right"/>
    </xf>
    <xf numFmtId="165" fontId="3" fillId="3" borderId="11" xfId="0" applyNumberFormat="1" applyFont="1" applyFill="1" applyBorder="1" applyProtection="1">
      <protection locked="0"/>
    </xf>
    <xf numFmtId="165" fontId="9" fillId="3" borderId="11" xfId="0" applyNumberFormat="1" applyFont="1" applyFill="1" applyBorder="1" applyProtection="1">
      <protection locked="0"/>
    </xf>
    <xf numFmtId="0" fontId="10" fillId="0" borderId="0" xfId="0" applyFont="1"/>
    <xf numFmtId="165" fontId="0" fillId="0" borderId="14" xfId="0" applyNumberFormat="1" applyBorder="1" applyAlignment="1">
      <alignment horizontal="center"/>
    </xf>
    <xf numFmtId="0" fontId="0" fillId="0" borderId="15" xfId="0" applyBorder="1"/>
    <xf numFmtId="165" fontId="0" fillId="0" borderId="16" xfId="0" applyNumberFormat="1" applyBorder="1" applyAlignment="1">
      <alignment horizontal="center"/>
    </xf>
    <xf numFmtId="0" fontId="0" fillId="0" borderId="11" xfId="0" applyBorder="1"/>
    <xf numFmtId="1" fontId="0" fillId="0" borderId="11" xfId="0" applyNumberFormat="1" applyBorder="1" applyAlignment="1">
      <alignment horizontal="center"/>
    </xf>
    <xf numFmtId="165" fontId="0" fillId="0" borderId="17" xfId="0" applyNumberFormat="1" applyBorder="1" applyAlignment="1">
      <alignment horizontal="center"/>
    </xf>
    <xf numFmtId="165" fontId="9" fillId="3" borderId="11" xfId="0" applyNumberFormat="1" applyFont="1" applyFill="1" applyBorder="1" applyAlignment="1" applyProtection="1">
      <alignment horizontal="center"/>
      <protection locked="0"/>
    </xf>
    <xf numFmtId="165" fontId="3" fillId="3" borderId="10" xfId="0" applyNumberFormat="1" applyFont="1" applyFill="1" applyBorder="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4" fontId="3" fillId="3" borderId="0" xfId="1" applyNumberFormat="1" applyFont="1" applyFill="1" applyAlignment="1" applyProtection="1">
      <alignment horizontal="center"/>
      <protection locked="0"/>
    </xf>
    <xf numFmtId="165" fontId="4" fillId="0" borderId="5" xfId="1" applyNumberFormat="1" applyFont="1" applyBorder="1" applyAlignment="1" applyProtection="1">
      <alignment horizontal="center"/>
    </xf>
    <xf numFmtId="165" fontId="4" fillId="0" borderId="3" xfId="1" applyNumberFormat="1" applyFont="1" applyBorder="1" applyAlignment="1" applyProtection="1">
      <alignment horizontal="center"/>
    </xf>
    <xf numFmtId="0" fontId="3" fillId="3" borderId="19" xfId="1" applyNumberFormat="1" applyFont="1" applyFill="1" applyBorder="1" applyAlignment="1" applyProtection="1">
      <alignment horizontal="center"/>
      <protection locked="0"/>
    </xf>
    <xf numFmtId="0" fontId="0" fillId="0" borderId="7" xfId="0" applyBorder="1" applyAlignment="1">
      <alignment horizontal="center"/>
    </xf>
    <xf numFmtId="0" fontId="0" fillId="0" borderId="24" xfId="0" applyBorder="1"/>
    <xf numFmtId="0" fontId="0" fillId="0" borderId="25" xfId="0" applyBorder="1" applyAlignment="1">
      <alignment horizontal="center"/>
    </xf>
    <xf numFmtId="165" fontId="0" fillId="0" borderId="14" xfId="1" applyNumberFormat="1" applyFont="1" applyBorder="1" applyAlignment="1">
      <alignment horizontal="center"/>
    </xf>
    <xf numFmtId="165" fontId="4" fillId="0" borderId="11" xfId="0" applyNumberFormat="1" applyFont="1" applyBorder="1"/>
    <xf numFmtId="165" fontId="3" fillId="0" borderId="0" xfId="0" applyNumberFormat="1" applyFont="1" applyProtection="1">
      <protection locked="0"/>
    </xf>
    <xf numFmtId="165" fontId="3" fillId="3" borderId="11" xfId="0" applyNumberFormat="1" applyFont="1" applyFill="1" applyBorder="1" applyAlignment="1" applyProtection="1">
      <alignment horizontal="center"/>
      <protection locked="0"/>
    </xf>
    <xf numFmtId="0" fontId="3" fillId="0" borderId="0" xfId="0" applyFont="1" applyAlignment="1" applyProtection="1">
      <alignment horizontal="right"/>
      <protection locked="0"/>
    </xf>
    <xf numFmtId="0" fontId="3" fillId="0" borderId="0" xfId="0" applyFont="1" applyProtection="1">
      <protection locked="0"/>
    </xf>
    <xf numFmtId="0" fontId="4" fillId="0" borderId="11" xfId="0" applyFont="1" applyBorder="1"/>
    <xf numFmtId="165" fontId="3" fillId="3" borderId="6" xfId="0" applyNumberFormat="1" applyFont="1" applyFill="1" applyBorder="1" applyAlignment="1" applyProtection="1">
      <alignment horizontal="center"/>
      <protection locked="0"/>
    </xf>
    <xf numFmtId="165" fontId="0" fillId="0" borderId="30" xfId="0" applyNumberFormat="1" applyBorder="1" applyAlignment="1">
      <alignment horizontal="center"/>
    </xf>
    <xf numFmtId="0" fontId="3" fillId="3" borderId="6" xfId="0" applyFont="1" applyFill="1" applyBorder="1" applyProtection="1">
      <protection locked="0"/>
    </xf>
    <xf numFmtId="165" fontId="0" fillId="0" borderId="29" xfId="1" applyNumberFormat="1" applyFont="1" applyBorder="1" applyAlignment="1">
      <alignment horizontal="center"/>
    </xf>
    <xf numFmtId="165" fontId="4" fillId="0" borderId="26" xfId="1" applyNumberFormat="1" applyFont="1" applyBorder="1" applyAlignment="1" applyProtection="1">
      <alignment horizontal="center"/>
    </xf>
    <xf numFmtId="0" fontId="0" fillId="0" borderId="28" xfId="0" applyBorder="1"/>
    <xf numFmtId="0" fontId="0" fillId="0" borderId="18" xfId="0" applyBorder="1"/>
    <xf numFmtId="0" fontId="0" fillId="0" borderId="19" xfId="0" applyBorder="1" applyAlignment="1">
      <alignment horizontal="center"/>
    </xf>
    <xf numFmtId="165" fontId="0" fillId="0" borderId="3" xfId="0" applyNumberFormat="1" applyBorder="1" applyAlignment="1">
      <alignment horizontal="center"/>
    </xf>
    <xf numFmtId="165" fontId="4" fillId="0" borderId="6" xfId="1" applyNumberFormat="1" applyFont="1" applyBorder="1" applyAlignment="1">
      <alignment horizontal="center"/>
    </xf>
    <xf numFmtId="165" fontId="0" fillId="0" borderId="30" xfId="1" applyNumberFormat="1" applyFont="1" applyBorder="1" applyAlignment="1">
      <alignment horizontal="center"/>
    </xf>
    <xf numFmtId="165" fontId="0" fillId="0" borderId="16" xfId="0" applyNumberFormat="1" applyBorder="1"/>
    <xf numFmtId="165" fontId="0" fillId="0" borderId="16" xfId="1" applyNumberFormat="1" applyFont="1" applyBorder="1" applyAlignment="1">
      <alignment horizontal="center"/>
    </xf>
    <xf numFmtId="0" fontId="0" fillId="0" borderId="10" xfId="0" applyBorder="1"/>
    <xf numFmtId="165" fontId="0" fillId="0" borderId="29" xfId="0" applyNumberFormat="1" applyBorder="1" applyAlignment="1">
      <alignment horizontal="center"/>
    </xf>
    <xf numFmtId="1" fontId="0" fillId="0" borderId="15" xfId="0" applyNumberFormat="1" applyBorder="1" applyAlignment="1">
      <alignment horizontal="center"/>
    </xf>
    <xf numFmtId="1" fontId="0" fillId="0" borderId="6" xfId="0" applyNumberFormat="1" applyBorder="1" applyAlignment="1">
      <alignment horizontal="center"/>
    </xf>
    <xf numFmtId="1" fontId="0" fillId="0" borderId="17" xfId="0" applyNumberFormat="1" applyBorder="1" applyAlignment="1">
      <alignment horizontal="center"/>
    </xf>
    <xf numFmtId="0" fontId="0" fillId="0" borderId="27" xfId="0" applyBorder="1"/>
    <xf numFmtId="164" fontId="3" fillId="0" borderId="7" xfId="1" applyNumberFormat="1" applyFont="1" applyBorder="1" applyAlignment="1">
      <alignment horizontal="left" indent="1"/>
    </xf>
    <xf numFmtId="10" fontId="3" fillId="0" borderId="7" xfId="0" applyNumberFormat="1" applyFont="1" applyBorder="1"/>
    <xf numFmtId="10" fontId="3" fillId="3" borderId="7" xfId="0" applyNumberFormat="1" applyFont="1" applyFill="1" applyBorder="1" applyProtection="1">
      <protection locked="0"/>
    </xf>
    <xf numFmtId="0" fontId="3" fillId="0" borderId="7" xfId="0" applyFont="1" applyBorder="1"/>
    <xf numFmtId="0" fontId="2" fillId="0" borderId="28" xfId="0" applyFont="1" applyBorder="1"/>
    <xf numFmtId="0" fontId="0" fillId="0" borderId="28" xfId="0" applyBorder="1" applyAlignment="1">
      <alignment horizontal="center"/>
    </xf>
    <xf numFmtId="0" fontId="0" fillId="0" borderId="24" xfId="0" applyBorder="1" applyAlignment="1">
      <alignment horizontal="center"/>
    </xf>
    <xf numFmtId="0" fontId="0" fillId="0" borderId="23" xfId="0" applyBorder="1" applyAlignment="1">
      <alignment horizontal="center"/>
    </xf>
    <xf numFmtId="0" fontId="0" fillId="0" borderId="27" xfId="0" applyBorder="1" applyAlignment="1">
      <alignment horizontal="center"/>
    </xf>
    <xf numFmtId="164" fontId="4" fillId="0" borderId="0" xfId="1" applyNumberFormat="1" applyFont="1" applyFill="1" applyAlignment="1" applyProtection="1">
      <alignment horizontal="center"/>
    </xf>
    <xf numFmtId="10" fontId="6" fillId="0" borderId="7" xfId="0" applyNumberFormat="1" applyFont="1" applyBorder="1"/>
    <xf numFmtId="0" fontId="0" fillId="2" borderId="0" xfId="0" applyFill="1" applyAlignment="1">
      <alignment horizontal="left" wrapText="1"/>
    </xf>
    <xf numFmtId="165" fontId="0" fillId="4" borderId="1" xfId="0" applyNumberFormat="1" applyFill="1" applyBorder="1" applyAlignment="1">
      <alignment horizontal="center"/>
    </xf>
    <xf numFmtId="165" fontId="2" fillId="4" borderId="1" xfId="0" applyNumberFormat="1" applyFont="1" applyFill="1" applyBorder="1" applyAlignment="1">
      <alignment horizontal="center"/>
    </xf>
    <xf numFmtId="0" fontId="8" fillId="5" borderId="1" xfId="0" applyFont="1" applyFill="1" applyBorder="1"/>
    <xf numFmtId="0" fontId="8" fillId="5" borderId="1" xfId="0" applyFont="1" applyFill="1" applyBorder="1" applyAlignment="1">
      <alignment horizontal="left" indent="1"/>
    </xf>
    <xf numFmtId="0" fontId="7" fillId="5" borderId="1" xfId="0" applyFont="1" applyFill="1" applyBorder="1"/>
    <xf numFmtId="0" fontId="8" fillId="5" borderId="1" xfId="0" applyFont="1" applyFill="1" applyBorder="1" applyAlignment="1">
      <alignment horizontal="center"/>
    </xf>
    <xf numFmtId="0" fontId="7" fillId="5" borderId="1" xfId="0" applyFont="1" applyFill="1" applyBorder="1" applyAlignment="1">
      <alignment horizontal="center"/>
    </xf>
    <xf numFmtId="0" fontId="8" fillId="5" borderId="1" xfId="0" applyFont="1" applyFill="1" applyBorder="1" applyAlignment="1">
      <alignment horizontal="left"/>
    </xf>
    <xf numFmtId="0" fontId="3" fillId="3" borderId="0" xfId="0" applyFont="1" applyFill="1"/>
    <xf numFmtId="0" fontId="0" fillId="0" borderId="0" xfId="0" applyAlignment="1">
      <alignment horizontal="left"/>
    </xf>
    <xf numFmtId="165" fontId="0" fillId="0" borderId="31" xfId="1" applyNumberFormat="1" applyFont="1" applyBorder="1" applyAlignment="1" applyProtection="1">
      <alignment horizontal="center"/>
    </xf>
    <xf numFmtId="0" fontId="1" fillId="0" borderId="0" xfId="1" applyNumberFormat="1" applyFont="1" applyBorder="1" applyAlignment="1" applyProtection="1">
      <alignment horizontal="center"/>
    </xf>
    <xf numFmtId="165" fontId="1" fillId="0" borderId="0" xfId="1" applyNumberFormat="1" applyFont="1" applyBorder="1" applyAlignment="1" applyProtection="1">
      <alignment horizontal="center"/>
    </xf>
    <xf numFmtId="0" fontId="0" fillId="6" borderId="0" xfId="0" applyFill="1"/>
    <xf numFmtId="0" fontId="3" fillId="6" borderId="0" xfId="0" applyFont="1" applyFill="1" applyAlignment="1" applyProtection="1">
      <alignment horizontal="left"/>
      <protection locked="0"/>
    </xf>
    <xf numFmtId="0" fontId="3" fillId="6" borderId="0" xfId="0" applyFont="1" applyFill="1" applyAlignment="1" applyProtection="1">
      <alignment horizontal="right"/>
      <protection locked="0"/>
    </xf>
    <xf numFmtId="0" fontId="14" fillId="6" borderId="0" xfId="0" applyFont="1" applyFill="1" applyAlignment="1">
      <alignment horizontal="center"/>
    </xf>
    <xf numFmtId="10" fontId="15" fillId="6" borderId="0" xfId="0" applyNumberFormat="1" applyFont="1" applyFill="1"/>
    <xf numFmtId="0" fontId="4" fillId="6" borderId="0" xfId="0" applyFont="1" applyFill="1" applyAlignment="1" applyProtection="1">
      <alignment horizontal="right"/>
      <protection locked="0"/>
    </xf>
    <xf numFmtId="10" fontId="13" fillId="6" borderId="0" xfId="0" applyNumberFormat="1" applyFont="1" applyFill="1" applyProtection="1">
      <protection locked="0"/>
    </xf>
    <xf numFmtId="166" fontId="13" fillId="6" borderId="0" xfId="0" applyNumberFormat="1" applyFont="1" applyFill="1" applyAlignment="1" applyProtection="1">
      <alignment horizontal="right"/>
      <protection locked="0"/>
    </xf>
    <xf numFmtId="0" fontId="0" fillId="6" borderId="0" xfId="0" applyFill="1" applyAlignment="1">
      <alignment horizontal="right"/>
    </xf>
    <xf numFmtId="14" fontId="3" fillId="3" borderId="0" xfId="0" applyNumberFormat="1" applyFont="1" applyFill="1" applyAlignment="1" applyProtection="1">
      <alignment horizontal="center"/>
      <protection locked="0"/>
    </xf>
    <xf numFmtId="14" fontId="3" fillId="3" borderId="0" xfId="0" applyNumberFormat="1" applyFont="1" applyFill="1"/>
    <xf numFmtId="167" fontId="3" fillId="3" borderId="0" xfId="2" applyNumberFormat="1" applyFont="1" applyFill="1" applyAlignment="1" applyProtection="1">
      <alignment horizontal="center"/>
      <protection locked="0"/>
    </xf>
    <xf numFmtId="0" fontId="3" fillId="0" borderId="0" xfId="0" applyFont="1" applyAlignment="1" applyProtection="1">
      <alignment horizontal="left"/>
      <protection locked="0"/>
    </xf>
    <xf numFmtId="0" fontId="4" fillId="0" borderId="0" xfId="0" applyFont="1" applyAlignment="1" applyProtection="1">
      <alignment horizontal="right"/>
      <protection locked="0"/>
    </xf>
    <xf numFmtId="9" fontId="3" fillId="6" borderId="0" xfId="2" applyFont="1" applyFill="1" applyAlignment="1" applyProtection="1">
      <alignment horizontal="right"/>
      <protection locked="0"/>
    </xf>
    <xf numFmtId="166" fontId="4" fillId="6" borderId="0" xfId="0" applyNumberFormat="1" applyFont="1" applyFill="1" applyAlignment="1" applyProtection="1">
      <alignment horizontal="right"/>
      <protection locked="0"/>
    </xf>
    <xf numFmtId="10" fontId="0" fillId="6" borderId="0" xfId="0" applyNumberFormat="1" applyFill="1"/>
    <xf numFmtId="10" fontId="18" fillId="6" borderId="0" xfId="0" applyNumberFormat="1" applyFont="1" applyFill="1" applyProtection="1">
      <protection locked="0"/>
    </xf>
    <xf numFmtId="0" fontId="19" fillId="6" borderId="0" xfId="0" applyFont="1" applyFill="1" applyAlignment="1">
      <alignment horizontal="center"/>
    </xf>
    <xf numFmtId="0" fontId="16" fillId="6" borderId="0" xfId="0" applyFont="1" applyFill="1" applyProtection="1">
      <protection locked="0"/>
    </xf>
    <xf numFmtId="10" fontId="17" fillId="6" borderId="0" xfId="2" applyNumberFormat="1" applyFont="1" applyFill="1"/>
    <xf numFmtId="0" fontId="2" fillId="0" borderId="32" xfId="0" applyFont="1" applyBorder="1" applyAlignment="1">
      <alignment horizontal="center"/>
    </xf>
    <xf numFmtId="0" fontId="2" fillId="0" borderId="33" xfId="0" applyFont="1" applyBorder="1" applyAlignment="1">
      <alignment horizontal="center"/>
    </xf>
    <xf numFmtId="165" fontId="0" fillId="0" borderId="10" xfId="0" applyNumberFormat="1" applyBorder="1" applyAlignment="1">
      <alignment horizontal="center"/>
    </xf>
    <xf numFmtId="165" fontId="0" fillId="0" borderId="11" xfId="0" applyNumberFormat="1" applyBorder="1" applyAlignment="1">
      <alignment horizontal="center"/>
    </xf>
    <xf numFmtId="168" fontId="0" fillId="6" borderId="0" xfId="0" applyNumberFormat="1" applyFill="1"/>
    <xf numFmtId="10" fontId="4" fillId="0" borderId="7" xfId="0" applyNumberFormat="1" applyFont="1" applyBorder="1" applyProtection="1">
      <protection locked="0"/>
    </xf>
    <xf numFmtId="0" fontId="13" fillId="0" borderId="0" xfId="0" applyFont="1" applyAlignment="1" applyProtection="1">
      <alignment horizontal="center"/>
      <protection locked="0"/>
    </xf>
    <xf numFmtId="0" fontId="20" fillId="0" borderId="34" xfId="0" applyFont="1" applyBorder="1" applyAlignment="1" applyProtection="1">
      <alignment horizontal="center"/>
      <protection locked="0"/>
    </xf>
    <xf numFmtId="0" fontId="21" fillId="0" borderId="0" xfId="0" applyFont="1" applyAlignment="1" applyProtection="1">
      <alignment horizontal="center"/>
      <protection locked="0"/>
    </xf>
    <xf numFmtId="0" fontId="20" fillId="0" borderId="35" xfId="0" applyFont="1" applyBorder="1" applyAlignment="1" applyProtection="1">
      <alignment horizontal="center"/>
      <protection locked="0"/>
    </xf>
    <xf numFmtId="0" fontId="0" fillId="0" borderId="36" xfId="0" applyBorder="1"/>
    <xf numFmtId="165" fontId="20" fillId="0" borderId="35" xfId="0" applyNumberFormat="1" applyFont="1" applyBorder="1" applyAlignment="1" applyProtection="1">
      <alignment horizontal="center"/>
      <protection locked="0"/>
    </xf>
    <xf numFmtId="165" fontId="20" fillId="0" borderId="37" xfId="0" applyNumberFormat="1" applyFont="1" applyBorder="1" applyAlignment="1" applyProtection="1">
      <alignment horizontal="center"/>
      <protection locked="0"/>
    </xf>
    <xf numFmtId="169" fontId="16" fillId="6" borderId="0" xfId="0" applyNumberFormat="1" applyFont="1" applyFill="1" applyProtection="1">
      <protection locked="0"/>
    </xf>
    <xf numFmtId="10" fontId="0" fillId="6" borderId="0" xfId="2" applyNumberFormat="1" applyFont="1" applyFill="1" applyBorder="1" applyProtection="1"/>
    <xf numFmtId="10" fontId="18" fillId="6" borderId="0" xfId="2" applyNumberFormat="1" applyFont="1" applyFill="1" applyBorder="1" applyProtection="1">
      <protection locked="0"/>
    </xf>
    <xf numFmtId="0" fontId="4" fillId="0" borderId="0" xfId="0" applyFont="1" applyAlignment="1" applyProtection="1">
      <alignment horizontal="left"/>
      <protection locked="0"/>
    </xf>
    <xf numFmtId="0" fontId="4" fillId="6" borderId="0" xfId="0" applyFont="1" applyFill="1" applyAlignment="1">
      <alignment horizontal="left"/>
    </xf>
    <xf numFmtId="0" fontId="23" fillId="0" borderId="0" xfId="0" applyFont="1"/>
    <xf numFmtId="1" fontId="23" fillId="0" borderId="0" xfId="0" applyNumberFormat="1" applyFont="1"/>
    <xf numFmtId="1" fontId="23" fillId="0" borderId="42" xfId="0" applyNumberFormat="1" applyFont="1" applyBorder="1"/>
    <xf numFmtId="0" fontId="0" fillId="0" borderId="42" xfId="0" applyBorder="1"/>
    <xf numFmtId="0" fontId="23" fillId="0" borderId="0" xfId="0" applyFont="1" applyAlignment="1">
      <alignment horizontal="center"/>
    </xf>
    <xf numFmtId="0" fontId="23" fillId="0" borderId="41" xfId="0" applyFont="1" applyBorder="1" applyAlignment="1">
      <alignment horizontal="center"/>
    </xf>
    <xf numFmtId="0" fontId="23" fillId="0" borderId="42" xfId="0" applyFont="1" applyBorder="1" applyAlignment="1">
      <alignment horizontal="center"/>
    </xf>
    <xf numFmtId="165" fontId="23" fillId="0" borderId="0" xfId="0" applyNumberFormat="1" applyFont="1"/>
    <xf numFmtId="0" fontId="23" fillId="0" borderId="43" xfId="0" applyFont="1" applyBorder="1"/>
    <xf numFmtId="0" fontId="23" fillId="0" borderId="44" xfId="0" applyFont="1" applyBorder="1"/>
    <xf numFmtId="0" fontId="2" fillId="0" borderId="0" xfId="0" applyFont="1" applyAlignment="1">
      <alignment horizontal="center" vertical="center"/>
    </xf>
    <xf numFmtId="0" fontId="12" fillId="2" borderId="0" xfId="0" applyFont="1" applyFill="1" applyAlignment="1">
      <alignment horizontal="center"/>
    </xf>
    <xf numFmtId="0" fontId="0" fillId="2" borderId="0" xfId="0" applyFill="1" applyAlignment="1">
      <alignment horizontal="left" wrapText="1"/>
    </xf>
    <xf numFmtId="0" fontId="3" fillId="3" borderId="19"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165" fontId="3" fillId="3" borderId="19" xfId="1" applyNumberFormat="1" applyFont="1" applyFill="1" applyBorder="1" applyAlignment="1" applyProtection="1">
      <alignment horizontal="center"/>
      <protection locked="0"/>
    </xf>
    <xf numFmtId="165" fontId="3" fillId="3" borderId="3" xfId="1" applyNumberFormat="1" applyFont="1" applyFill="1" applyBorder="1" applyAlignment="1" applyProtection="1">
      <alignment horizontal="center"/>
      <protection locked="0"/>
    </xf>
    <xf numFmtId="0" fontId="3" fillId="0" borderId="0" xfId="0" applyFont="1" applyAlignment="1" applyProtection="1">
      <alignment horizontal="left"/>
      <protection locked="0"/>
    </xf>
    <xf numFmtId="0" fontId="3" fillId="3" borderId="2" xfId="0" applyFont="1" applyFill="1" applyBorder="1" applyAlignment="1" applyProtection="1">
      <alignment horizontal="center"/>
      <protection locked="0"/>
    </xf>
    <xf numFmtId="0" fontId="3" fillId="3" borderId="12" xfId="0" applyFont="1" applyFill="1" applyBorder="1" applyAlignment="1" applyProtection="1">
      <alignment horizontal="center"/>
      <protection locked="0"/>
    </xf>
    <xf numFmtId="0" fontId="3" fillId="3" borderId="13" xfId="0" applyFont="1" applyFill="1" applyBorder="1" applyAlignment="1" applyProtection="1">
      <alignment horizontal="center"/>
      <protection locked="0"/>
    </xf>
    <xf numFmtId="0" fontId="3" fillId="3" borderId="20" xfId="0" applyFont="1" applyFill="1" applyBorder="1" applyAlignment="1" applyProtection="1">
      <alignment horizontal="center"/>
      <protection locked="0"/>
    </xf>
    <xf numFmtId="0" fontId="3" fillId="3" borderId="21" xfId="0" applyFont="1" applyFill="1" applyBorder="1" applyAlignment="1" applyProtection="1">
      <alignment horizontal="center"/>
      <protection locked="0"/>
    </xf>
    <xf numFmtId="165" fontId="3" fillId="3" borderId="2" xfId="1" applyNumberFormat="1" applyFont="1" applyFill="1" applyBorder="1" applyAlignment="1" applyProtection="1">
      <alignment horizontal="center"/>
      <protection locked="0"/>
    </xf>
    <xf numFmtId="0" fontId="3" fillId="3" borderId="22" xfId="0" applyFont="1" applyFill="1" applyBorder="1" applyAlignment="1" applyProtection="1">
      <alignment horizontal="center"/>
      <protection locked="0"/>
    </xf>
    <xf numFmtId="0" fontId="3" fillId="3" borderId="14" xfId="0" applyFont="1" applyFill="1" applyBorder="1" applyAlignment="1" applyProtection="1">
      <alignment horizontal="center"/>
      <protection locked="0"/>
    </xf>
    <xf numFmtId="0" fontId="3" fillId="3" borderId="16" xfId="0" applyFont="1" applyFill="1" applyBorder="1" applyAlignment="1" applyProtection="1">
      <alignment horizontal="center"/>
      <protection locked="0"/>
    </xf>
    <xf numFmtId="0" fontId="4" fillId="0" borderId="0" xfId="0" applyFont="1" applyAlignment="1" applyProtection="1">
      <alignment horizontal="left"/>
      <protection locked="0"/>
    </xf>
    <xf numFmtId="0" fontId="3" fillId="3" borderId="39" xfId="0" applyFont="1" applyFill="1" applyBorder="1" applyAlignment="1" applyProtection="1">
      <alignment horizontal="center"/>
      <protection locked="0"/>
    </xf>
    <xf numFmtId="0" fontId="3" fillId="3" borderId="40" xfId="0" applyFont="1" applyFill="1" applyBorder="1" applyAlignment="1" applyProtection="1">
      <alignment horizontal="center"/>
      <protection locked="0"/>
    </xf>
    <xf numFmtId="0" fontId="3" fillId="3" borderId="38" xfId="0" applyFont="1" applyFill="1" applyBorder="1" applyAlignment="1" applyProtection="1">
      <alignment horizontal="center"/>
      <protection locked="0"/>
    </xf>
    <xf numFmtId="0" fontId="3" fillId="3" borderId="18" xfId="0" applyFont="1" applyFill="1" applyBorder="1" applyAlignment="1" applyProtection="1">
      <alignment horizontal="center"/>
      <protection locked="0"/>
    </xf>
    <xf numFmtId="165" fontId="0" fillId="0" borderId="0" xfId="1" applyNumberFormat="1" applyFont="1" applyAlignment="1" applyProtection="1">
      <alignment horizontal="center"/>
    </xf>
    <xf numFmtId="0" fontId="4" fillId="0" borderId="0" xfId="0" applyFont="1" applyAlignment="1">
      <alignment horizontal="right"/>
    </xf>
    <xf numFmtId="0" fontId="0" fillId="0" borderId="0" xfId="0" applyAlignment="1">
      <alignment horizontal="center"/>
    </xf>
    <xf numFmtId="0" fontId="3" fillId="0" borderId="0" xfId="0" applyFont="1" applyAlignment="1">
      <alignment horizontal="center"/>
    </xf>
  </cellXfs>
  <cellStyles count="3">
    <cellStyle name="Currency" xfId="1" builtinId="4"/>
    <cellStyle name="Normal" xfId="0" builtinId="0"/>
    <cellStyle name="Percent" xfId="2" builtinId="5"/>
  </cellStyles>
  <dxfs count="0"/>
  <tableStyles count="0" defaultTableStyle="TableStyleMedium2" defaultPivotStyle="PivotStyleLight16"/>
  <colors>
    <mruColors>
      <color rgb="FF0066FF"/>
      <color rgb="FF1D14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66676</xdr:colOff>
      <xdr:row>3</xdr:row>
      <xdr:rowOff>1</xdr:rowOff>
    </xdr:from>
    <xdr:to>
      <xdr:col>1</xdr:col>
      <xdr:colOff>552450</xdr:colOff>
      <xdr:row>7</xdr:row>
      <xdr:rowOff>76201</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676" y="571501"/>
          <a:ext cx="1095374" cy="838200"/>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Calculates fully loaded staff costs for each task.</a:t>
          </a:r>
        </a:p>
      </xdr:txBody>
    </xdr:sp>
    <xdr:clientData/>
  </xdr:twoCellAnchor>
  <xdr:twoCellAnchor>
    <xdr:from>
      <xdr:col>0</xdr:col>
      <xdr:colOff>57150</xdr:colOff>
      <xdr:row>44</xdr:row>
      <xdr:rowOff>9525</xdr:rowOff>
    </xdr:from>
    <xdr:to>
      <xdr:col>1</xdr:col>
      <xdr:colOff>533400</xdr:colOff>
      <xdr:row>48</xdr:row>
      <xdr:rowOff>85725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7150" y="8391525"/>
          <a:ext cx="1085850" cy="838200"/>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Calculates fully loaded staff costs for each year.</a:t>
          </a:r>
          <a:endParaRPr lang="en-US">
            <a:effectLst/>
          </a:endParaRPr>
        </a:p>
        <a:p>
          <a:endParaRPr lang="en-US" sz="1100"/>
        </a:p>
      </xdr:txBody>
    </xdr:sp>
    <xdr:clientData/>
  </xdr:twoCellAnchor>
  <xdr:twoCellAnchor>
    <xdr:from>
      <xdr:col>0</xdr:col>
      <xdr:colOff>47625</xdr:colOff>
      <xdr:row>37</xdr:row>
      <xdr:rowOff>9526</xdr:rowOff>
    </xdr:from>
    <xdr:to>
      <xdr:col>1</xdr:col>
      <xdr:colOff>533399</xdr:colOff>
      <xdr:row>41</xdr:row>
      <xdr:rowOff>57150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7625" y="4200526"/>
          <a:ext cx="1095374" cy="809624"/>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Calculates fully loaded ODC costs for each task.</a:t>
          </a:r>
        </a:p>
      </xdr:txBody>
    </xdr:sp>
    <xdr:clientData/>
  </xdr:twoCellAnchor>
  <xdr:twoCellAnchor>
    <xdr:from>
      <xdr:col>0</xdr:col>
      <xdr:colOff>57150</xdr:colOff>
      <xdr:row>78</xdr:row>
      <xdr:rowOff>0</xdr:rowOff>
    </xdr:from>
    <xdr:to>
      <xdr:col>1</xdr:col>
      <xdr:colOff>542924</xdr:colOff>
      <xdr:row>82</xdr:row>
      <xdr:rowOff>47624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57150" y="9144000"/>
          <a:ext cx="1095374" cy="809624"/>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Calculates fully loaded ODC costs for each year.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53629</xdr:colOff>
      <xdr:row>41</xdr:row>
      <xdr:rowOff>66434</xdr:rowOff>
    </xdr:from>
    <xdr:to>
      <xdr:col>0</xdr:col>
      <xdr:colOff>1230247</xdr:colOff>
      <xdr:row>63</xdr:row>
      <xdr:rowOff>71438</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3629" y="3550997"/>
          <a:ext cx="1176618" cy="5526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accent2">
                  <a:lumMod val="75000"/>
                </a:schemeClr>
              </a:solidFill>
            </a:rPr>
            <a:t>Unhide here </a:t>
          </a:r>
          <a:r>
            <a:rPr lang="en-US" sz="1100" baseline="0">
              <a:solidFill>
                <a:schemeClr val="accent2">
                  <a:lumMod val="75000"/>
                </a:schemeClr>
              </a:solidFill>
            </a:rPr>
            <a:t>for more staff rows</a:t>
          </a:r>
          <a:endParaRPr lang="en-US" sz="1100">
            <a:solidFill>
              <a:schemeClr val="accent2">
                <a:lumMod val="75000"/>
              </a:schemeClr>
            </a:solidFill>
          </a:endParaRPr>
        </a:p>
      </xdr:txBody>
    </xdr:sp>
    <xdr:clientData/>
  </xdr:twoCellAnchor>
  <xdr:twoCellAnchor>
    <xdr:from>
      <xdr:col>32</xdr:col>
      <xdr:colOff>818026</xdr:colOff>
      <xdr:row>0</xdr:row>
      <xdr:rowOff>56030</xdr:rowOff>
    </xdr:from>
    <xdr:to>
      <xdr:col>33</xdr:col>
      <xdr:colOff>1043827</xdr:colOff>
      <xdr:row>3</xdr:row>
      <xdr:rowOff>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35567467" y="56030"/>
          <a:ext cx="1279154" cy="515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2">
                  <a:lumMod val="75000"/>
                </a:schemeClr>
              </a:solidFill>
              <a:effectLst/>
              <a:latin typeface="+mn-lt"/>
              <a:ea typeface="+mn-ea"/>
              <a:cs typeface="+mn-cs"/>
            </a:rPr>
            <a:t>Unhide here </a:t>
          </a:r>
          <a:r>
            <a:rPr lang="en-US" sz="1100" baseline="0">
              <a:solidFill>
                <a:schemeClr val="accent2">
                  <a:lumMod val="75000"/>
                </a:schemeClr>
              </a:solidFill>
            </a:rPr>
            <a:t>for more task columns</a:t>
          </a:r>
          <a:endParaRPr lang="en-US" sz="1100">
            <a:solidFill>
              <a:schemeClr val="accent2">
                <a:lumMod val="75000"/>
              </a:schemeClr>
            </a:solidFill>
          </a:endParaRPr>
        </a:p>
      </xdr:txBody>
    </xdr:sp>
    <xdr:clientData/>
  </xdr:twoCellAnchor>
  <xdr:twoCellAnchor>
    <xdr:from>
      <xdr:col>0</xdr:col>
      <xdr:colOff>39220</xdr:colOff>
      <xdr:row>81</xdr:row>
      <xdr:rowOff>41622</xdr:rowOff>
    </xdr:from>
    <xdr:to>
      <xdr:col>0</xdr:col>
      <xdr:colOff>1215838</xdr:colOff>
      <xdr:row>94</xdr:row>
      <xdr:rowOff>40821</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9220" y="7566372"/>
          <a:ext cx="1176618" cy="5298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accent2">
                  <a:lumMod val="75000"/>
                </a:schemeClr>
              </a:solidFill>
            </a:rPr>
            <a:t>Unhide here </a:t>
          </a:r>
          <a:r>
            <a:rPr lang="en-US" sz="1100" baseline="0">
              <a:solidFill>
                <a:schemeClr val="accent2">
                  <a:lumMod val="75000"/>
                </a:schemeClr>
              </a:solidFill>
            </a:rPr>
            <a:t>for more ODC rows</a:t>
          </a:r>
          <a:endParaRPr lang="en-US" sz="1100">
            <a:solidFill>
              <a:schemeClr val="accent2">
                <a:lumMod val="75000"/>
              </a:schemeClr>
            </a:solidFill>
          </a:endParaRPr>
        </a:p>
      </xdr:txBody>
    </xdr:sp>
    <xdr:clientData/>
  </xdr:twoCellAnchor>
  <xdr:twoCellAnchor>
    <xdr:from>
      <xdr:col>0</xdr:col>
      <xdr:colOff>30415</xdr:colOff>
      <xdr:row>112</xdr:row>
      <xdr:rowOff>72839</xdr:rowOff>
    </xdr:from>
    <xdr:to>
      <xdr:col>0</xdr:col>
      <xdr:colOff>1207033</xdr:colOff>
      <xdr:row>145</xdr:row>
      <xdr:rowOff>77107</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30415" y="11312339"/>
          <a:ext cx="1176618" cy="534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2">
                  <a:lumMod val="75000"/>
                </a:schemeClr>
              </a:solidFill>
              <a:latin typeface="+mn-lt"/>
              <a:ea typeface="+mn-ea"/>
              <a:cs typeface="+mn-cs"/>
            </a:rPr>
            <a:t>Unhide here </a:t>
          </a:r>
          <a:r>
            <a:rPr lang="en-US" sz="1100" baseline="0">
              <a:solidFill>
                <a:schemeClr val="accent2">
                  <a:lumMod val="75000"/>
                </a:schemeClr>
              </a:solidFill>
            </a:rPr>
            <a:t>for more travel rows</a:t>
          </a:r>
          <a:endParaRPr lang="en-US" sz="1100">
            <a:solidFill>
              <a:schemeClr val="accent2">
                <a:lumMod val="75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39286</xdr:colOff>
      <xdr:row>41</xdr:row>
      <xdr:rowOff>127468</xdr:rowOff>
    </xdr:from>
    <xdr:to>
      <xdr:col>0</xdr:col>
      <xdr:colOff>1249521</xdr:colOff>
      <xdr:row>63</xdr:row>
      <xdr:rowOff>26614</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9286" y="3612031"/>
          <a:ext cx="1210235" cy="446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2">
                  <a:lumMod val="75000"/>
                </a:schemeClr>
              </a:solidFill>
              <a:effectLst/>
              <a:latin typeface="+mn-lt"/>
              <a:ea typeface="+mn-ea"/>
              <a:cs typeface="+mn-cs"/>
            </a:rPr>
            <a:t>Unhide here </a:t>
          </a:r>
          <a:r>
            <a:rPr lang="en-US" sz="1100" baseline="0">
              <a:solidFill>
                <a:schemeClr val="accent2">
                  <a:lumMod val="75000"/>
                </a:schemeClr>
              </a:solidFill>
            </a:rPr>
            <a:t>for more staff rows</a:t>
          </a:r>
          <a:endParaRPr lang="en-US" sz="1100">
            <a:solidFill>
              <a:schemeClr val="accent2">
                <a:lumMod val="75000"/>
              </a:schemeClr>
            </a:solidFill>
          </a:endParaRPr>
        </a:p>
      </xdr:txBody>
    </xdr:sp>
    <xdr:clientData/>
  </xdr:twoCellAnchor>
  <xdr:twoCellAnchor>
    <xdr:from>
      <xdr:col>32</xdr:col>
      <xdr:colOff>818026</xdr:colOff>
      <xdr:row>0</xdr:row>
      <xdr:rowOff>56030</xdr:rowOff>
    </xdr:from>
    <xdr:to>
      <xdr:col>33</xdr:col>
      <xdr:colOff>1043827</xdr:colOff>
      <xdr:row>3</xdr:row>
      <xdr:rowOff>0</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35765251" y="56030"/>
          <a:ext cx="1273551" cy="515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2">
                  <a:lumMod val="75000"/>
                </a:schemeClr>
              </a:solidFill>
              <a:effectLst/>
              <a:latin typeface="+mn-lt"/>
              <a:ea typeface="+mn-ea"/>
              <a:cs typeface="+mn-cs"/>
            </a:rPr>
            <a:t>Unhide here </a:t>
          </a:r>
          <a:r>
            <a:rPr lang="en-US" sz="1100" baseline="0">
              <a:solidFill>
                <a:schemeClr val="accent2">
                  <a:lumMod val="75000"/>
                </a:schemeClr>
              </a:solidFill>
            </a:rPr>
            <a:t>for more task columns</a:t>
          </a:r>
          <a:endParaRPr lang="en-US" sz="1100">
            <a:solidFill>
              <a:schemeClr val="accent2">
                <a:lumMod val="75000"/>
              </a:schemeClr>
            </a:solidFill>
          </a:endParaRPr>
        </a:p>
      </xdr:txBody>
    </xdr:sp>
    <xdr:clientData/>
  </xdr:twoCellAnchor>
  <xdr:twoCellAnchor>
    <xdr:from>
      <xdr:col>32</xdr:col>
      <xdr:colOff>818026</xdr:colOff>
      <xdr:row>0</xdr:row>
      <xdr:rowOff>56030</xdr:rowOff>
    </xdr:from>
    <xdr:to>
      <xdr:col>33</xdr:col>
      <xdr:colOff>1043827</xdr:colOff>
      <xdr:row>3</xdr:row>
      <xdr:rowOff>0</xdr:rowOff>
    </xdr:to>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35765251" y="56030"/>
          <a:ext cx="1273551" cy="515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2">
                  <a:lumMod val="75000"/>
                </a:schemeClr>
              </a:solidFill>
              <a:effectLst/>
              <a:latin typeface="+mn-lt"/>
              <a:ea typeface="+mn-ea"/>
              <a:cs typeface="+mn-cs"/>
            </a:rPr>
            <a:t>Unhide here </a:t>
          </a:r>
          <a:r>
            <a:rPr lang="en-US" sz="1100" baseline="0">
              <a:solidFill>
                <a:schemeClr val="accent2">
                  <a:lumMod val="75000"/>
                </a:schemeClr>
              </a:solidFill>
            </a:rPr>
            <a:t>for more task columns</a:t>
          </a:r>
          <a:endParaRPr lang="en-US" sz="1100">
            <a:solidFill>
              <a:schemeClr val="accent2">
                <a:lumMod val="75000"/>
              </a:schemeClr>
            </a:solidFill>
          </a:endParaRPr>
        </a:p>
      </xdr:txBody>
    </xdr:sp>
    <xdr:clientData/>
  </xdr:twoCellAnchor>
  <xdr:twoCellAnchor>
    <xdr:from>
      <xdr:col>0</xdr:col>
      <xdr:colOff>29015</xdr:colOff>
      <xdr:row>81</xdr:row>
      <xdr:rowOff>162953</xdr:rowOff>
    </xdr:from>
    <xdr:to>
      <xdr:col>0</xdr:col>
      <xdr:colOff>1205633</xdr:colOff>
      <xdr:row>94</xdr:row>
      <xdr:rowOff>119062</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29015" y="7481328"/>
          <a:ext cx="1176618" cy="503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accent2">
                  <a:lumMod val="75000"/>
                </a:schemeClr>
              </a:solidFill>
            </a:rPr>
            <a:t>Unhide here </a:t>
          </a:r>
          <a:r>
            <a:rPr lang="en-US" sz="1100" baseline="0">
              <a:solidFill>
                <a:schemeClr val="accent2">
                  <a:lumMod val="75000"/>
                </a:schemeClr>
              </a:solidFill>
            </a:rPr>
            <a:t>for more ODC rows</a:t>
          </a:r>
          <a:endParaRPr lang="en-US" sz="1100">
            <a:solidFill>
              <a:schemeClr val="accent2">
                <a:lumMod val="75000"/>
              </a:schemeClr>
            </a:solidFill>
          </a:endParaRPr>
        </a:p>
      </xdr:txBody>
    </xdr:sp>
    <xdr:clientData/>
  </xdr:twoCellAnchor>
  <xdr:twoCellAnchor>
    <xdr:from>
      <xdr:col>0</xdr:col>
      <xdr:colOff>71237</xdr:colOff>
      <xdr:row>112</xdr:row>
      <xdr:rowOff>86446</xdr:rowOff>
    </xdr:from>
    <xdr:to>
      <xdr:col>0</xdr:col>
      <xdr:colOff>1247855</xdr:colOff>
      <xdr:row>145</xdr:row>
      <xdr:rowOff>90715</xdr:rowOff>
    </xdr:to>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71237" y="11502839"/>
          <a:ext cx="1176618" cy="534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2">
                  <a:lumMod val="75000"/>
                </a:schemeClr>
              </a:solidFill>
              <a:latin typeface="+mn-lt"/>
              <a:ea typeface="+mn-ea"/>
              <a:cs typeface="+mn-cs"/>
            </a:rPr>
            <a:t>Unhide here </a:t>
          </a:r>
          <a:r>
            <a:rPr lang="en-US" sz="1100" baseline="0">
              <a:solidFill>
                <a:schemeClr val="accent2">
                  <a:lumMod val="75000"/>
                </a:schemeClr>
              </a:solidFill>
            </a:rPr>
            <a:t>for more travel rows</a:t>
          </a:r>
          <a:endParaRPr lang="en-US" sz="1100">
            <a:solidFill>
              <a:schemeClr val="accent2">
                <a:lumMod val="75000"/>
              </a:schemeClr>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704850</xdr:colOff>
          <xdr:row>0</xdr:row>
          <xdr:rowOff>133350</xdr:rowOff>
        </xdr:from>
        <xdr:to>
          <xdr:col>6</xdr:col>
          <xdr:colOff>104775</xdr:colOff>
          <xdr:row>3</xdr:row>
          <xdr:rowOff>171450</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152400</xdr:rowOff>
        </xdr:from>
        <xdr:to>
          <xdr:col>5</xdr:col>
          <xdr:colOff>714375</xdr:colOff>
          <xdr:row>4</xdr:row>
          <xdr:rowOff>66675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1</xdr:row>
          <xdr:rowOff>9525</xdr:rowOff>
        </xdr:from>
        <xdr:to>
          <xdr:col>3</xdr:col>
          <xdr:colOff>0</xdr:colOff>
          <xdr:row>3</xdr:row>
          <xdr:rowOff>47625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1 Hide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28575</xdr:rowOff>
        </xdr:from>
        <xdr:to>
          <xdr:col>3</xdr:col>
          <xdr:colOff>9525</xdr:colOff>
          <xdr:row>6</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6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2 Hide Zeros 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9525</xdr:rowOff>
        </xdr:from>
        <xdr:to>
          <xdr:col>3</xdr:col>
          <xdr:colOff>9525</xdr:colOff>
          <xdr:row>9</xdr:row>
          <xdr:rowOff>9525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6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3 Hide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9525</xdr:rowOff>
        </xdr:from>
        <xdr:to>
          <xdr:col>3</xdr:col>
          <xdr:colOff>0</xdr:colOff>
          <xdr:row>12</xdr:row>
          <xdr:rowOff>19050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6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4 Hide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28575</xdr:rowOff>
        </xdr:from>
        <xdr:to>
          <xdr:col>3</xdr:col>
          <xdr:colOff>9525</xdr:colOff>
          <xdr:row>14</xdr:row>
          <xdr:rowOff>171450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600-00000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5 Hide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xdr:row>
          <xdr:rowOff>9525</xdr:rowOff>
        </xdr:from>
        <xdr:to>
          <xdr:col>6</xdr:col>
          <xdr:colOff>9525</xdr:colOff>
          <xdr:row>3</xdr:row>
          <xdr:rowOff>9525</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6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6 Hide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6</xdr:col>
          <xdr:colOff>9525</xdr:colOff>
          <xdr:row>6</xdr:row>
          <xdr:rowOff>9525</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600-00000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7 Hide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9525</xdr:rowOff>
        </xdr:from>
        <xdr:to>
          <xdr:col>6</xdr:col>
          <xdr:colOff>9525</xdr:colOff>
          <xdr:row>9</xdr:row>
          <xdr:rowOff>9525</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6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8 Hide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9</xdr:row>
          <xdr:rowOff>171450</xdr:rowOff>
        </xdr:from>
        <xdr:to>
          <xdr:col>6</xdr:col>
          <xdr:colOff>9525</xdr:colOff>
          <xdr:row>11</xdr:row>
          <xdr:rowOff>171450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600-00000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9 Hide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13</xdr:row>
          <xdr:rowOff>9525</xdr:rowOff>
        </xdr:from>
        <xdr:to>
          <xdr:col>6</xdr:col>
          <xdr:colOff>0</xdr:colOff>
          <xdr:row>14</xdr:row>
          <xdr:rowOff>171450</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600-00000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Year 10 Hide Zeros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142875</xdr:rowOff>
        </xdr:from>
        <xdr:to>
          <xdr:col>3</xdr:col>
          <xdr:colOff>685800</xdr:colOff>
          <xdr:row>3</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Click Here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B1:M23"/>
  <sheetViews>
    <sheetView tabSelected="1" topLeftCell="B19" workbookViewId="0">
      <selection activeCell="B17" sqref="B17:M17"/>
    </sheetView>
  </sheetViews>
  <sheetFormatPr defaultRowHeight="15" x14ac:dyDescent="0.25"/>
  <cols>
    <col min="1" max="1" width="0" hidden="1" customWidth="1"/>
    <col min="13" max="13" width="42.42578125" customWidth="1"/>
  </cols>
  <sheetData>
    <row r="1" spans="2:13" hidden="1" x14ac:dyDescent="0.25"/>
    <row r="2" spans="2:13" ht="28.5" x14ac:dyDescent="0.45">
      <c r="B2" s="169" t="s">
        <v>94</v>
      </c>
      <c r="C2" s="169"/>
      <c r="D2" s="169"/>
      <c r="E2" s="169"/>
      <c r="F2" s="169"/>
      <c r="G2" s="13"/>
      <c r="H2" s="13"/>
      <c r="I2" s="13"/>
      <c r="J2" s="13"/>
      <c r="K2" s="13"/>
      <c r="L2" s="13"/>
      <c r="M2" s="13"/>
    </row>
    <row r="3" spans="2:13" hidden="1" x14ac:dyDescent="0.25">
      <c r="B3" s="13"/>
      <c r="C3" s="13"/>
      <c r="D3" s="13"/>
      <c r="E3" s="13"/>
      <c r="F3" s="13"/>
      <c r="G3" s="13"/>
      <c r="H3" s="13"/>
      <c r="I3" s="13"/>
      <c r="J3" s="13"/>
      <c r="K3" s="13"/>
      <c r="L3" s="13"/>
      <c r="M3" s="13"/>
    </row>
    <row r="4" spans="2:13" ht="27.6" customHeight="1" x14ac:dyDescent="0.25">
      <c r="B4" s="170" t="s">
        <v>128</v>
      </c>
      <c r="C4" s="170"/>
      <c r="D4" s="170"/>
      <c r="E4" s="170"/>
      <c r="F4" s="170"/>
      <c r="G4" s="170"/>
      <c r="H4" s="170"/>
      <c r="I4" s="170"/>
      <c r="J4" s="170"/>
      <c r="K4" s="170"/>
      <c r="L4" s="170"/>
      <c r="M4" s="170"/>
    </row>
    <row r="5" spans="2:13" ht="15" customHeight="1" x14ac:dyDescent="0.25">
      <c r="B5" s="105"/>
      <c r="C5" s="105"/>
      <c r="D5" s="105"/>
      <c r="E5" s="105"/>
      <c r="F5" s="105"/>
      <c r="G5" s="105"/>
      <c r="H5" s="105"/>
      <c r="I5" s="105"/>
      <c r="J5" s="105"/>
      <c r="K5" s="105"/>
      <c r="L5" s="105"/>
      <c r="M5" s="105"/>
    </row>
    <row r="6" spans="2:13" ht="30.75" customHeight="1" x14ac:dyDescent="0.25">
      <c r="B6" s="170" t="s">
        <v>122</v>
      </c>
      <c r="C6" s="170"/>
      <c r="D6" s="170"/>
      <c r="E6" s="170"/>
      <c r="F6" s="170"/>
      <c r="G6" s="170"/>
      <c r="H6" s="170"/>
      <c r="I6" s="170"/>
      <c r="J6" s="170"/>
      <c r="K6" s="170"/>
      <c r="L6" s="170"/>
      <c r="M6" s="170"/>
    </row>
    <row r="7" spans="2:13" ht="15" customHeight="1" x14ac:dyDescent="0.25">
      <c r="B7" s="105"/>
      <c r="C7" s="105"/>
      <c r="D7" s="105"/>
      <c r="E7" s="105"/>
      <c r="F7" s="105"/>
      <c r="G7" s="105"/>
      <c r="H7" s="105"/>
      <c r="I7" s="105"/>
      <c r="J7" s="105"/>
      <c r="K7" s="105"/>
      <c r="L7" s="105"/>
      <c r="M7" s="105"/>
    </row>
    <row r="8" spans="2:13" ht="29.45" customHeight="1" x14ac:dyDescent="0.25">
      <c r="B8" s="170" t="s">
        <v>123</v>
      </c>
      <c r="C8" s="170"/>
      <c r="D8" s="170"/>
      <c r="E8" s="170"/>
      <c r="F8" s="170"/>
      <c r="G8" s="170"/>
      <c r="H8" s="170"/>
      <c r="I8" s="170"/>
      <c r="J8" s="170"/>
      <c r="K8" s="170"/>
      <c r="L8" s="170"/>
      <c r="M8" s="170"/>
    </row>
    <row r="9" spans="2:13" ht="15" customHeight="1" x14ac:dyDescent="0.25">
      <c r="B9" s="105"/>
      <c r="C9" s="105"/>
      <c r="D9" s="105"/>
      <c r="E9" s="105"/>
      <c r="F9" s="105"/>
      <c r="G9" s="105"/>
      <c r="H9" s="105"/>
      <c r="I9" s="105"/>
      <c r="J9" s="105"/>
      <c r="K9" s="105"/>
      <c r="L9" s="105"/>
      <c r="M9" s="105"/>
    </row>
    <row r="10" spans="2:13" ht="15" customHeight="1" x14ac:dyDescent="0.25">
      <c r="B10" s="170" t="s">
        <v>119</v>
      </c>
      <c r="C10" s="170"/>
      <c r="D10" s="170"/>
      <c r="E10" s="170"/>
      <c r="F10" s="170"/>
      <c r="G10" s="170"/>
      <c r="H10" s="170"/>
      <c r="I10" s="170"/>
      <c r="J10" s="170"/>
      <c r="K10" s="170"/>
      <c r="L10" s="170"/>
      <c r="M10" s="170"/>
    </row>
    <row r="11" spans="2:13" ht="15" customHeight="1" x14ac:dyDescent="0.25">
      <c r="B11" s="105"/>
      <c r="C11" s="105"/>
      <c r="D11" s="105"/>
      <c r="E11" s="105"/>
      <c r="F11" s="105"/>
      <c r="G11" s="105"/>
      <c r="H11" s="105"/>
      <c r="I11" s="105"/>
      <c r="J11" s="105"/>
      <c r="K11" s="105"/>
      <c r="L11" s="105"/>
      <c r="M11" s="105"/>
    </row>
    <row r="12" spans="2:13" ht="15" customHeight="1" x14ac:dyDescent="0.25">
      <c r="B12" s="170" t="s">
        <v>120</v>
      </c>
      <c r="C12" s="170"/>
      <c r="D12" s="170"/>
      <c r="E12" s="170"/>
      <c r="F12" s="170"/>
      <c r="G12" s="170"/>
      <c r="H12" s="170"/>
      <c r="I12" s="170"/>
      <c r="J12" s="170"/>
      <c r="K12" s="170"/>
      <c r="L12" s="170"/>
      <c r="M12" s="170"/>
    </row>
    <row r="13" spans="2:13" ht="15" customHeight="1" x14ac:dyDescent="0.25">
      <c r="B13" s="105"/>
      <c r="C13" s="105"/>
      <c r="D13" s="105"/>
      <c r="E13" s="105"/>
      <c r="F13" s="105"/>
      <c r="G13" s="105"/>
      <c r="H13" s="105"/>
      <c r="I13" s="105"/>
      <c r="J13" s="105"/>
      <c r="K13" s="105"/>
      <c r="L13" s="105"/>
      <c r="M13" s="105"/>
    </row>
    <row r="14" spans="2:13" ht="27.95" customHeight="1" x14ac:dyDescent="0.25">
      <c r="B14" s="170" t="s">
        <v>121</v>
      </c>
      <c r="C14" s="170"/>
      <c r="D14" s="170"/>
      <c r="E14" s="170"/>
      <c r="F14" s="170"/>
      <c r="G14" s="170"/>
      <c r="H14" s="170"/>
      <c r="I14" s="170"/>
      <c r="J14" s="170"/>
      <c r="K14" s="170"/>
      <c r="L14" s="170"/>
      <c r="M14" s="170"/>
    </row>
    <row r="15" spans="2:13" ht="15" customHeight="1" x14ac:dyDescent="0.25">
      <c r="B15" s="105"/>
      <c r="C15" s="105"/>
      <c r="D15" s="105"/>
      <c r="E15" s="105"/>
      <c r="F15" s="105"/>
      <c r="G15" s="105"/>
      <c r="H15" s="105"/>
      <c r="I15" s="105"/>
      <c r="J15" s="105"/>
      <c r="K15" s="105"/>
      <c r="L15" s="105"/>
      <c r="M15" s="105"/>
    </row>
    <row r="16" spans="2:13" x14ac:dyDescent="0.25">
      <c r="B16" s="170" t="s">
        <v>124</v>
      </c>
      <c r="C16" s="170"/>
      <c r="D16" s="170"/>
      <c r="E16" s="170"/>
      <c r="F16" s="170"/>
      <c r="G16" s="170"/>
      <c r="H16" s="170"/>
      <c r="I16" s="170"/>
      <c r="J16" s="170"/>
      <c r="K16" s="170"/>
      <c r="L16" s="170"/>
      <c r="M16" s="170"/>
    </row>
    <row r="17" spans="2:13" x14ac:dyDescent="0.25">
      <c r="B17" s="170" t="s">
        <v>125</v>
      </c>
      <c r="C17" s="170"/>
      <c r="D17" s="170"/>
      <c r="E17" s="170"/>
      <c r="F17" s="170"/>
      <c r="G17" s="170"/>
      <c r="H17" s="170"/>
      <c r="I17" s="170"/>
      <c r="J17" s="170"/>
      <c r="K17" s="170"/>
      <c r="L17" s="170"/>
      <c r="M17" s="170"/>
    </row>
    <row r="18" spans="2:13" ht="15" customHeight="1" x14ac:dyDescent="0.25">
      <c r="B18" s="105"/>
      <c r="C18" s="105"/>
      <c r="D18" s="105"/>
      <c r="E18" s="105"/>
      <c r="F18" s="105"/>
      <c r="G18" s="105"/>
      <c r="H18" s="105"/>
      <c r="I18" s="105"/>
      <c r="J18" s="105"/>
      <c r="K18" s="105"/>
      <c r="L18" s="105"/>
      <c r="M18" s="105"/>
    </row>
    <row r="19" spans="2:13" ht="29.45" customHeight="1" x14ac:dyDescent="0.25">
      <c r="B19" s="170" t="s">
        <v>127</v>
      </c>
      <c r="C19" s="170"/>
      <c r="D19" s="170"/>
      <c r="E19" s="170"/>
      <c r="F19" s="170"/>
      <c r="G19" s="170"/>
      <c r="H19" s="170"/>
      <c r="I19" s="170"/>
      <c r="J19" s="170"/>
      <c r="K19" s="170"/>
      <c r="L19" s="170"/>
      <c r="M19" s="170"/>
    </row>
    <row r="20" spans="2:13" ht="15" customHeight="1" x14ac:dyDescent="0.25">
      <c r="B20" s="105"/>
      <c r="C20" s="105"/>
      <c r="D20" s="105"/>
      <c r="E20" s="105"/>
      <c r="F20" s="105"/>
      <c r="G20" s="105"/>
      <c r="H20" s="105"/>
      <c r="I20" s="105"/>
      <c r="J20" s="105"/>
      <c r="K20" s="105"/>
      <c r="L20" s="105"/>
      <c r="M20" s="105"/>
    </row>
    <row r="21" spans="2:13" ht="32.25" customHeight="1" x14ac:dyDescent="0.25">
      <c r="B21" s="170" t="s">
        <v>126</v>
      </c>
      <c r="C21" s="170"/>
      <c r="D21" s="170"/>
      <c r="E21" s="170"/>
      <c r="F21" s="170"/>
      <c r="G21" s="170"/>
      <c r="H21" s="170"/>
      <c r="I21" s="170"/>
      <c r="J21" s="170"/>
      <c r="K21" s="170"/>
      <c r="L21" s="170"/>
      <c r="M21" s="170"/>
    </row>
    <row r="22" spans="2:13" x14ac:dyDescent="0.25">
      <c r="B22" s="168" t="s">
        <v>187</v>
      </c>
      <c r="C22" s="168"/>
      <c r="D22" s="168"/>
      <c r="E22" s="168"/>
      <c r="F22" s="168"/>
      <c r="G22" s="168"/>
      <c r="H22" s="168"/>
      <c r="I22" s="168"/>
      <c r="J22" s="168"/>
      <c r="K22" s="168"/>
      <c r="L22" s="168"/>
      <c r="M22" s="168"/>
    </row>
    <row r="23" spans="2:13" x14ac:dyDescent="0.25">
      <c r="B23" s="168"/>
      <c r="C23" s="168"/>
      <c r="D23" s="168"/>
      <c r="E23" s="168"/>
      <c r="F23" s="168"/>
      <c r="G23" s="168"/>
      <c r="H23" s="168"/>
      <c r="I23" s="168"/>
      <c r="J23" s="168"/>
      <c r="K23" s="168"/>
      <c r="L23" s="168"/>
      <c r="M23" s="168"/>
    </row>
  </sheetData>
  <mergeCells count="12">
    <mergeCell ref="B22:M23"/>
    <mergeCell ref="B2:F2"/>
    <mergeCell ref="B16:M16"/>
    <mergeCell ref="B21:M21"/>
    <mergeCell ref="B4:M4"/>
    <mergeCell ref="B6:M6"/>
    <mergeCell ref="B8:M8"/>
    <mergeCell ref="B10:M10"/>
    <mergeCell ref="B12:M12"/>
    <mergeCell ref="B14:M14"/>
    <mergeCell ref="B17:M17"/>
    <mergeCell ref="B19:M1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T82"/>
  <sheetViews>
    <sheetView topLeftCell="A44" zoomScaleNormal="100" workbookViewId="0">
      <selection activeCell="B18" sqref="B18"/>
    </sheetView>
  </sheetViews>
  <sheetFormatPr defaultRowHeight="15" x14ac:dyDescent="0.25"/>
  <cols>
    <col min="3" max="3" width="27.85546875" customWidth="1"/>
    <col min="4" max="4" width="10.140625" bestFit="1" customWidth="1"/>
    <col min="5" max="9" width="9.28515625" customWidth="1"/>
    <col min="10" max="10" width="12.140625" bestFit="1" customWidth="1"/>
    <col min="11" max="11" width="9.28515625" customWidth="1"/>
    <col min="12" max="12" width="10.140625" bestFit="1" customWidth="1"/>
    <col min="13" max="13" width="9.28515625" customWidth="1"/>
    <col min="14" max="14" width="11.140625" bestFit="1" customWidth="1"/>
    <col min="15" max="15" width="9.28515625" customWidth="1"/>
    <col min="16" max="16" width="12.140625" bestFit="1" customWidth="1"/>
    <col min="17" max="17" width="9.28515625" customWidth="1"/>
    <col min="18" max="18" width="10.140625" bestFit="1" customWidth="1"/>
    <col min="19" max="19" width="9.28515625" customWidth="1"/>
    <col min="20" max="20" width="11.140625" bestFit="1" customWidth="1"/>
  </cols>
  <sheetData>
    <row r="1" spans="1:20" x14ac:dyDescent="0.25">
      <c r="A1" s="4"/>
      <c r="B1" s="4"/>
      <c r="C1" s="4" t="s">
        <v>80</v>
      </c>
      <c r="D1" s="4"/>
      <c r="E1" s="4"/>
    </row>
    <row r="3" spans="1:20" x14ac:dyDescent="0.25">
      <c r="C3" s="4" t="s">
        <v>79</v>
      </c>
    </row>
    <row r="4" spans="1:20" x14ac:dyDescent="0.25">
      <c r="C4" s="108" t="s">
        <v>63</v>
      </c>
      <c r="D4" s="111" t="s">
        <v>42</v>
      </c>
      <c r="E4" s="111" t="s">
        <v>43</v>
      </c>
      <c r="F4" s="111" t="s">
        <v>44</v>
      </c>
      <c r="G4" s="111" t="s">
        <v>45</v>
      </c>
      <c r="H4" s="111" t="s">
        <v>47</v>
      </c>
      <c r="I4" s="111" t="s">
        <v>48</v>
      </c>
      <c r="J4" s="111" t="s">
        <v>49</v>
      </c>
      <c r="K4" s="111" t="s">
        <v>50</v>
      </c>
      <c r="L4" s="111" t="s">
        <v>51</v>
      </c>
      <c r="M4" s="111" t="s">
        <v>52</v>
      </c>
      <c r="N4" s="111" t="s">
        <v>95</v>
      </c>
      <c r="O4" s="111" t="s">
        <v>96</v>
      </c>
      <c r="P4" s="111" t="s">
        <v>97</v>
      </c>
      <c r="Q4" s="111" t="s">
        <v>98</v>
      </c>
      <c r="R4" s="111" t="s">
        <v>99</v>
      </c>
      <c r="S4" s="111" t="s">
        <v>100</v>
      </c>
      <c r="T4" s="112" t="s">
        <v>68</v>
      </c>
    </row>
    <row r="5" spans="1:20" x14ac:dyDescent="0.25">
      <c r="C5" s="109" t="str">
        <f>'Base Period'!B33</f>
        <v>Name</v>
      </c>
      <c r="D5" s="106" t="e">
        <f>'Budget by Task'!D13*(1+'Base Period'!$D$68)*(1+'Base Period'!$D$71)*(1+'Base Period'!$D$149)*(1+'Base Period'!$D$153)</f>
        <v>#REF!</v>
      </c>
      <c r="E5" s="106" t="e">
        <f>'Budget by Task'!E13*(1+'Base Period'!$D$68)*(1+'Base Period'!$D$71)*(1+'Base Period'!$D$149)*(1+'Base Period'!$D$153)</f>
        <v>#REF!</v>
      </c>
      <c r="F5" s="106" t="e">
        <f>'Budget by Task'!F13*(1+'Base Period'!$D$68)*(1+'Base Period'!$D$71)*(1+'Base Period'!$D$149)*(1+'Base Period'!$D$153)</f>
        <v>#REF!</v>
      </c>
      <c r="G5" s="106" t="e">
        <f>'Budget by Task'!G13*(1+'Base Period'!$D$68)*(1+'Base Period'!$D$71)*(1+'Base Period'!$D$149)*(1+'Base Period'!$D$153)</f>
        <v>#REF!</v>
      </c>
      <c r="H5" s="106" t="e">
        <f>'Budget by Task'!H13*(1+'Base Period'!$D$68)*(1+'Base Period'!$D$71)*(1+'Base Period'!$D$149)*(1+'Base Period'!$D$153)</f>
        <v>#REF!</v>
      </c>
      <c r="I5" s="106" t="e">
        <f>'Budget by Task'!I13*(1+'Base Period'!$D$68)*(1+'Base Period'!$D$71)*(1+'Base Period'!$D$149)*(1+'Base Period'!$D$153)</f>
        <v>#REF!</v>
      </c>
      <c r="J5" s="106" t="e">
        <f>'Budget by Task'!J13*(1+'Base Period'!$D$68)*(1+'Base Period'!$D$71)*(1+'Base Period'!$D$149)*(1+'Base Period'!$D$153)</f>
        <v>#REF!</v>
      </c>
      <c r="K5" s="106" t="e">
        <f>'Budget by Task'!K13*(1+'Base Period'!$D$68)*(1+'Base Period'!$D$71)*(1+'Base Period'!$D$149)*(1+'Base Period'!$D$153)</f>
        <v>#REF!</v>
      </c>
      <c r="L5" s="106" t="e">
        <f>'Budget by Task'!L13*(1+'Base Period'!$D$68)*(1+'Base Period'!$D$71)*(1+'Base Period'!$D$149)*(1+'Base Period'!$D$153)</f>
        <v>#REF!</v>
      </c>
      <c r="M5" s="106" t="e">
        <f>'Budget by Task'!M13*(1+'Base Period'!$D$68)*(1+'Base Period'!$D$71)*(1+'Base Period'!$D$149)*(1+'Base Period'!$D$153)</f>
        <v>#REF!</v>
      </c>
      <c r="N5" s="106" t="e">
        <f>'Budget by Task'!N13*(1+'Base Period'!$D$68)*(1+'Base Period'!$D$71)*(1+'Base Period'!$D$149)*(1+'Base Period'!$D$153)</f>
        <v>#REF!</v>
      </c>
      <c r="O5" s="106" t="e">
        <f>'Budget by Task'!O13*(1+'Base Period'!$D$68)*(1+'Base Period'!$D$71)*(1+'Base Period'!$D$149)*(1+'Base Period'!$D$153)</f>
        <v>#REF!</v>
      </c>
      <c r="P5" s="106" t="e">
        <f>'Budget by Task'!P13*(1+'Base Period'!$D$68)*(1+'Base Period'!$D$71)*(1+'Base Period'!$D$149)*(1+'Base Period'!$D$153)</f>
        <v>#REF!</v>
      </c>
      <c r="Q5" s="106" t="e">
        <f>'Budget by Task'!Q13*(1+'Base Period'!$D$68)*(1+'Base Period'!$D$71)*(1+'Base Period'!$D$149)*(1+'Base Period'!$D$153)</f>
        <v>#REF!</v>
      </c>
      <c r="R5" s="106" t="e">
        <f>'Budget by Task'!R13*(1+'Base Period'!$D$68)*(1+'Base Period'!$D$71)*(1+'Base Period'!$D$149)*(1+'Base Period'!$D$153)</f>
        <v>#REF!</v>
      </c>
      <c r="S5" s="106" t="e">
        <f>'Budget by Task'!S13*(1+'Base Period'!$D$68)*(1+'Base Period'!$D$71)*(1+'Base Period'!$D$149)*(1+'Base Period'!$D$153)</f>
        <v>#REF!</v>
      </c>
      <c r="T5" s="107" t="e">
        <f t="shared" ref="T5:T34" si="0">SUM(D5:S5)</f>
        <v>#REF!</v>
      </c>
    </row>
    <row r="6" spans="1:20" x14ac:dyDescent="0.25">
      <c r="C6" s="109" t="str">
        <f>'Base Period'!B34</f>
        <v>Name</v>
      </c>
      <c r="D6" s="106" t="e">
        <f>'Budget by Task'!D14*(1+'Base Period'!$D$68)*(1+'Base Period'!$D$71)*(1+'Base Period'!$D$149)*(1+'Base Period'!$D$153)</f>
        <v>#REF!</v>
      </c>
      <c r="E6" s="106" t="e">
        <f>'Budget by Task'!E14*(1+'Base Period'!$D$68)*(1+'Base Period'!$D$71)*(1+'Base Period'!$D$149)*(1+'Base Period'!$D$153)</f>
        <v>#REF!</v>
      </c>
      <c r="F6" s="106" t="e">
        <f>'Budget by Task'!F14*(1+'Base Period'!$D$68)*(1+'Base Period'!$D$71)*(1+'Base Period'!$D$149)*(1+'Base Period'!$D$153)</f>
        <v>#REF!</v>
      </c>
      <c r="G6" s="106" t="e">
        <f>'Budget by Task'!G14*(1+'Base Period'!$D$68)*(1+'Base Period'!$D$71)*(1+'Base Period'!$D$149)*(1+'Base Period'!$D$153)</f>
        <v>#REF!</v>
      </c>
      <c r="H6" s="106" t="e">
        <f>'Budget by Task'!H14*(1+'Base Period'!$D$68)*(1+'Base Period'!$D$71)*(1+'Base Period'!$D$149)*(1+'Base Period'!$D$153)</f>
        <v>#REF!</v>
      </c>
      <c r="I6" s="106" t="e">
        <f>'Budget by Task'!I14*(1+'Base Period'!$D$68)*(1+'Base Period'!$D$71)*(1+'Base Period'!$D$149)*(1+'Base Period'!$D$153)</f>
        <v>#REF!</v>
      </c>
      <c r="J6" s="106" t="e">
        <f>'Budget by Task'!J14*(1+'Base Period'!$D$68)*(1+'Base Period'!$D$71)*(1+'Base Period'!$D$149)*(1+'Base Period'!$D$153)</f>
        <v>#REF!</v>
      </c>
      <c r="K6" s="106" t="e">
        <f>'Budget by Task'!K14*(1+'Base Period'!$D$68)*(1+'Base Period'!$D$71)*(1+'Base Period'!$D$149)*(1+'Base Period'!$D$153)</f>
        <v>#REF!</v>
      </c>
      <c r="L6" s="106" t="e">
        <f>'Budget by Task'!L14*(1+'Base Period'!$D$68)*(1+'Base Period'!$D$71)*(1+'Base Period'!$D$149)*(1+'Base Period'!$D$153)</f>
        <v>#REF!</v>
      </c>
      <c r="M6" s="106" t="e">
        <f>'Budget by Task'!M14*(1+'Base Period'!$D$68)*(1+'Base Period'!$D$71)*(1+'Base Period'!$D$149)*(1+'Base Period'!$D$153)</f>
        <v>#REF!</v>
      </c>
      <c r="N6" s="106" t="e">
        <f>'Budget by Task'!N14*(1+'Base Period'!$D$68)*(1+'Base Period'!$D$71)*(1+'Base Period'!$D$149)*(1+'Base Period'!$D$153)</f>
        <v>#REF!</v>
      </c>
      <c r="O6" s="106" t="e">
        <f>'Budget by Task'!O14*(1+'Base Period'!$D$68)*(1+'Base Period'!$D$71)*(1+'Base Period'!$D$149)*(1+'Base Period'!$D$153)</f>
        <v>#REF!</v>
      </c>
      <c r="P6" s="106" t="e">
        <f>'Budget by Task'!P14*(1+'Base Period'!$D$68)*(1+'Base Period'!$D$71)*(1+'Base Period'!$D$149)*(1+'Base Period'!$D$153)</f>
        <v>#REF!</v>
      </c>
      <c r="Q6" s="106" t="e">
        <f>'Budget by Task'!Q14*(1+'Base Period'!$D$68)*(1+'Base Period'!$D$71)*(1+'Base Period'!$D$149)*(1+'Base Period'!$D$153)</f>
        <v>#REF!</v>
      </c>
      <c r="R6" s="106" t="e">
        <f>'Budget by Task'!R14*(1+'Base Period'!$D$68)*(1+'Base Period'!$D$71)*(1+'Base Period'!$D$149)*(1+'Base Period'!$D$153)</f>
        <v>#REF!</v>
      </c>
      <c r="S6" s="106" t="e">
        <f>'Budget by Task'!S14*(1+'Base Period'!$D$68)*(1+'Base Period'!$D$71)*(1+'Base Period'!$D$149)*(1+'Base Period'!$D$153)</f>
        <v>#REF!</v>
      </c>
      <c r="T6" s="107" t="e">
        <f t="shared" si="0"/>
        <v>#REF!</v>
      </c>
    </row>
    <row r="7" spans="1:20" x14ac:dyDescent="0.25">
      <c r="C7" s="109" t="str">
        <f>'Base Period'!B35</f>
        <v>Name</v>
      </c>
      <c r="D7" s="106" t="e">
        <f>'Budget by Task'!D15*(1+'Base Period'!$D$68)*(1+'Base Period'!$D$71)*(1+'Base Period'!$D$149)*(1+'Base Period'!$D$153)</f>
        <v>#REF!</v>
      </c>
      <c r="E7" s="106" t="e">
        <f>'Budget by Task'!E15*(1+'Base Period'!$D$68)*(1+'Base Period'!$D$71)*(1+'Base Period'!$D$149)*(1+'Base Period'!$D$153)</f>
        <v>#REF!</v>
      </c>
      <c r="F7" s="106" t="e">
        <f>'Budget by Task'!F15*(1+'Base Period'!$D$68)*(1+'Base Period'!$D$71)*(1+'Base Period'!$D$149)*(1+'Base Period'!$D$153)</f>
        <v>#REF!</v>
      </c>
      <c r="G7" s="106" t="e">
        <f>'Budget by Task'!G15*(1+'Base Period'!$D$68)*(1+'Base Period'!$D$71)*(1+'Base Period'!$D$149)*(1+'Base Period'!$D$153)</f>
        <v>#REF!</v>
      </c>
      <c r="H7" s="106" t="e">
        <f>'Budget by Task'!H15*(1+'Base Period'!$D$68)*(1+'Base Period'!$D$71)*(1+'Base Period'!$D$149)*(1+'Base Period'!$D$153)</f>
        <v>#REF!</v>
      </c>
      <c r="I7" s="106" t="e">
        <f>'Budget by Task'!I15*(1+'Base Period'!$D$68)*(1+'Base Period'!$D$71)*(1+'Base Period'!$D$149)*(1+'Base Period'!$D$153)</f>
        <v>#REF!</v>
      </c>
      <c r="J7" s="106" t="e">
        <f>'Budget by Task'!J15*(1+'Base Period'!$D$68)*(1+'Base Period'!$D$71)*(1+'Base Period'!$D$149)*(1+'Base Period'!$D$153)</f>
        <v>#REF!</v>
      </c>
      <c r="K7" s="106" t="e">
        <f>'Budget by Task'!K15*(1+'Base Period'!$D$68)*(1+'Base Period'!$D$71)*(1+'Base Period'!$D$149)*(1+'Base Period'!$D$153)</f>
        <v>#REF!</v>
      </c>
      <c r="L7" s="106" t="e">
        <f>'Budget by Task'!L15*(1+'Base Period'!$D$68)*(1+'Base Period'!$D$71)*(1+'Base Period'!$D$149)*(1+'Base Period'!$D$153)</f>
        <v>#REF!</v>
      </c>
      <c r="M7" s="106" t="e">
        <f>'Budget by Task'!M15*(1+'Base Period'!$D$68)*(1+'Base Period'!$D$71)*(1+'Base Period'!$D$149)*(1+'Base Period'!$D$153)</f>
        <v>#REF!</v>
      </c>
      <c r="N7" s="106" t="e">
        <f>'Budget by Task'!N15*(1+'Base Period'!$D$68)*(1+'Base Period'!$D$71)*(1+'Base Period'!$D$149)*(1+'Base Period'!$D$153)</f>
        <v>#REF!</v>
      </c>
      <c r="O7" s="106" t="e">
        <f>'Budget by Task'!O15*(1+'Base Period'!$D$68)*(1+'Base Period'!$D$71)*(1+'Base Period'!$D$149)*(1+'Base Period'!$D$153)</f>
        <v>#REF!</v>
      </c>
      <c r="P7" s="106" t="e">
        <f>'Budget by Task'!P15*(1+'Base Period'!$D$68)*(1+'Base Period'!$D$71)*(1+'Base Period'!$D$149)*(1+'Base Period'!$D$153)</f>
        <v>#REF!</v>
      </c>
      <c r="Q7" s="106" t="e">
        <f>'Budget by Task'!Q15*(1+'Base Period'!$D$68)*(1+'Base Period'!$D$71)*(1+'Base Period'!$D$149)*(1+'Base Period'!$D$153)</f>
        <v>#REF!</v>
      </c>
      <c r="R7" s="106" t="e">
        <f>'Budget by Task'!R15*(1+'Base Period'!$D$68)*(1+'Base Period'!$D$71)*(1+'Base Period'!$D$149)*(1+'Base Period'!$D$153)</f>
        <v>#REF!</v>
      </c>
      <c r="S7" s="106" t="e">
        <f>'Budget by Task'!S15*(1+'Base Period'!$D$68)*(1+'Base Period'!$D$71)*(1+'Base Period'!$D$149)*(1+'Base Period'!$D$153)</f>
        <v>#REF!</v>
      </c>
      <c r="T7" s="107" t="e">
        <f t="shared" si="0"/>
        <v>#REF!</v>
      </c>
    </row>
    <row r="8" spans="1:20" x14ac:dyDescent="0.25">
      <c r="C8" s="109" t="str">
        <f>'Base Period'!B36</f>
        <v>Name</v>
      </c>
      <c r="D8" s="106" t="e">
        <f>'Budget by Task'!D16*(1+'Base Period'!$D$68)*(1+'Base Period'!$D$71)*(1+'Base Period'!$D$149)*(1+'Base Period'!$D$153)</f>
        <v>#REF!</v>
      </c>
      <c r="E8" s="106" t="e">
        <f>'Budget by Task'!E16*(1+'Base Period'!$D$68)*(1+'Base Period'!$D$71)*(1+'Base Period'!$D$149)*(1+'Base Period'!$D$153)</f>
        <v>#REF!</v>
      </c>
      <c r="F8" s="106" t="e">
        <f>'Budget by Task'!F16*(1+'Base Period'!$D$68)*(1+'Base Period'!$D$71)*(1+'Base Period'!$D$149)*(1+'Base Period'!$D$153)</f>
        <v>#REF!</v>
      </c>
      <c r="G8" s="106" t="e">
        <f>'Budget by Task'!G16*(1+'Base Period'!$D$68)*(1+'Base Period'!$D$71)*(1+'Base Period'!$D$149)*(1+'Base Period'!$D$153)</f>
        <v>#REF!</v>
      </c>
      <c r="H8" s="106" t="e">
        <f>'Budget by Task'!H16*(1+'Base Period'!$D$68)*(1+'Base Period'!$D$71)*(1+'Base Period'!$D$149)*(1+'Base Period'!$D$153)</f>
        <v>#REF!</v>
      </c>
      <c r="I8" s="106" t="e">
        <f>'Budget by Task'!I16*(1+'Base Period'!$D$68)*(1+'Base Period'!$D$71)*(1+'Base Period'!$D$149)*(1+'Base Period'!$D$153)</f>
        <v>#REF!</v>
      </c>
      <c r="J8" s="106" t="e">
        <f>'Budget by Task'!J16*(1+'Base Period'!$D$68)*(1+'Base Period'!$D$71)*(1+'Base Period'!$D$149)*(1+'Base Period'!$D$153)</f>
        <v>#REF!</v>
      </c>
      <c r="K8" s="106" t="e">
        <f>'Budget by Task'!K16*(1+'Base Period'!$D$68)*(1+'Base Period'!$D$71)*(1+'Base Period'!$D$149)*(1+'Base Period'!$D$153)</f>
        <v>#REF!</v>
      </c>
      <c r="L8" s="106" t="e">
        <f>'Budget by Task'!L16*(1+'Base Period'!$D$68)*(1+'Base Period'!$D$71)*(1+'Base Period'!$D$149)*(1+'Base Period'!$D$153)</f>
        <v>#REF!</v>
      </c>
      <c r="M8" s="106" t="e">
        <f>'Budget by Task'!M16*(1+'Base Period'!$D$68)*(1+'Base Period'!$D$71)*(1+'Base Period'!$D$149)*(1+'Base Period'!$D$153)</f>
        <v>#REF!</v>
      </c>
      <c r="N8" s="106" t="e">
        <f>'Budget by Task'!N16*(1+'Base Period'!$D$68)*(1+'Base Period'!$D$71)*(1+'Base Period'!$D$149)*(1+'Base Period'!$D$153)</f>
        <v>#REF!</v>
      </c>
      <c r="O8" s="106" t="e">
        <f>'Budget by Task'!O16*(1+'Base Period'!$D$68)*(1+'Base Period'!$D$71)*(1+'Base Period'!$D$149)*(1+'Base Period'!$D$153)</f>
        <v>#REF!</v>
      </c>
      <c r="P8" s="106" t="e">
        <f>'Budget by Task'!P16*(1+'Base Period'!$D$68)*(1+'Base Period'!$D$71)*(1+'Base Period'!$D$149)*(1+'Base Period'!$D$153)</f>
        <v>#REF!</v>
      </c>
      <c r="Q8" s="106" t="e">
        <f>'Budget by Task'!Q16*(1+'Base Period'!$D$68)*(1+'Base Period'!$D$71)*(1+'Base Period'!$D$149)*(1+'Base Period'!$D$153)</f>
        <v>#REF!</v>
      </c>
      <c r="R8" s="106" t="e">
        <f>'Budget by Task'!R16*(1+'Base Period'!$D$68)*(1+'Base Period'!$D$71)*(1+'Base Period'!$D$149)*(1+'Base Period'!$D$153)</f>
        <v>#REF!</v>
      </c>
      <c r="S8" s="106" t="e">
        <f>'Budget by Task'!S16*(1+'Base Period'!$D$68)*(1+'Base Period'!$D$71)*(1+'Base Period'!$D$149)*(1+'Base Period'!$D$153)</f>
        <v>#REF!</v>
      </c>
      <c r="T8" s="107" t="e">
        <f t="shared" si="0"/>
        <v>#REF!</v>
      </c>
    </row>
    <row r="9" spans="1:20" x14ac:dyDescent="0.25">
      <c r="C9" s="109" t="str">
        <f>'Base Period'!B37</f>
        <v>Name</v>
      </c>
      <c r="D9" s="106" t="e">
        <f>'Budget by Task'!D17*(1+'Base Period'!$D$68)*(1+'Base Period'!$D$71)*(1+'Base Period'!$D$149)*(1+'Base Period'!$D$153)</f>
        <v>#REF!</v>
      </c>
      <c r="E9" s="106" t="e">
        <f>'Budget by Task'!E17*(1+'Base Period'!$D$68)*(1+'Base Period'!$D$71)*(1+'Base Period'!$D$149)*(1+'Base Period'!$D$153)</f>
        <v>#REF!</v>
      </c>
      <c r="F9" s="106" t="e">
        <f>'Budget by Task'!F17*(1+'Base Period'!$D$68)*(1+'Base Period'!$D$71)*(1+'Base Period'!$D$149)*(1+'Base Period'!$D$153)</f>
        <v>#REF!</v>
      </c>
      <c r="G9" s="106" t="e">
        <f>'Budget by Task'!G17*(1+'Base Period'!$D$68)*(1+'Base Period'!$D$71)*(1+'Base Period'!$D$149)*(1+'Base Period'!$D$153)</f>
        <v>#REF!</v>
      </c>
      <c r="H9" s="106" t="e">
        <f>'Budget by Task'!H17*(1+'Base Period'!$D$68)*(1+'Base Period'!$D$71)*(1+'Base Period'!$D$149)*(1+'Base Period'!$D$153)</f>
        <v>#REF!</v>
      </c>
      <c r="I9" s="106" t="e">
        <f>'Budget by Task'!I17*(1+'Base Period'!$D$68)*(1+'Base Period'!$D$71)*(1+'Base Period'!$D$149)*(1+'Base Period'!$D$153)</f>
        <v>#REF!</v>
      </c>
      <c r="J9" s="106" t="e">
        <f>'Budget by Task'!J17*(1+'Base Period'!$D$68)*(1+'Base Period'!$D$71)*(1+'Base Period'!$D$149)*(1+'Base Period'!$D$153)</f>
        <v>#REF!</v>
      </c>
      <c r="K9" s="106" t="e">
        <f>'Budget by Task'!K17*(1+'Base Period'!$D$68)*(1+'Base Period'!$D$71)*(1+'Base Period'!$D$149)*(1+'Base Period'!$D$153)</f>
        <v>#REF!</v>
      </c>
      <c r="L9" s="106" t="e">
        <f>'Budget by Task'!L17*(1+'Base Period'!$D$68)*(1+'Base Period'!$D$71)*(1+'Base Period'!$D$149)*(1+'Base Period'!$D$153)</f>
        <v>#REF!</v>
      </c>
      <c r="M9" s="106" t="e">
        <f>'Budget by Task'!M17*(1+'Base Period'!$D$68)*(1+'Base Period'!$D$71)*(1+'Base Period'!$D$149)*(1+'Base Period'!$D$153)</f>
        <v>#REF!</v>
      </c>
      <c r="N9" s="106" t="e">
        <f>'Budget by Task'!N17*(1+'Base Period'!$D$68)*(1+'Base Period'!$D$71)*(1+'Base Period'!$D$149)*(1+'Base Period'!$D$153)</f>
        <v>#REF!</v>
      </c>
      <c r="O9" s="106" t="e">
        <f>'Budget by Task'!O17*(1+'Base Period'!$D$68)*(1+'Base Period'!$D$71)*(1+'Base Period'!$D$149)*(1+'Base Period'!$D$153)</f>
        <v>#REF!</v>
      </c>
      <c r="P9" s="106" t="e">
        <f>'Budget by Task'!P17*(1+'Base Period'!$D$68)*(1+'Base Period'!$D$71)*(1+'Base Period'!$D$149)*(1+'Base Period'!$D$153)</f>
        <v>#REF!</v>
      </c>
      <c r="Q9" s="106" t="e">
        <f>'Budget by Task'!Q17*(1+'Base Period'!$D$68)*(1+'Base Period'!$D$71)*(1+'Base Period'!$D$149)*(1+'Base Period'!$D$153)</f>
        <v>#REF!</v>
      </c>
      <c r="R9" s="106" t="e">
        <f>'Budget by Task'!R17*(1+'Base Period'!$D$68)*(1+'Base Period'!$D$71)*(1+'Base Period'!$D$149)*(1+'Base Period'!$D$153)</f>
        <v>#REF!</v>
      </c>
      <c r="S9" s="106" t="e">
        <f>'Budget by Task'!S17*(1+'Base Period'!$D$68)*(1+'Base Period'!$D$71)*(1+'Base Period'!$D$149)*(1+'Base Period'!$D$153)</f>
        <v>#REF!</v>
      </c>
      <c r="T9" s="107" t="e">
        <f t="shared" si="0"/>
        <v>#REF!</v>
      </c>
    </row>
    <row r="10" spans="1:20" x14ac:dyDescent="0.25">
      <c r="C10" s="109" t="str">
        <f>'Base Period'!B38</f>
        <v>Name</v>
      </c>
      <c r="D10" s="106" t="e">
        <f>'Budget by Task'!D18*(1+'Base Period'!$D$68)*(1+'Base Period'!$D$71)*(1+'Base Period'!$D$149)*(1+'Base Period'!$D$153)</f>
        <v>#REF!</v>
      </c>
      <c r="E10" s="106" t="e">
        <f>'Budget by Task'!E18*(1+'Base Period'!$D$68)*(1+'Base Period'!$D$71)*(1+'Base Period'!$D$149)*(1+'Base Period'!$D$153)</f>
        <v>#REF!</v>
      </c>
      <c r="F10" s="106" t="e">
        <f>'Budget by Task'!F18*(1+'Base Period'!$D$68)*(1+'Base Period'!$D$71)*(1+'Base Period'!$D$149)*(1+'Base Period'!$D$153)</f>
        <v>#REF!</v>
      </c>
      <c r="G10" s="106" t="e">
        <f>'Budget by Task'!G18*(1+'Base Period'!$D$68)*(1+'Base Period'!$D$71)*(1+'Base Period'!$D$149)*(1+'Base Period'!$D$153)</f>
        <v>#REF!</v>
      </c>
      <c r="H10" s="106" t="e">
        <f>'Budget by Task'!H18*(1+'Base Period'!$D$68)*(1+'Base Period'!$D$71)*(1+'Base Period'!$D$149)*(1+'Base Period'!$D$153)</f>
        <v>#REF!</v>
      </c>
      <c r="I10" s="106" t="e">
        <f>'Budget by Task'!I18*(1+'Base Period'!$D$68)*(1+'Base Period'!$D$71)*(1+'Base Period'!$D$149)*(1+'Base Period'!$D$153)</f>
        <v>#REF!</v>
      </c>
      <c r="J10" s="106" t="e">
        <f>'Budget by Task'!J18*(1+'Base Period'!$D$68)*(1+'Base Period'!$D$71)*(1+'Base Period'!$D$149)*(1+'Base Period'!$D$153)</f>
        <v>#REF!</v>
      </c>
      <c r="K10" s="106" t="e">
        <f>'Budget by Task'!K18*(1+'Base Period'!$D$68)*(1+'Base Period'!$D$71)*(1+'Base Period'!$D$149)*(1+'Base Period'!$D$153)</f>
        <v>#REF!</v>
      </c>
      <c r="L10" s="106" t="e">
        <f>'Budget by Task'!L18*(1+'Base Period'!$D$68)*(1+'Base Period'!$D$71)*(1+'Base Period'!$D$149)*(1+'Base Period'!$D$153)</f>
        <v>#REF!</v>
      </c>
      <c r="M10" s="106" t="e">
        <f>'Budget by Task'!M18*(1+'Base Period'!$D$68)*(1+'Base Period'!$D$71)*(1+'Base Period'!$D$149)*(1+'Base Period'!$D$153)</f>
        <v>#REF!</v>
      </c>
      <c r="N10" s="106" t="e">
        <f>'Budget by Task'!N18*(1+'Base Period'!$D$68)*(1+'Base Period'!$D$71)*(1+'Base Period'!$D$149)*(1+'Base Period'!$D$153)</f>
        <v>#REF!</v>
      </c>
      <c r="O10" s="106" t="e">
        <f>'Budget by Task'!O18*(1+'Base Period'!$D$68)*(1+'Base Period'!$D$71)*(1+'Base Period'!$D$149)*(1+'Base Period'!$D$153)</f>
        <v>#REF!</v>
      </c>
      <c r="P10" s="106" t="e">
        <f>'Budget by Task'!P18*(1+'Base Period'!$D$68)*(1+'Base Period'!$D$71)*(1+'Base Period'!$D$149)*(1+'Base Period'!$D$153)</f>
        <v>#REF!</v>
      </c>
      <c r="Q10" s="106" t="e">
        <f>'Budget by Task'!Q18*(1+'Base Period'!$D$68)*(1+'Base Period'!$D$71)*(1+'Base Period'!$D$149)*(1+'Base Period'!$D$153)</f>
        <v>#REF!</v>
      </c>
      <c r="R10" s="106" t="e">
        <f>'Budget by Task'!R18*(1+'Base Period'!$D$68)*(1+'Base Period'!$D$71)*(1+'Base Period'!$D$149)*(1+'Base Period'!$D$153)</f>
        <v>#REF!</v>
      </c>
      <c r="S10" s="106" t="e">
        <f>'Budget by Task'!S18*(1+'Base Period'!$D$68)*(1+'Base Period'!$D$71)*(1+'Base Period'!$D$149)*(1+'Base Period'!$D$153)</f>
        <v>#REF!</v>
      </c>
      <c r="T10" s="107" t="e">
        <f t="shared" si="0"/>
        <v>#REF!</v>
      </c>
    </row>
    <row r="11" spans="1:20" x14ac:dyDescent="0.25">
      <c r="C11" s="109" t="str">
        <f>'Base Period'!B39</f>
        <v>Name</v>
      </c>
      <c r="D11" s="106" t="e">
        <f>'Budget by Task'!D19*(1+'Base Period'!$D$68)*(1+'Base Period'!$D$71)*(1+'Base Period'!$D$149)*(1+'Base Period'!$D$153)</f>
        <v>#REF!</v>
      </c>
      <c r="E11" s="106" t="e">
        <f>'Budget by Task'!E19*(1+'Base Period'!$D$68)*(1+'Base Period'!$D$71)*(1+'Base Period'!$D$149)*(1+'Base Period'!$D$153)</f>
        <v>#REF!</v>
      </c>
      <c r="F11" s="106" t="e">
        <f>'Budget by Task'!F19*(1+'Base Period'!$D$68)*(1+'Base Period'!$D$71)*(1+'Base Period'!$D$149)*(1+'Base Period'!$D$153)</f>
        <v>#REF!</v>
      </c>
      <c r="G11" s="106" t="e">
        <f>'Budget by Task'!G19*(1+'Base Period'!$D$68)*(1+'Base Period'!$D$71)*(1+'Base Period'!$D$149)*(1+'Base Period'!$D$153)</f>
        <v>#REF!</v>
      </c>
      <c r="H11" s="106" t="e">
        <f>'Budget by Task'!H19*(1+'Base Period'!$D$68)*(1+'Base Period'!$D$71)*(1+'Base Period'!$D$149)*(1+'Base Period'!$D$153)</f>
        <v>#REF!</v>
      </c>
      <c r="I11" s="106" t="e">
        <f>'Budget by Task'!I19*(1+'Base Period'!$D$68)*(1+'Base Period'!$D$71)*(1+'Base Period'!$D$149)*(1+'Base Period'!$D$153)</f>
        <v>#REF!</v>
      </c>
      <c r="J11" s="106" t="e">
        <f>'Budget by Task'!J19*(1+'Base Period'!$D$68)*(1+'Base Period'!$D$71)*(1+'Base Period'!$D$149)*(1+'Base Period'!$D$153)</f>
        <v>#REF!</v>
      </c>
      <c r="K11" s="106" t="e">
        <f>'Budget by Task'!K19*(1+'Base Period'!$D$68)*(1+'Base Period'!$D$71)*(1+'Base Period'!$D$149)*(1+'Base Period'!$D$153)</f>
        <v>#REF!</v>
      </c>
      <c r="L11" s="106" t="e">
        <f>'Budget by Task'!L19*(1+'Base Period'!$D$68)*(1+'Base Period'!$D$71)*(1+'Base Period'!$D$149)*(1+'Base Period'!$D$153)</f>
        <v>#REF!</v>
      </c>
      <c r="M11" s="106" t="e">
        <f>'Budget by Task'!M19*(1+'Base Period'!$D$68)*(1+'Base Period'!$D$71)*(1+'Base Period'!$D$149)*(1+'Base Period'!$D$153)</f>
        <v>#REF!</v>
      </c>
      <c r="N11" s="106" t="e">
        <f>'Budget by Task'!N19*(1+'Base Period'!$D$68)*(1+'Base Period'!$D$71)*(1+'Base Period'!$D$149)*(1+'Base Period'!$D$153)</f>
        <v>#REF!</v>
      </c>
      <c r="O11" s="106" t="e">
        <f>'Budget by Task'!O19*(1+'Base Period'!$D$68)*(1+'Base Period'!$D$71)*(1+'Base Period'!$D$149)*(1+'Base Period'!$D$153)</f>
        <v>#REF!</v>
      </c>
      <c r="P11" s="106" t="e">
        <f>'Budget by Task'!P19*(1+'Base Period'!$D$68)*(1+'Base Period'!$D$71)*(1+'Base Period'!$D$149)*(1+'Base Period'!$D$153)</f>
        <v>#REF!</v>
      </c>
      <c r="Q11" s="106" t="e">
        <f>'Budget by Task'!Q19*(1+'Base Period'!$D$68)*(1+'Base Period'!$D$71)*(1+'Base Period'!$D$149)*(1+'Base Period'!$D$153)</f>
        <v>#REF!</v>
      </c>
      <c r="R11" s="106" t="e">
        <f>'Budget by Task'!R19*(1+'Base Period'!$D$68)*(1+'Base Period'!$D$71)*(1+'Base Period'!$D$149)*(1+'Base Period'!$D$153)</f>
        <v>#REF!</v>
      </c>
      <c r="S11" s="106" t="e">
        <f>'Budget by Task'!S19*(1+'Base Period'!$D$68)*(1+'Base Period'!$D$71)*(1+'Base Period'!$D$149)*(1+'Base Period'!$D$153)</f>
        <v>#REF!</v>
      </c>
      <c r="T11" s="107" t="e">
        <f t="shared" si="0"/>
        <v>#REF!</v>
      </c>
    </row>
    <row r="12" spans="1:20" x14ac:dyDescent="0.25">
      <c r="C12" s="109" t="str">
        <f>'Base Period'!B40</f>
        <v>Name</v>
      </c>
      <c r="D12" s="106" t="e">
        <f>'Budget by Task'!D20*(1+'Base Period'!$D$68)*(1+'Base Period'!$D$71)*(1+'Base Period'!$D$149)*(1+'Base Period'!$D$153)</f>
        <v>#REF!</v>
      </c>
      <c r="E12" s="106" t="e">
        <f>'Budget by Task'!E20*(1+'Base Period'!$D$68)*(1+'Base Period'!$D$71)*(1+'Base Period'!$D$149)*(1+'Base Period'!$D$153)</f>
        <v>#REF!</v>
      </c>
      <c r="F12" s="106" t="e">
        <f>'Budget by Task'!F20*(1+'Base Period'!$D$68)*(1+'Base Period'!$D$71)*(1+'Base Period'!$D$149)*(1+'Base Period'!$D$153)</f>
        <v>#REF!</v>
      </c>
      <c r="G12" s="106" t="e">
        <f>'Budget by Task'!G20*(1+'Base Period'!$D$68)*(1+'Base Period'!$D$71)*(1+'Base Period'!$D$149)*(1+'Base Period'!$D$153)</f>
        <v>#REF!</v>
      </c>
      <c r="H12" s="106" t="e">
        <f>'Budget by Task'!H20*(1+'Base Period'!$D$68)*(1+'Base Period'!$D$71)*(1+'Base Period'!$D$149)*(1+'Base Period'!$D$153)</f>
        <v>#REF!</v>
      </c>
      <c r="I12" s="106" t="e">
        <f>'Budget by Task'!I20*(1+'Base Period'!$D$68)*(1+'Base Period'!$D$71)*(1+'Base Period'!$D$149)*(1+'Base Period'!$D$153)</f>
        <v>#REF!</v>
      </c>
      <c r="J12" s="106" t="e">
        <f>'Budget by Task'!J20*(1+'Base Period'!$D$68)*(1+'Base Period'!$D$71)*(1+'Base Period'!$D$149)*(1+'Base Period'!$D$153)</f>
        <v>#REF!</v>
      </c>
      <c r="K12" s="106" t="e">
        <f>'Budget by Task'!K20*(1+'Base Period'!$D$68)*(1+'Base Period'!$D$71)*(1+'Base Period'!$D$149)*(1+'Base Period'!$D$153)</f>
        <v>#REF!</v>
      </c>
      <c r="L12" s="106" t="e">
        <f>'Budget by Task'!L20*(1+'Base Period'!$D$68)*(1+'Base Period'!$D$71)*(1+'Base Period'!$D$149)*(1+'Base Period'!$D$153)</f>
        <v>#REF!</v>
      </c>
      <c r="M12" s="106" t="e">
        <f>'Budget by Task'!M20*(1+'Base Period'!$D$68)*(1+'Base Period'!$D$71)*(1+'Base Period'!$D$149)*(1+'Base Period'!$D$153)</f>
        <v>#REF!</v>
      </c>
      <c r="N12" s="106" t="e">
        <f>'Budget by Task'!N20*(1+'Base Period'!$D$68)*(1+'Base Period'!$D$71)*(1+'Base Period'!$D$149)*(1+'Base Period'!$D$153)</f>
        <v>#REF!</v>
      </c>
      <c r="O12" s="106" t="e">
        <f>'Budget by Task'!O20*(1+'Base Period'!$D$68)*(1+'Base Period'!$D$71)*(1+'Base Period'!$D$149)*(1+'Base Period'!$D$153)</f>
        <v>#REF!</v>
      </c>
      <c r="P12" s="106" t="e">
        <f>'Budget by Task'!P20*(1+'Base Period'!$D$68)*(1+'Base Period'!$D$71)*(1+'Base Period'!$D$149)*(1+'Base Period'!$D$153)</f>
        <v>#REF!</v>
      </c>
      <c r="Q12" s="106" t="e">
        <f>'Budget by Task'!Q20*(1+'Base Period'!$D$68)*(1+'Base Period'!$D$71)*(1+'Base Period'!$D$149)*(1+'Base Period'!$D$153)</f>
        <v>#REF!</v>
      </c>
      <c r="R12" s="106" t="e">
        <f>'Budget by Task'!R20*(1+'Base Period'!$D$68)*(1+'Base Period'!$D$71)*(1+'Base Period'!$D$149)*(1+'Base Period'!$D$153)</f>
        <v>#REF!</v>
      </c>
      <c r="S12" s="106" t="e">
        <f>'Budget by Task'!S20*(1+'Base Period'!$D$68)*(1+'Base Period'!$D$71)*(1+'Base Period'!$D$149)*(1+'Base Period'!$D$153)</f>
        <v>#REF!</v>
      </c>
      <c r="T12" s="107" t="e">
        <f t="shared" si="0"/>
        <v>#REF!</v>
      </c>
    </row>
    <row r="13" spans="1:20" x14ac:dyDescent="0.25">
      <c r="C13" s="109" t="str">
        <f>'Base Period'!B41</f>
        <v>Name</v>
      </c>
      <c r="D13" s="106" t="e">
        <f>'Budget by Task'!D21*(1+'Base Period'!$D$68)*(1+'Base Period'!$D$71)*(1+'Base Period'!$D$149)*(1+'Base Period'!$D$153)</f>
        <v>#REF!</v>
      </c>
      <c r="E13" s="106" t="e">
        <f>'Budget by Task'!E21*(1+'Base Period'!$D$68)*(1+'Base Period'!$D$71)*(1+'Base Period'!$D$149)*(1+'Base Period'!$D$153)</f>
        <v>#REF!</v>
      </c>
      <c r="F13" s="106" t="e">
        <f>'Budget by Task'!F21*(1+'Base Period'!$D$68)*(1+'Base Period'!$D$71)*(1+'Base Period'!$D$149)*(1+'Base Period'!$D$153)</f>
        <v>#REF!</v>
      </c>
      <c r="G13" s="106" t="e">
        <f>'Budget by Task'!G21*(1+'Base Period'!$D$68)*(1+'Base Period'!$D$71)*(1+'Base Period'!$D$149)*(1+'Base Period'!$D$153)</f>
        <v>#REF!</v>
      </c>
      <c r="H13" s="106" t="e">
        <f>'Budget by Task'!H21*(1+'Base Period'!$D$68)*(1+'Base Period'!$D$71)*(1+'Base Period'!$D$149)*(1+'Base Period'!$D$153)</f>
        <v>#REF!</v>
      </c>
      <c r="I13" s="106" t="e">
        <f>'Budget by Task'!I21*(1+'Base Period'!$D$68)*(1+'Base Period'!$D$71)*(1+'Base Period'!$D$149)*(1+'Base Period'!$D$153)</f>
        <v>#REF!</v>
      </c>
      <c r="J13" s="106" t="e">
        <f>'Budget by Task'!J21*(1+'Base Period'!$D$68)*(1+'Base Period'!$D$71)*(1+'Base Period'!$D$149)*(1+'Base Period'!$D$153)</f>
        <v>#REF!</v>
      </c>
      <c r="K13" s="106" t="e">
        <f>'Budget by Task'!K21*(1+'Base Period'!$D$68)*(1+'Base Period'!$D$71)*(1+'Base Period'!$D$149)*(1+'Base Period'!$D$153)</f>
        <v>#REF!</v>
      </c>
      <c r="L13" s="106" t="e">
        <f>'Budget by Task'!L21*(1+'Base Period'!$D$68)*(1+'Base Period'!$D$71)*(1+'Base Period'!$D$149)*(1+'Base Period'!$D$153)</f>
        <v>#REF!</v>
      </c>
      <c r="M13" s="106" t="e">
        <f>'Budget by Task'!M21*(1+'Base Period'!$D$68)*(1+'Base Period'!$D$71)*(1+'Base Period'!$D$149)*(1+'Base Period'!$D$153)</f>
        <v>#REF!</v>
      </c>
      <c r="N13" s="106" t="e">
        <f>'Budget by Task'!N21*(1+'Base Period'!$D$68)*(1+'Base Period'!$D$71)*(1+'Base Period'!$D$149)*(1+'Base Period'!$D$153)</f>
        <v>#REF!</v>
      </c>
      <c r="O13" s="106" t="e">
        <f>'Budget by Task'!O21*(1+'Base Period'!$D$68)*(1+'Base Period'!$D$71)*(1+'Base Period'!$D$149)*(1+'Base Period'!$D$153)</f>
        <v>#REF!</v>
      </c>
      <c r="P13" s="106" t="e">
        <f>'Budget by Task'!P21*(1+'Base Period'!$D$68)*(1+'Base Period'!$D$71)*(1+'Base Period'!$D$149)*(1+'Base Period'!$D$153)</f>
        <v>#REF!</v>
      </c>
      <c r="Q13" s="106" t="e">
        <f>'Budget by Task'!Q21*(1+'Base Period'!$D$68)*(1+'Base Period'!$D$71)*(1+'Base Period'!$D$149)*(1+'Base Period'!$D$153)</f>
        <v>#REF!</v>
      </c>
      <c r="R13" s="106" t="e">
        <f>'Budget by Task'!R21*(1+'Base Period'!$D$68)*(1+'Base Period'!$D$71)*(1+'Base Period'!$D$149)*(1+'Base Period'!$D$153)</f>
        <v>#REF!</v>
      </c>
      <c r="S13" s="106" t="e">
        <f>'Budget by Task'!S21*(1+'Base Period'!$D$68)*(1+'Base Period'!$D$71)*(1+'Base Period'!$D$149)*(1+'Base Period'!$D$153)</f>
        <v>#REF!</v>
      </c>
      <c r="T13" s="107" t="e">
        <f t="shared" si="0"/>
        <v>#REF!</v>
      </c>
    </row>
    <row r="14" spans="1:20" x14ac:dyDescent="0.25">
      <c r="C14" s="109" t="str">
        <f>'Base Period'!B42</f>
        <v>Name</v>
      </c>
      <c r="D14" s="106" t="e">
        <f>'Budget by Task'!D22*(1+'Base Period'!$D$68)*(1+'Base Period'!$D$71)*(1+'Base Period'!$D$149)*(1+'Base Period'!$D$153)</f>
        <v>#REF!</v>
      </c>
      <c r="E14" s="106" t="e">
        <f>'Budget by Task'!E22*(1+'Base Period'!$D$68)*(1+'Base Period'!$D$71)*(1+'Base Period'!$D$149)*(1+'Base Period'!$D$153)</f>
        <v>#REF!</v>
      </c>
      <c r="F14" s="106" t="e">
        <f>'Budget by Task'!F22*(1+'Base Period'!$D$68)*(1+'Base Period'!$D$71)*(1+'Base Period'!$D$149)*(1+'Base Period'!$D$153)</f>
        <v>#REF!</v>
      </c>
      <c r="G14" s="106" t="e">
        <f>'Budget by Task'!G22*(1+'Base Period'!$D$68)*(1+'Base Period'!$D$71)*(1+'Base Period'!$D$149)*(1+'Base Period'!$D$153)</f>
        <v>#REF!</v>
      </c>
      <c r="H14" s="106" t="e">
        <f>'Budget by Task'!H22*(1+'Base Period'!$D$68)*(1+'Base Period'!$D$71)*(1+'Base Period'!$D$149)*(1+'Base Period'!$D$153)</f>
        <v>#REF!</v>
      </c>
      <c r="I14" s="106" t="e">
        <f>'Budget by Task'!I22*(1+'Base Period'!$D$68)*(1+'Base Period'!$D$71)*(1+'Base Period'!$D$149)*(1+'Base Period'!$D$153)</f>
        <v>#REF!</v>
      </c>
      <c r="J14" s="106" t="e">
        <f>'Budget by Task'!J22*(1+'Base Period'!$D$68)*(1+'Base Period'!$D$71)*(1+'Base Period'!$D$149)*(1+'Base Period'!$D$153)</f>
        <v>#REF!</v>
      </c>
      <c r="K14" s="106" t="e">
        <f>'Budget by Task'!K22*(1+'Base Period'!$D$68)*(1+'Base Period'!$D$71)*(1+'Base Period'!$D$149)*(1+'Base Period'!$D$153)</f>
        <v>#REF!</v>
      </c>
      <c r="L14" s="106" t="e">
        <f>'Budget by Task'!L22*(1+'Base Period'!$D$68)*(1+'Base Period'!$D$71)*(1+'Base Period'!$D$149)*(1+'Base Period'!$D$153)</f>
        <v>#REF!</v>
      </c>
      <c r="M14" s="106" t="e">
        <f>'Budget by Task'!M22*(1+'Base Period'!$D$68)*(1+'Base Period'!$D$71)*(1+'Base Period'!$D$149)*(1+'Base Period'!$D$153)</f>
        <v>#REF!</v>
      </c>
      <c r="N14" s="106" t="e">
        <f>'Budget by Task'!N22*(1+'Base Period'!$D$68)*(1+'Base Period'!$D$71)*(1+'Base Period'!$D$149)*(1+'Base Period'!$D$153)</f>
        <v>#REF!</v>
      </c>
      <c r="O14" s="106" t="e">
        <f>'Budget by Task'!O22*(1+'Base Period'!$D$68)*(1+'Base Period'!$D$71)*(1+'Base Period'!$D$149)*(1+'Base Period'!$D$153)</f>
        <v>#REF!</v>
      </c>
      <c r="P14" s="106" t="e">
        <f>'Budget by Task'!P22*(1+'Base Period'!$D$68)*(1+'Base Period'!$D$71)*(1+'Base Period'!$D$149)*(1+'Base Period'!$D$153)</f>
        <v>#REF!</v>
      </c>
      <c r="Q14" s="106" t="e">
        <f>'Budget by Task'!Q22*(1+'Base Period'!$D$68)*(1+'Base Period'!$D$71)*(1+'Base Period'!$D$149)*(1+'Base Period'!$D$153)</f>
        <v>#REF!</v>
      </c>
      <c r="R14" s="106" t="e">
        <f>'Budget by Task'!R22*(1+'Base Period'!$D$68)*(1+'Base Period'!$D$71)*(1+'Base Period'!$D$149)*(1+'Base Period'!$D$153)</f>
        <v>#REF!</v>
      </c>
      <c r="S14" s="106" t="e">
        <f>'Budget by Task'!S22*(1+'Base Period'!$D$68)*(1+'Base Period'!$D$71)*(1+'Base Period'!$D$149)*(1+'Base Period'!$D$153)</f>
        <v>#REF!</v>
      </c>
      <c r="T14" s="107" t="e">
        <f t="shared" si="0"/>
        <v>#REF!</v>
      </c>
    </row>
    <row r="15" spans="1:20" x14ac:dyDescent="0.25">
      <c r="C15" s="109" t="str">
        <f>'Base Period'!B43</f>
        <v>Name</v>
      </c>
      <c r="D15" s="106" t="e">
        <f>'Budget by Task'!D23*(1+'Base Period'!$D$68)*(1+'Base Period'!$D$71)*(1+'Base Period'!$D$149)*(1+'Base Period'!$D$153)</f>
        <v>#REF!</v>
      </c>
      <c r="E15" s="106" t="e">
        <f>'Budget by Task'!E23*(1+'Base Period'!$D$68)*(1+'Base Period'!$D$71)*(1+'Base Period'!$D$149)*(1+'Base Period'!$D$153)</f>
        <v>#REF!</v>
      </c>
      <c r="F15" s="106" t="e">
        <f>'Budget by Task'!F23*(1+'Base Period'!$D$68)*(1+'Base Period'!$D$71)*(1+'Base Period'!$D$149)*(1+'Base Period'!$D$153)</f>
        <v>#REF!</v>
      </c>
      <c r="G15" s="106" t="e">
        <f>'Budget by Task'!G23*(1+'Base Period'!$D$68)*(1+'Base Period'!$D$71)*(1+'Base Period'!$D$149)*(1+'Base Period'!$D$153)</f>
        <v>#REF!</v>
      </c>
      <c r="H15" s="106" t="e">
        <f>'Budget by Task'!H23*(1+'Base Period'!$D$68)*(1+'Base Period'!$D$71)*(1+'Base Period'!$D$149)*(1+'Base Period'!$D$153)</f>
        <v>#REF!</v>
      </c>
      <c r="I15" s="106" t="e">
        <f>'Budget by Task'!I23*(1+'Base Period'!$D$68)*(1+'Base Period'!$D$71)*(1+'Base Period'!$D$149)*(1+'Base Period'!$D$153)</f>
        <v>#REF!</v>
      </c>
      <c r="J15" s="106" t="e">
        <f>'Budget by Task'!J23*(1+'Base Period'!$D$68)*(1+'Base Period'!$D$71)*(1+'Base Period'!$D$149)*(1+'Base Period'!$D$153)</f>
        <v>#REF!</v>
      </c>
      <c r="K15" s="106" t="e">
        <f>'Budget by Task'!K23*(1+'Base Period'!$D$68)*(1+'Base Period'!$D$71)*(1+'Base Period'!$D$149)*(1+'Base Period'!$D$153)</f>
        <v>#REF!</v>
      </c>
      <c r="L15" s="106" t="e">
        <f>'Budget by Task'!L23*(1+'Base Period'!$D$68)*(1+'Base Period'!$D$71)*(1+'Base Period'!$D$149)*(1+'Base Period'!$D$153)</f>
        <v>#REF!</v>
      </c>
      <c r="M15" s="106" t="e">
        <f>'Budget by Task'!M23*(1+'Base Period'!$D$68)*(1+'Base Period'!$D$71)*(1+'Base Period'!$D$149)*(1+'Base Period'!$D$153)</f>
        <v>#REF!</v>
      </c>
      <c r="N15" s="106" t="e">
        <f>'Budget by Task'!N23*(1+'Base Period'!$D$68)*(1+'Base Period'!$D$71)*(1+'Base Period'!$D$149)*(1+'Base Period'!$D$153)</f>
        <v>#REF!</v>
      </c>
      <c r="O15" s="106" t="e">
        <f>'Budget by Task'!O23*(1+'Base Period'!$D$68)*(1+'Base Period'!$D$71)*(1+'Base Period'!$D$149)*(1+'Base Period'!$D$153)</f>
        <v>#REF!</v>
      </c>
      <c r="P15" s="106" t="e">
        <f>'Budget by Task'!P23*(1+'Base Period'!$D$68)*(1+'Base Period'!$D$71)*(1+'Base Period'!$D$149)*(1+'Base Period'!$D$153)</f>
        <v>#REF!</v>
      </c>
      <c r="Q15" s="106" t="e">
        <f>'Budget by Task'!Q23*(1+'Base Period'!$D$68)*(1+'Base Period'!$D$71)*(1+'Base Period'!$D$149)*(1+'Base Period'!$D$153)</f>
        <v>#REF!</v>
      </c>
      <c r="R15" s="106" t="e">
        <f>'Budget by Task'!R23*(1+'Base Period'!$D$68)*(1+'Base Period'!$D$71)*(1+'Base Period'!$D$149)*(1+'Base Period'!$D$153)</f>
        <v>#REF!</v>
      </c>
      <c r="S15" s="106" t="e">
        <f>'Budget by Task'!S23*(1+'Base Period'!$D$68)*(1+'Base Period'!$D$71)*(1+'Base Period'!$D$149)*(1+'Base Period'!$D$153)</f>
        <v>#REF!</v>
      </c>
      <c r="T15" s="107" t="e">
        <f t="shared" si="0"/>
        <v>#REF!</v>
      </c>
    </row>
    <row r="16" spans="1:20" x14ac:dyDescent="0.25">
      <c r="C16" s="109" t="str">
        <f>'Base Period'!B44</f>
        <v>Name</v>
      </c>
      <c r="D16" s="106" t="e">
        <f>'Budget by Task'!D24*(1+'Base Period'!$D$68)*(1+'Base Period'!$D$71)*(1+'Base Period'!$D$149)*(1+'Base Period'!$D$153)</f>
        <v>#REF!</v>
      </c>
      <c r="E16" s="106" t="e">
        <f>'Budget by Task'!E24*(1+'Base Period'!$D$68)*(1+'Base Period'!$D$71)*(1+'Base Period'!$D$149)*(1+'Base Period'!$D$153)</f>
        <v>#REF!</v>
      </c>
      <c r="F16" s="106" t="e">
        <f>'Budget by Task'!F24*(1+'Base Period'!$D$68)*(1+'Base Period'!$D$71)*(1+'Base Period'!$D$149)*(1+'Base Period'!$D$153)</f>
        <v>#REF!</v>
      </c>
      <c r="G16" s="106" t="e">
        <f>'Budget by Task'!G24*(1+'Base Period'!$D$68)*(1+'Base Period'!$D$71)*(1+'Base Period'!$D$149)*(1+'Base Period'!$D$153)</f>
        <v>#REF!</v>
      </c>
      <c r="H16" s="106" t="e">
        <f>'Budget by Task'!H24*(1+'Base Period'!$D$68)*(1+'Base Period'!$D$71)*(1+'Base Period'!$D$149)*(1+'Base Period'!$D$153)</f>
        <v>#REF!</v>
      </c>
      <c r="I16" s="106" t="e">
        <f>'Budget by Task'!I24*(1+'Base Period'!$D$68)*(1+'Base Period'!$D$71)*(1+'Base Period'!$D$149)*(1+'Base Period'!$D$153)</f>
        <v>#REF!</v>
      </c>
      <c r="J16" s="106" t="e">
        <f>'Budget by Task'!J24*(1+'Base Period'!$D$68)*(1+'Base Period'!$D$71)*(1+'Base Period'!$D$149)*(1+'Base Period'!$D$153)</f>
        <v>#REF!</v>
      </c>
      <c r="K16" s="106" t="e">
        <f>'Budget by Task'!K24*(1+'Base Period'!$D$68)*(1+'Base Period'!$D$71)*(1+'Base Period'!$D$149)*(1+'Base Period'!$D$153)</f>
        <v>#REF!</v>
      </c>
      <c r="L16" s="106" t="e">
        <f>'Budget by Task'!L24*(1+'Base Period'!$D$68)*(1+'Base Period'!$D$71)*(1+'Base Period'!$D$149)*(1+'Base Period'!$D$153)</f>
        <v>#REF!</v>
      </c>
      <c r="M16" s="106" t="e">
        <f>'Budget by Task'!M24*(1+'Base Period'!$D$68)*(1+'Base Period'!$D$71)*(1+'Base Period'!$D$149)*(1+'Base Period'!$D$153)</f>
        <v>#REF!</v>
      </c>
      <c r="N16" s="106" t="e">
        <f>'Budget by Task'!N24*(1+'Base Period'!$D$68)*(1+'Base Period'!$D$71)*(1+'Base Period'!$D$149)*(1+'Base Period'!$D$153)</f>
        <v>#REF!</v>
      </c>
      <c r="O16" s="106" t="e">
        <f>'Budget by Task'!O24*(1+'Base Period'!$D$68)*(1+'Base Period'!$D$71)*(1+'Base Period'!$D$149)*(1+'Base Period'!$D$153)</f>
        <v>#REF!</v>
      </c>
      <c r="P16" s="106" t="e">
        <f>'Budget by Task'!P24*(1+'Base Period'!$D$68)*(1+'Base Period'!$D$71)*(1+'Base Period'!$D$149)*(1+'Base Period'!$D$153)</f>
        <v>#REF!</v>
      </c>
      <c r="Q16" s="106" t="e">
        <f>'Budget by Task'!Q24*(1+'Base Period'!$D$68)*(1+'Base Period'!$D$71)*(1+'Base Period'!$D$149)*(1+'Base Period'!$D$153)</f>
        <v>#REF!</v>
      </c>
      <c r="R16" s="106" t="e">
        <f>'Budget by Task'!R24*(1+'Base Period'!$D$68)*(1+'Base Period'!$D$71)*(1+'Base Period'!$D$149)*(1+'Base Period'!$D$153)</f>
        <v>#REF!</v>
      </c>
      <c r="S16" s="106" t="e">
        <f>'Budget by Task'!S24*(1+'Base Period'!$D$68)*(1+'Base Period'!$D$71)*(1+'Base Period'!$D$149)*(1+'Base Period'!$D$153)</f>
        <v>#REF!</v>
      </c>
      <c r="T16" s="107" t="e">
        <f t="shared" si="0"/>
        <v>#REF!</v>
      </c>
    </row>
    <row r="17" spans="3:20" x14ac:dyDescent="0.25">
      <c r="C17" s="109" t="str">
        <f>'Base Period'!B45</f>
        <v>Name</v>
      </c>
      <c r="D17" s="106" t="e">
        <f>'Budget by Task'!D25*(1+'Base Period'!$D$68)*(1+'Base Period'!$D$71)*(1+'Base Period'!$D$149)*(1+'Base Period'!$D$153)</f>
        <v>#REF!</v>
      </c>
      <c r="E17" s="106" t="e">
        <f>'Budget by Task'!E25*(1+'Base Period'!$D$68)*(1+'Base Period'!$D$71)*(1+'Base Period'!$D$149)*(1+'Base Period'!$D$153)</f>
        <v>#REF!</v>
      </c>
      <c r="F17" s="106" t="e">
        <f>'Budget by Task'!F25*(1+'Base Period'!$D$68)*(1+'Base Period'!$D$71)*(1+'Base Period'!$D$149)*(1+'Base Period'!$D$153)</f>
        <v>#REF!</v>
      </c>
      <c r="G17" s="106" t="e">
        <f>'Budget by Task'!G25*(1+'Base Period'!$D$68)*(1+'Base Period'!$D$71)*(1+'Base Period'!$D$149)*(1+'Base Period'!$D$153)</f>
        <v>#REF!</v>
      </c>
      <c r="H17" s="106" t="e">
        <f>'Budget by Task'!H25*(1+'Base Period'!$D$68)*(1+'Base Period'!$D$71)*(1+'Base Period'!$D$149)*(1+'Base Period'!$D$153)</f>
        <v>#REF!</v>
      </c>
      <c r="I17" s="106" t="e">
        <f>'Budget by Task'!I25*(1+'Base Period'!$D$68)*(1+'Base Period'!$D$71)*(1+'Base Period'!$D$149)*(1+'Base Period'!$D$153)</f>
        <v>#REF!</v>
      </c>
      <c r="J17" s="106" t="e">
        <f>'Budget by Task'!J25*(1+'Base Period'!$D$68)*(1+'Base Period'!$D$71)*(1+'Base Period'!$D$149)*(1+'Base Period'!$D$153)</f>
        <v>#REF!</v>
      </c>
      <c r="K17" s="106" t="e">
        <f>'Budget by Task'!K25*(1+'Base Period'!$D$68)*(1+'Base Period'!$D$71)*(1+'Base Period'!$D$149)*(1+'Base Period'!$D$153)</f>
        <v>#REF!</v>
      </c>
      <c r="L17" s="106" t="e">
        <f>'Budget by Task'!L25*(1+'Base Period'!$D$68)*(1+'Base Period'!$D$71)*(1+'Base Period'!$D$149)*(1+'Base Period'!$D$153)</f>
        <v>#REF!</v>
      </c>
      <c r="M17" s="106" t="e">
        <f>'Budget by Task'!M25*(1+'Base Period'!$D$68)*(1+'Base Period'!$D$71)*(1+'Base Period'!$D$149)*(1+'Base Period'!$D$153)</f>
        <v>#REF!</v>
      </c>
      <c r="N17" s="106" t="e">
        <f>'Budget by Task'!N25*(1+'Base Period'!$D$68)*(1+'Base Period'!$D$71)*(1+'Base Period'!$D$149)*(1+'Base Period'!$D$153)</f>
        <v>#REF!</v>
      </c>
      <c r="O17" s="106" t="e">
        <f>'Budget by Task'!O25*(1+'Base Period'!$D$68)*(1+'Base Period'!$D$71)*(1+'Base Period'!$D$149)*(1+'Base Period'!$D$153)</f>
        <v>#REF!</v>
      </c>
      <c r="P17" s="106" t="e">
        <f>'Budget by Task'!P25*(1+'Base Period'!$D$68)*(1+'Base Period'!$D$71)*(1+'Base Period'!$D$149)*(1+'Base Period'!$D$153)</f>
        <v>#REF!</v>
      </c>
      <c r="Q17" s="106" t="e">
        <f>'Budget by Task'!Q25*(1+'Base Period'!$D$68)*(1+'Base Period'!$D$71)*(1+'Base Period'!$D$149)*(1+'Base Period'!$D$153)</f>
        <v>#REF!</v>
      </c>
      <c r="R17" s="106" t="e">
        <f>'Budget by Task'!R25*(1+'Base Period'!$D$68)*(1+'Base Period'!$D$71)*(1+'Base Period'!$D$149)*(1+'Base Period'!$D$153)</f>
        <v>#REF!</v>
      </c>
      <c r="S17" s="106" t="e">
        <f>'Budget by Task'!S25*(1+'Base Period'!$D$68)*(1+'Base Period'!$D$71)*(1+'Base Period'!$D$149)*(1+'Base Period'!$D$153)</f>
        <v>#REF!</v>
      </c>
      <c r="T17" s="107" t="e">
        <f t="shared" si="0"/>
        <v>#REF!</v>
      </c>
    </row>
    <row r="18" spans="3:20" x14ac:dyDescent="0.25">
      <c r="C18" s="109" t="str">
        <f>'Base Period'!B46</f>
        <v>Name</v>
      </c>
      <c r="D18" s="106" t="e">
        <f>'Budget by Task'!D26*(1+'Base Period'!$D$68)*(1+'Base Period'!$D$71)*(1+'Base Period'!$D$149)*(1+'Base Period'!$D$153)</f>
        <v>#REF!</v>
      </c>
      <c r="E18" s="106" t="e">
        <f>'Budget by Task'!E26*(1+'Base Period'!$D$68)*(1+'Base Period'!$D$71)*(1+'Base Period'!$D$149)*(1+'Base Period'!$D$153)</f>
        <v>#REF!</v>
      </c>
      <c r="F18" s="106" t="e">
        <f>'Budget by Task'!F26*(1+'Base Period'!$D$68)*(1+'Base Period'!$D$71)*(1+'Base Period'!$D$149)*(1+'Base Period'!$D$153)</f>
        <v>#REF!</v>
      </c>
      <c r="G18" s="106" t="e">
        <f>'Budget by Task'!G26*(1+'Base Period'!$D$68)*(1+'Base Period'!$D$71)*(1+'Base Period'!$D$149)*(1+'Base Period'!$D$153)</f>
        <v>#REF!</v>
      </c>
      <c r="H18" s="106" t="e">
        <f>'Budget by Task'!H26*(1+'Base Period'!$D$68)*(1+'Base Period'!$D$71)*(1+'Base Period'!$D$149)*(1+'Base Period'!$D$153)</f>
        <v>#REF!</v>
      </c>
      <c r="I18" s="106" t="e">
        <f>'Budget by Task'!I26*(1+'Base Period'!$D$68)*(1+'Base Period'!$D$71)*(1+'Base Period'!$D$149)*(1+'Base Period'!$D$153)</f>
        <v>#REF!</v>
      </c>
      <c r="J18" s="106" t="e">
        <f>'Budget by Task'!J26*(1+'Base Period'!$D$68)*(1+'Base Period'!$D$71)*(1+'Base Period'!$D$149)*(1+'Base Period'!$D$153)</f>
        <v>#REF!</v>
      </c>
      <c r="K18" s="106" t="e">
        <f>'Budget by Task'!K26*(1+'Base Period'!$D$68)*(1+'Base Period'!$D$71)*(1+'Base Period'!$D$149)*(1+'Base Period'!$D$153)</f>
        <v>#REF!</v>
      </c>
      <c r="L18" s="106" t="e">
        <f>'Budget by Task'!L26*(1+'Base Period'!$D$68)*(1+'Base Period'!$D$71)*(1+'Base Period'!$D$149)*(1+'Base Period'!$D$153)</f>
        <v>#REF!</v>
      </c>
      <c r="M18" s="106" t="e">
        <f>'Budget by Task'!M26*(1+'Base Period'!$D$68)*(1+'Base Period'!$D$71)*(1+'Base Period'!$D$149)*(1+'Base Period'!$D$153)</f>
        <v>#REF!</v>
      </c>
      <c r="N18" s="106" t="e">
        <f>'Budget by Task'!N26*(1+'Base Period'!$D$68)*(1+'Base Period'!$D$71)*(1+'Base Period'!$D$149)*(1+'Base Period'!$D$153)</f>
        <v>#REF!</v>
      </c>
      <c r="O18" s="106" t="e">
        <f>'Budget by Task'!O26*(1+'Base Period'!$D$68)*(1+'Base Period'!$D$71)*(1+'Base Period'!$D$149)*(1+'Base Period'!$D$153)</f>
        <v>#REF!</v>
      </c>
      <c r="P18" s="106" t="e">
        <f>'Budget by Task'!P26*(1+'Base Period'!$D$68)*(1+'Base Period'!$D$71)*(1+'Base Period'!$D$149)*(1+'Base Period'!$D$153)</f>
        <v>#REF!</v>
      </c>
      <c r="Q18" s="106" t="e">
        <f>'Budget by Task'!Q26*(1+'Base Period'!$D$68)*(1+'Base Period'!$D$71)*(1+'Base Period'!$D$149)*(1+'Base Period'!$D$153)</f>
        <v>#REF!</v>
      </c>
      <c r="R18" s="106" t="e">
        <f>'Budget by Task'!R26*(1+'Base Period'!$D$68)*(1+'Base Period'!$D$71)*(1+'Base Period'!$D$149)*(1+'Base Period'!$D$153)</f>
        <v>#REF!</v>
      </c>
      <c r="S18" s="106" t="e">
        <f>'Budget by Task'!S26*(1+'Base Period'!$D$68)*(1+'Base Period'!$D$71)*(1+'Base Period'!$D$149)*(1+'Base Period'!$D$153)</f>
        <v>#REF!</v>
      </c>
      <c r="T18" s="107" t="e">
        <f t="shared" si="0"/>
        <v>#REF!</v>
      </c>
    </row>
    <row r="19" spans="3:20" x14ac:dyDescent="0.25">
      <c r="C19" s="109" t="str">
        <f>'Base Period'!B47</f>
        <v>Name</v>
      </c>
      <c r="D19" s="106" t="e">
        <f>'Budget by Task'!D27*(1+'Base Period'!$D$68)*(1+'Base Period'!$D$71)*(1+'Base Period'!$D$149)*(1+'Base Period'!$D$153)</f>
        <v>#REF!</v>
      </c>
      <c r="E19" s="106" t="e">
        <f>'Budget by Task'!E27*(1+'Base Period'!$D$68)*(1+'Base Period'!$D$71)*(1+'Base Period'!$D$149)*(1+'Base Period'!$D$153)</f>
        <v>#REF!</v>
      </c>
      <c r="F19" s="106" t="e">
        <f>'Budget by Task'!F27*(1+'Base Period'!$D$68)*(1+'Base Period'!$D$71)*(1+'Base Period'!$D$149)*(1+'Base Period'!$D$153)</f>
        <v>#REF!</v>
      </c>
      <c r="G19" s="106" t="e">
        <f>'Budget by Task'!G27*(1+'Base Period'!$D$68)*(1+'Base Period'!$D$71)*(1+'Base Period'!$D$149)*(1+'Base Period'!$D$153)</f>
        <v>#REF!</v>
      </c>
      <c r="H19" s="106" t="e">
        <f>'Budget by Task'!H27*(1+'Base Period'!$D$68)*(1+'Base Period'!$D$71)*(1+'Base Period'!$D$149)*(1+'Base Period'!$D$153)</f>
        <v>#REF!</v>
      </c>
      <c r="I19" s="106" t="e">
        <f>'Budget by Task'!I27*(1+'Base Period'!$D$68)*(1+'Base Period'!$D$71)*(1+'Base Period'!$D$149)*(1+'Base Period'!$D$153)</f>
        <v>#REF!</v>
      </c>
      <c r="J19" s="106" t="e">
        <f>'Budget by Task'!J27*(1+'Base Period'!$D$68)*(1+'Base Period'!$D$71)*(1+'Base Period'!$D$149)*(1+'Base Period'!$D$153)</f>
        <v>#REF!</v>
      </c>
      <c r="K19" s="106" t="e">
        <f>'Budget by Task'!K27*(1+'Base Period'!$D$68)*(1+'Base Period'!$D$71)*(1+'Base Period'!$D$149)*(1+'Base Period'!$D$153)</f>
        <v>#REF!</v>
      </c>
      <c r="L19" s="106" t="e">
        <f>'Budget by Task'!L27*(1+'Base Period'!$D$68)*(1+'Base Period'!$D$71)*(1+'Base Period'!$D$149)*(1+'Base Period'!$D$153)</f>
        <v>#REF!</v>
      </c>
      <c r="M19" s="106" t="e">
        <f>'Budget by Task'!M27*(1+'Base Period'!$D$68)*(1+'Base Period'!$D$71)*(1+'Base Period'!$D$149)*(1+'Base Period'!$D$153)</f>
        <v>#REF!</v>
      </c>
      <c r="N19" s="106" t="e">
        <f>'Budget by Task'!N27*(1+'Base Period'!$D$68)*(1+'Base Period'!$D$71)*(1+'Base Period'!$D$149)*(1+'Base Period'!$D$153)</f>
        <v>#REF!</v>
      </c>
      <c r="O19" s="106" t="e">
        <f>'Budget by Task'!O27*(1+'Base Period'!$D$68)*(1+'Base Period'!$D$71)*(1+'Base Period'!$D$149)*(1+'Base Period'!$D$153)</f>
        <v>#REF!</v>
      </c>
      <c r="P19" s="106" t="e">
        <f>'Budget by Task'!P27*(1+'Base Period'!$D$68)*(1+'Base Period'!$D$71)*(1+'Base Period'!$D$149)*(1+'Base Period'!$D$153)</f>
        <v>#REF!</v>
      </c>
      <c r="Q19" s="106" t="e">
        <f>'Budget by Task'!Q27*(1+'Base Period'!$D$68)*(1+'Base Period'!$D$71)*(1+'Base Period'!$D$149)*(1+'Base Period'!$D$153)</f>
        <v>#REF!</v>
      </c>
      <c r="R19" s="106" t="e">
        <f>'Budget by Task'!R27*(1+'Base Period'!$D$68)*(1+'Base Period'!$D$71)*(1+'Base Period'!$D$149)*(1+'Base Period'!$D$153)</f>
        <v>#REF!</v>
      </c>
      <c r="S19" s="106" t="e">
        <f>'Budget by Task'!S27*(1+'Base Period'!$D$68)*(1+'Base Period'!$D$71)*(1+'Base Period'!$D$149)*(1+'Base Period'!$D$153)</f>
        <v>#REF!</v>
      </c>
      <c r="T19" s="107" t="e">
        <f t="shared" si="0"/>
        <v>#REF!</v>
      </c>
    </row>
    <row r="20" spans="3:20" x14ac:dyDescent="0.25">
      <c r="C20" s="109" t="str">
        <f>'Base Period'!B48</f>
        <v>Name</v>
      </c>
      <c r="D20" s="106" t="e">
        <f>'Budget by Task'!D28*(1+'Base Period'!$D$68)*(1+'Base Period'!$D$71)*(1+'Base Period'!$D$149)*(1+'Base Period'!$D$153)</f>
        <v>#REF!</v>
      </c>
      <c r="E20" s="106" t="e">
        <f>'Budget by Task'!E28*(1+'Base Period'!$D$68)*(1+'Base Period'!$D$71)*(1+'Base Period'!$D$149)*(1+'Base Period'!$D$153)</f>
        <v>#REF!</v>
      </c>
      <c r="F20" s="106" t="e">
        <f>'Budget by Task'!F28*(1+'Base Period'!$D$68)*(1+'Base Period'!$D$71)*(1+'Base Period'!$D$149)*(1+'Base Period'!$D$153)</f>
        <v>#REF!</v>
      </c>
      <c r="G20" s="106" t="e">
        <f>'Budget by Task'!G28*(1+'Base Period'!$D$68)*(1+'Base Period'!$D$71)*(1+'Base Period'!$D$149)*(1+'Base Period'!$D$153)</f>
        <v>#REF!</v>
      </c>
      <c r="H20" s="106" t="e">
        <f>'Budget by Task'!H28*(1+'Base Period'!$D$68)*(1+'Base Period'!$D$71)*(1+'Base Period'!$D$149)*(1+'Base Period'!$D$153)</f>
        <v>#REF!</v>
      </c>
      <c r="I20" s="106" t="e">
        <f>'Budget by Task'!I28*(1+'Base Period'!$D$68)*(1+'Base Period'!$D$71)*(1+'Base Period'!$D$149)*(1+'Base Period'!$D$153)</f>
        <v>#REF!</v>
      </c>
      <c r="J20" s="106" t="e">
        <f>'Budget by Task'!J28*(1+'Base Period'!$D$68)*(1+'Base Period'!$D$71)*(1+'Base Period'!$D$149)*(1+'Base Period'!$D$153)</f>
        <v>#REF!</v>
      </c>
      <c r="K20" s="106" t="e">
        <f>'Budget by Task'!K28*(1+'Base Period'!$D$68)*(1+'Base Period'!$D$71)*(1+'Base Period'!$D$149)*(1+'Base Period'!$D$153)</f>
        <v>#REF!</v>
      </c>
      <c r="L20" s="106" t="e">
        <f>'Budget by Task'!L28*(1+'Base Period'!$D$68)*(1+'Base Period'!$D$71)*(1+'Base Period'!$D$149)*(1+'Base Period'!$D$153)</f>
        <v>#REF!</v>
      </c>
      <c r="M20" s="106" t="e">
        <f>'Budget by Task'!M28*(1+'Base Period'!$D$68)*(1+'Base Period'!$D$71)*(1+'Base Period'!$D$149)*(1+'Base Period'!$D$153)</f>
        <v>#REF!</v>
      </c>
      <c r="N20" s="106" t="e">
        <f>'Budget by Task'!N28*(1+'Base Period'!$D$68)*(1+'Base Period'!$D$71)*(1+'Base Period'!$D$149)*(1+'Base Period'!$D$153)</f>
        <v>#REF!</v>
      </c>
      <c r="O20" s="106" t="e">
        <f>'Budget by Task'!O28*(1+'Base Period'!$D$68)*(1+'Base Period'!$D$71)*(1+'Base Period'!$D$149)*(1+'Base Period'!$D$153)</f>
        <v>#REF!</v>
      </c>
      <c r="P20" s="106" t="e">
        <f>'Budget by Task'!P28*(1+'Base Period'!$D$68)*(1+'Base Period'!$D$71)*(1+'Base Period'!$D$149)*(1+'Base Period'!$D$153)</f>
        <v>#REF!</v>
      </c>
      <c r="Q20" s="106" t="e">
        <f>'Budget by Task'!Q28*(1+'Base Period'!$D$68)*(1+'Base Period'!$D$71)*(1+'Base Period'!$D$149)*(1+'Base Period'!$D$153)</f>
        <v>#REF!</v>
      </c>
      <c r="R20" s="106" t="e">
        <f>'Budget by Task'!R28*(1+'Base Period'!$D$68)*(1+'Base Period'!$D$71)*(1+'Base Period'!$D$149)*(1+'Base Period'!$D$153)</f>
        <v>#REF!</v>
      </c>
      <c r="S20" s="106" t="e">
        <f>'Budget by Task'!S28*(1+'Base Period'!$D$68)*(1+'Base Period'!$D$71)*(1+'Base Period'!$D$149)*(1+'Base Period'!$D$153)</f>
        <v>#REF!</v>
      </c>
      <c r="T20" s="107" t="e">
        <f t="shared" si="0"/>
        <v>#REF!</v>
      </c>
    </row>
    <row r="21" spans="3:20" x14ac:dyDescent="0.25">
      <c r="C21" s="109" t="str">
        <f>'Base Period'!B49</f>
        <v>Name</v>
      </c>
      <c r="D21" s="106" t="e">
        <f>'Budget by Task'!D29*(1+'Base Period'!$D$68)*(1+'Base Period'!$D$71)*(1+'Base Period'!$D$149)*(1+'Base Period'!$D$153)</f>
        <v>#REF!</v>
      </c>
      <c r="E21" s="106" t="e">
        <f>'Budget by Task'!E29*(1+'Base Period'!$D$68)*(1+'Base Period'!$D$71)*(1+'Base Period'!$D$149)*(1+'Base Period'!$D$153)</f>
        <v>#REF!</v>
      </c>
      <c r="F21" s="106" t="e">
        <f>'Budget by Task'!F29*(1+'Base Period'!$D$68)*(1+'Base Period'!$D$71)*(1+'Base Period'!$D$149)*(1+'Base Period'!$D$153)</f>
        <v>#REF!</v>
      </c>
      <c r="G21" s="106" t="e">
        <f>'Budget by Task'!G29*(1+'Base Period'!$D$68)*(1+'Base Period'!$D$71)*(1+'Base Period'!$D$149)*(1+'Base Period'!$D$153)</f>
        <v>#REF!</v>
      </c>
      <c r="H21" s="106" t="e">
        <f>'Budget by Task'!H29*(1+'Base Period'!$D$68)*(1+'Base Period'!$D$71)*(1+'Base Period'!$D$149)*(1+'Base Period'!$D$153)</f>
        <v>#REF!</v>
      </c>
      <c r="I21" s="106" t="e">
        <f>'Budget by Task'!I29*(1+'Base Period'!$D$68)*(1+'Base Period'!$D$71)*(1+'Base Period'!$D$149)*(1+'Base Period'!$D$153)</f>
        <v>#REF!</v>
      </c>
      <c r="J21" s="106" t="e">
        <f>'Budget by Task'!J29*(1+'Base Period'!$D$68)*(1+'Base Period'!$D$71)*(1+'Base Period'!$D$149)*(1+'Base Period'!$D$153)</f>
        <v>#REF!</v>
      </c>
      <c r="K21" s="106" t="e">
        <f>'Budget by Task'!K29*(1+'Base Period'!$D$68)*(1+'Base Period'!$D$71)*(1+'Base Period'!$D$149)*(1+'Base Period'!$D$153)</f>
        <v>#REF!</v>
      </c>
      <c r="L21" s="106" t="e">
        <f>'Budget by Task'!L29*(1+'Base Period'!$D$68)*(1+'Base Period'!$D$71)*(1+'Base Period'!$D$149)*(1+'Base Period'!$D$153)</f>
        <v>#REF!</v>
      </c>
      <c r="M21" s="106" t="e">
        <f>'Budget by Task'!M29*(1+'Base Period'!$D$68)*(1+'Base Period'!$D$71)*(1+'Base Period'!$D$149)*(1+'Base Period'!$D$153)</f>
        <v>#REF!</v>
      </c>
      <c r="N21" s="106" t="e">
        <f>'Budget by Task'!N29*(1+'Base Period'!$D$68)*(1+'Base Period'!$D$71)*(1+'Base Period'!$D$149)*(1+'Base Period'!$D$153)</f>
        <v>#REF!</v>
      </c>
      <c r="O21" s="106" t="e">
        <f>'Budget by Task'!O29*(1+'Base Period'!$D$68)*(1+'Base Period'!$D$71)*(1+'Base Period'!$D$149)*(1+'Base Period'!$D$153)</f>
        <v>#REF!</v>
      </c>
      <c r="P21" s="106" t="e">
        <f>'Budget by Task'!P29*(1+'Base Period'!$D$68)*(1+'Base Period'!$D$71)*(1+'Base Period'!$D$149)*(1+'Base Period'!$D$153)</f>
        <v>#REF!</v>
      </c>
      <c r="Q21" s="106" t="e">
        <f>'Budget by Task'!Q29*(1+'Base Period'!$D$68)*(1+'Base Period'!$D$71)*(1+'Base Period'!$D$149)*(1+'Base Period'!$D$153)</f>
        <v>#REF!</v>
      </c>
      <c r="R21" s="106" t="e">
        <f>'Budget by Task'!R29*(1+'Base Period'!$D$68)*(1+'Base Period'!$D$71)*(1+'Base Period'!$D$149)*(1+'Base Period'!$D$153)</f>
        <v>#REF!</v>
      </c>
      <c r="S21" s="106" t="e">
        <f>'Budget by Task'!S29*(1+'Base Period'!$D$68)*(1+'Base Period'!$D$71)*(1+'Base Period'!$D$149)*(1+'Base Period'!$D$153)</f>
        <v>#REF!</v>
      </c>
      <c r="T21" s="107" t="e">
        <f t="shared" si="0"/>
        <v>#REF!</v>
      </c>
    </row>
    <row r="22" spans="3:20" x14ac:dyDescent="0.25">
      <c r="C22" s="109" t="str">
        <f>'Base Period'!B50</f>
        <v>Name</v>
      </c>
      <c r="D22" s="106" t="e">
        <f>'Budget by Task'!D30*(1+'Base Period'!$D$68)*(1+'Base Period'!$D$71)*(1+'Base Period'!$D$149)*(1+'Base Period'!$D$153)</f>
        <v>#REF!</v>
      </c>
      <c r="E22" s="106" t="e">
        <f>'Budget by Task'!E30*(1+'Base Period'!$D$68)*(1+'Base Period'!$D$71)*(1+'Base Period'!$D$149)*(1+'Base Period'!$D$153)</f>
        <v>#REF!</v>
      </c>
      <c r="F22" s="106" t="e">
        <f>'Budget by Task'!F30*(1+'Base Period'!$D$68)*(1+'Base Period'!$D$71)*(1+'Base Period'!$D$149)*(1+'Base Period'!$D$153)</f>
        <v>#REF!</v>
      </c>
      <c r="G22" s="106" t="e">
        <f>'Budget by Task'!G30*(1+'Base Period'!$D$68)*(1+'Base Period'!$D$71)*(1+'Base Period'!$D$149)*(1+'Base Period'!$D$153)</f>
        <v>#REF!</v>
      </c>
      <c r="H22" s="106" t="e">
        <f>'Budget by Task'!H30*(1+'Base Period'!$D$68)*(1+'Base Period'!$D$71)*(1+'Base Period'!$D$149)*(1+'Base Period'!$D$153)</f>
        <v>#REF!</v>
      </c>
      <c r="I22" s="106" t="e">
        <f>'Budget by Task'!I30*(1+'Base Period'!$D$68)*(1+'Base Period'!$D$71)*(1+'Base Period'!$D$149)*(1+'Base Period'!$D$153)</f>
        <v>#REF!</v>
      </c>
      <c r="J22" s="106" t="e">
        <f>'Budget by Task'!J30*(1+'Base Period'!$D$68)*(1+'Base Period'!$D$71)*(1+'Base Period'!$D$149)*(1+'Base Period'!$D$153)</f>
        <v>#REF!</v>
      </c>
      <c r="K22" s="106" t="e">
        <f>'Budget by Task'!K30*(1+'Base Period'!$D$68)*(1+'Base Period'!$D$71)*(1+'Base Period'!$D$149)*(1+'Base Period'!$D$153)</f>
        <v>#REF!</v>
      </c>
      <c r="L22" s="106" t="e">
        <f>'Budget by Task'!L30*(1+'Base Period'!$D$68)*(1+'Base Period'!$D$71)*(1+'Base Period'!$D$149)*(1+'Base Period'!$D$153)</f>
        <v>#REF!</v>
      </c>
      <c r="M22" s="106" t="e">
        <f>'Budget by Task'!M30*(1+'Base Period'!$D$68)*(1+'Base Period'!$D$71)*(1+'Base Period'!$D$149)*(1+'Base Period'!$D$153)</f>
        <v>#REF!</v>
      </c>
      <c r="N22" s="106" t="e">
        <f>'Budget by Task'!N30*(1+'Base Period'!$D$68)*(1+'Base Period'!$D$71)*(1+'Base Period'!$D$149)*(1+'Base Period'!$D$153)</f>
        <v>#REF!</v>
      </c>
      <c r="O22" s="106" t="e">
        <f>'Budget by Task'!O30*(1+'Base Period'!$D$68)*(1+'Base Period'!$D$71)*(1+'Base Period'!$D$149)*(1+'Base Period'!$D$153)</f>
        <v>#REF!</v>
      </c>
      <c r="P22" s="106" t="e">
        <f>'Budget by Task'!P30*(1+'Base Period'!$D$68)*(1+'Base Period'!$D$71)*(1+'Base Period'!$D$149)*(1+'Base Period'!$D$153)</f>
        <v>#REF!</v>
      </c>
      <c r="Q22" s="106" t="e">
        <f>'Budget by Task'!Q30*(1+'Base Period'!$D$68)*(1+'Base Period'!$D$71)*(1+'Base Period'!$D$149)*(1+'Base Period'!$D$153)</f>
        <v>#REF!</v>
      </c>
      <c r="R22" s="106" t="e">
        <f>'Budget by Task'!R30*(1+'Base Period'!$D$68)*(1+'Base Period'!$D$71)*(1+'Base Period'!$D$149)*(1+'Base Period'!$D$153)</f>
        <v>#REF!</v>
      </c>
      <c r="S22" s="106" t="e">
        <f>'Budget by Task'!S30*(1+'Base Period'!$D$68)*(1+'Base Period'!$D$71)*(1+'Base Period'!$D$149)*(1+'Base Period'!$D$153)</f>
        <v>#REF!</v>
      </c>
      <c r="T22" s="107" t="e">
        <f t="shared" si="0"/>
        <v>#REF!</v>
      </c>
    </row>
    <row r="23" spans="3:20" x14ac:dyDescent="0.25">
      <c r="C23" s="109" t="str">
        <f>'Base Period'!B51</f>
        <v>Name</v>
      </c>
      <c r="D23" s="106" t="e">
        <f>'Budget by Task'!D31*(1+'Base Period'!$D$68)*(1+'Base Period'!$D$71)*(1+'Base Period'!$D$149)*(1+'Base Period'!$D$153)</f>
        <v>#REF!</v>
      </c>
      <c r="E23" s="106" t="e">
        <f>'Budget by Task'!E31*(1+'Base Period'!$D$68)*(1+'Base Period'!$D$71)*(1+'Base Period'!$D$149)*(1+'Base Period'!$D$153)</f>
        <v>#REF!</v>
      </c>
      <c r="F23" s="106" t="e">
        <f>'Budget by Task'!F31*(1+'Base Period'!$D$68)*(1+'Base Period'!$D$71)*(1+'Base Period'!$D$149)*(1+'Base Period'!$D$153)</f>
        <v>#REF!</v>
      </c>
      <c r="G23" s="106" t="e">
        <f>'Budget by Task'!G31*(1+'Base Period'!$D$68)*(1+'Base Period'!$D$71)*(1+'Base Period'!$D$149)*(1+'Base Period'!$D$153)</f>
        <v>#REF!</v>
      </c>
      <c r="H23" s="106" t="e">
        <f>'Budget by Task'!H31*(1+'Base Period'!$D$68)*(1+'Base Period'!$D$71)*(1+'Base Period'!$D$149)*(1+'Base Period'!$D$153)</f>
        <v>#REF!</v>
      </c>
      <c r="I23" s="106" t="e">
        <f>'Budget by Task'!I31*(1+'Base Period'!$D$68)*(1+'Base Period'!$D$71)*(1+'Base Period'!$D$149)*(1+'Base Period'!$D$153)</f>
        <v>#REF!</v>
      </c>
      <c r="J23" s="106" t="e">
        <f>'Budget by Task'!J31*(1+'Base Period'!$D$68)*(1+'Base Period'!$D$71)*(1+'Base Period'!$D$149)*(1+'Base Period'!$D$153)</f>
        <v>#REF!</v>
      </c>
      <c r="K23" s="106" t="e">
        <f>'Budget by Task'!K31*(1+'Base Period'!$D$68)*(1+'Base Period'!$D$71)*(1+'Base Period'!$D$149)*(1+'Base Period'!$D$153)</f>
        <v>#REF!</v>
      </c>
      <c r="L23" s="106" t="e">
        <f>'Budget by Task'!L31*(1+'Base Period'!$D$68)*(1+'Base Period'!$D$71)*(1+'Base Period'!$D$149)*(1+'Base Period'!$D$153)</f>
        <v>#REF!</v>
      </c>
      <c r="M23" s="106" t="e">
        <f>'Budget by Task'!M31*(1+'Base Period'!$D$68)*(1+'Base Period'!$D$71)*(1+'Base Period'!$D$149)*(1+'Base Period'!$D$153)</f>
        <v>#REF!</v>
      </c>
      <c r="N23" s="106" t="e">
        <f>'Budget by Task'!N31*(1+'Base Period'!$D$68)*(1+'Base Period'!$D$71)*(1+'Base Period'!$D$149)*(1+'Base Period'!$D$153)</f>
        <v>#REF!</v>
      </c>
      <c r="O23" s="106" t="e">
        <f>'Budget by Task'!O31*(1+'Base Period'!$D$68)*(1+'Base Period'!$D$71)*(1+'Base Period'!$D$149)*(1+'Base Period'!$D$153)</f>
        <v>#REF!</v>
      </c>
      <c r="P23" s="106" t="e">
        <f>'Budget by Task'!P31*(1+'Base Period'!$D$68)*(1+'Base Period'!$D$71)*(1+'Base Period'!$D$149)*(1+'Base Period'!$D$153)</f>
        <v>#REF!</v>
      </c>
      <c r="Q23" s="106" t="e">
        <f>'Budget by Task'!Q31*(1+'Base Period'!$D$68)*(1+'Base Period'!$D$71)*(1+'Base Period'!$D$149)*(1+'Base Period'!$D$153)</f>
        <v>#REF!</v>
      </c>
      <c r="R23" s="106" t="e">
        <f>'Budget by Task'!R31*(1+'Base Period'!$D$68)*(1+'Base Period'!$D$71)*(1+'Base Period'!$D$149)*(1+'Base Period'!$D$153)</f>
        <v>#REF!</v>
      </c>
      <c r="S23" s="106" t="e">
        <f>'Budget by Task'!S31*(1+'Base Period'!$D$68)*(1+'Base Period'!$D$71)*(1+'Base Period'!$D$149)*(1+'Base Period'!$D$153)</f>
        <v>#REF!</v>
      </c>
      <c r="T23" s="107" t="e">
        <f t="shared" si="0"/>
        <v>#REF!</v>
      </c>
    </row>
    <row r="24" spans="3:20" x14ac:dyDescent="0.25">
      <c r="C24" s="109" t="str">
        <f>'Base Period'!B52</f>
        <v>Name</v>
      </c>
      <c r="D24" s="106" t="e">
        <f>'Budget by Task'!D32*(1+'Base Period'!$D$68)*(1+'Base Period'!$D$71)*(1+'Base Period'!$D$149)*(1+'Base Period'!$D$153)</f>
        <v>#REF!</v>
      </c>
      <c r="E24" s="106" t="e">
        <f>'Budget by Task'!E32*(1+'Base Period'!$D$68)*(1+'Base Period'!$D$71)*(1+'Base Period'!$D$149)*(1+'Base Period'!$D$153)</f>
        <v>#REF!</v>
      </c>
      <c r="F24" s="106" t="e">
        <f>'Budget by Task'!F32*(1+'Base Period'!$D$68)*(1+'Base Period'!$D$71)*(1+'Base Period'!$D$149)*(1+'Base Period'!$D$153)</f>
        <v>#REF!</v>
      </c>
      <c r="G24" s="106" t="e">
        <f>'Budget by Task'!G32*(1+'Base Period'!$D$68)*(1+'Base Period'!$D$71)*(1+'Base Period'!$D$149)*(1+'Base Period'!$D$153)</f>
        <v>#REF!</v>
      </c>
      <c r="H24" s="106" t="e">
        <f>'Budget by Task'!H32*(1+'Base Period'!$D$68)*(1+'Base Period'!$D$71)*(1+'Base Period'!$D$149)*(1+'Base Period'!$D$153)</f>
        <v>#REF!</v>
      </c>
      <c r="I24" s="106" t="e">
        <f>'Budget by Task'!I32*(1+'Base Period'!$D$68)*(1+'Base Period'!$D$71)*(1+'Base Period'!$D$149)*(1+'Base Period'!$D$153)</f>
        <v>#REF!</v>
      </c>
      <c r="J24" s="106" t="e">
        <f>'Budget by Task'!J32*(1+'Base Period'!$D$68)*(1+'Base Period'!$D$71)*(1+'Base Period'!$D$149)*(1+'Base Period'!$D$153)</f>
        <v>#REF!</v>
      </c>
      <c r="K24" s="106" t="e">
        <f>'Budget by Task'!K32*(1+'Base Period'!$D$68)*(1+'Base Period'!$D$71)*(1+'Base Period'!$D$149)*(1+'Base Period'!$D$153)</f>
        <v>#REF!</v>
      </c>
      <c r="L24" s="106" t="e">
        <f>'Budget by Task'!L32*(1+'Base Period'!$D$68)*(1+'Base Period'!$D$71)*(1+'Base Period'!$D$149)*(1+'Base Period'!$D$153)</f>
        <v>#REF!</v>
      </c>
      <c r="M24" s="106" t="e">
        <f>'Budget by Task'!M32*(1+'Base Period'!$D$68)*(1+'Base Period'!$D$71)*(1+'Base Period'!$D$149)*(1+'Base Period'!$D$153)</f>
        <v>#REF!</v>
      </c>
      <c r="N24" s="106" t="e">
        <f>'Budget by Task'!N32*(1+'Base Period'!$D$68)*(1+'Base Period'!$D$71)*(1+'Base Period'!$D$149)*(1+'Base Period'!$D$153)</f>
        <v>#REF!</v>
      </c>
      <c r="O24" s="106" t="e">
        <f>'Budget by Task'!O32*(1+'Base Period'!$D$68)*(1+'Base Period'!$D$71)*(1+'Base Period'!$D$149)*(1+'Base Period'!$D$153)</f>
        <v>#REF!</v>
      </c>
      <c r="P24" s="106" t="e">
        <f>'Budget by Task'!P32*(1+'Base Period'!$D$68)*(1+'Base Period'!$D$71)*(1+'Base Period'!$D$149)*(1+'Base Period'!$D$153)</f>
        <v>#REF!</v>
      </c>
      <c r="Q24" s="106" t="e">
        <f>'Budget by Task'!Q32*(1+'Base Period'!$D$68)*(1+'Base Period'!$D$71)*(1+'Base Period'!$D$149)*(1+'Base Period'!$D$153)</f>
        <v>#REF!</v>
      </c>
      <c r="R24" s="106" t="e">
        <f>'Budget by Task'!R32*(1+'Base Period'!$D$68)*(1+'Base Period'!$D$71)*(1+'Base Period'!$D$149)*(1+'Base Period'!$D$153)</f>
        <v>#REF!</v>
      </c>
      <c r="S24" s="106" t="e">
        <f>'Budget by Task'!S32*(1+'Base Period'!$D$68)*(1+'Base Period'!$D$71)*(1+'Base Period'!$D$149)*(1+'Base Period'!$D$153)</f>
        <v>#REF!</v>
      </c>
      <c r="T24" s="107" t="e">
        <f t="shared" si="0"/>
        <v>#REF!</v>
      </c>
    </row>
    <row r="25" spans="3:20" x14ac:dyDescent="0.25">
      <c r="C25" s="109" t="str">
        <f>'Base Period'!B53</f>
        <v>Name</v>
      </c>
      <c r="D25" s="106" t="e">
        <f>'Budget by Task'!D33*(1+'Base Period'!$D$68)*(1+'Base Period'!$D$71)*(1+'Base Period'!$D$149)*(1+'Base Period'!$D$153)</f>
        <v>#REF!</v>
      </c>
      <c r="E25" s="106" t="e">
        <f>'Budget by Task'!E33*(1+'Base Period'!$D$68)*(1+'Base Period'!$D$71)*(1+'Base Period'!$D$149)*(1+'Base Period'!$D$153)</f>
        <v>#REF!</v>
      </c>
      <c r="F25" s="106" t="e">
        <f>'Budget by Task'!F33*(1+'Base Period'!$D$68)*(1+'Base Period'!$D$71)*(1+'Base Period'!$D$149)*(1+'Base Period'!$D$153)</f>
        <v>#REF!</v>
      </c>
      <c r="G25" s="106" t="e">
        <f>'Budget by Task'!G33*(1+'Base Period'!$D$68)*(1+'Base Period'!$D$71)*(1+'Base Period'!$D$149)*(1+'Base Period'!$D$153)</f>
        <v>#REF!</v>
      </c>
      <c r="H25" s="106" t="e">
        <f>'Budget by Task'!H33*(1+'Base Period'!$D$68)*(1+'Base Period'!$D$71)*(1+'Base Period'!$D$149)*(1+'Base Period'!$D$153)</f>
        <v>#REF!</v>
      </c>
      <c r="I25" s="106" t="e">
        <f>'Budget by Task'!I33*(1+'Base Period'!$D$68)*(1+'Base Period'!$D$71)*(1+'Base Period'!$D$149)*(1+'Base Period'!$D$153)</f>
        <v>#REF!</v>
      </c>
      <c r="J25" s="106" t="e">
        <f>'Budget by Task'!J33*(1+'Base Period'!$D$68)*(1+'Base Period'!$D$71)*(1+'Base Period'!$D$149)*(1+'Base Period'!$D$153)</f>
        <v>#REF!</v>
      </c>
      <c r="K25" s="106" t="e">
        <f>'Budget by Task'!K33*(1+'Base Period'!$D$68)*(1+'Base Period'!$D$71)*(1+'Base Period'!$D$149)*(1+'Base Period'!$D$153)</f>
        <v>#REF!</v>
      </c>
      <c r="L25" s="106" t="e">
        <f>'Budget by Task'!L33*(1+'Base Period'!$D$68)*(1+'Base Period'!$D$71)*(1+'Base Period'!$D$149)*(1+'Base Period'!$D$153)</f>
        <v>#REF!</v>
      </c>
      <c r="M25" s="106" t="e">
        <f>'Budget by Task'!M33*(1+'Base Period'!$D$68)*(1+'Base Period'!$D$71)*(1+'Base Period'!$D$149)*(1+'Base Period'!$D$153)</f>
        <v>#REF!</v>
      </c>
      <c r="N25" s="106" t="e">
        <f>'Budget by Task'!N33*(1+'Base Period'!$D$68)*(1+'Base Period'!$D$71)*(1+'Base Period'!$D$149)*(1+'Base Period'!$D$153)</f>
        <v>#REF!</v>
      </c>
      <c r="O25" s="106" t="e">
        <f>'Budget by Task'!O33*(1+'Base Period'!$D$68)*(1+'Base Period'!$D$71)*(1+'Base Period'!$D$149)*(1+'Base Period'!$D$153)</f>
        <v>#REF!</v>
      </c>
      <c r="P25" s="106" t="e">
        <f>'Budget by Task'!P33*(1+'Base Period'!$D$68)*(1+'Base Period'!$D$71)*(1+'Base Period'!$D$149)*(1+'Base Period'!$D$153)</f>
        <v>#REF!</v>
      </c>
      <c r="Q25" s="106" t="e">
        <f>'Budget by Task'!Q33*(1+'Base Period'!$D$68)*(1+'Base Period'!$D$71)*(1+'Base Period'!$D$149)*(1+'Base Period'!$D$153)</f>
        <v>#REF!</v>
      </c>
      <c r="R25" s="106" t="e">
        <f>'Budget by Task'!R33*(1+'Base Period'!$D$68)*(1+'Base Period'!$D$71)*(1+'Base Period'!$D$149)*(1+'Base Period'!$D$153)</f>
        <v>#REF!</v>
      </c>
      <c r="S25" s="106" t="e">
        <f>'Budget by Task'!S33*(1+'Base Period'!$D$68)*(1+'Base Period'!$D$71)*(1+'Base Period'!$D$149)*(1+'Base Period'!$D$153)</f>
        <v>#REF!</v>
      </c>
      <c r="T25" s="107" t="e">
        <f t="shared" si="0"/>
        <v>#REF!</v>
      </c>
    </row>
    <row r="26" spans="3:20" x14ac:dyDescent="0.25">
      <c r="C26" s="109" t="str">
        <f>'Base Period'!B54</f>
        <v>Name</v>
      </c>
      <c r="D26" s="106" t="e">
        <f>'Budget by Task'!D34*(1+'Base Period'!$D$68)*(1+'Base Period'!$D$71)*(1+'Base Period'!$D$149)*(1+'Base Period'!$D$153)</f>
        <v>#REF!</v>
      </c>
      <c r="E26" s="106" t="e">
        <f>'Budget by Task'!E34*(1+'Base Period'!$D$68)*(1+'Base Period'!$D$71)*(1+'Base Period'!$D$149)*(1+'Base Period'!$D$153)</f>
        <v>#REF!</v>
      </c>
      <c r="F26" s="106" t="e">
        <f>'Budget by Task'!F34*(1+'Base Period'!$D$68)*(1+'Base Period'!$D$71)*(1+'Base Period'!$D$149)*(1+'Base Period'!$D$153)</f>
        <v>#REF!</v>
      </c>
      <c r="G26" s="106" t="e">
        <f>'Budget by Task'!G34*(1+'Base Period'!$D$68)*(1+'Base Period'!$D$71)*(1+'Base Period'!$D$149)*(1+'Base Period'!$D$153)</f>
        <v>#REF!</v>
      </c>
      <c r="H26" s="106" t="e">
        <f>'Budget by Task'!H34*(1+'Base Period'!$D$68)*(1+'Base Period'!$D$71)*(1+'Base Period'!$D$149)*(1+'Base Period'!$D$153)</f>
        <v>#REF!</v>
      </c>
      <c r="I26" s="106" t="e">
        <f>'Budget by Task'!I34*(1+'Base Period'!$D$68)*(1+'Base Period'!$D$71)*(1+'Base Period'!$D$149)*(1+'Base Period'!$D$153)</f>
        <v>#REF!</v>
      </c>
      <c r="J26" s="106" t="e">
        <f>'Budget by Task'!J34*(1+'Base Period'!$D$68)*(1+'Base Period'!$D$71)*(1+'Base Period'!$D$149)*(1+'Base Period'!$D$153)</f>
        <v>#REF!</v>
      </c>
      <c r="K26" s="106" t="e">
        <f>'Budget by Task'!K34*(1+'Base Period'!$D$68)*(1+'Base Period'!$D$71)*(1+'Base Period'!$D$149)*(1+'Base Period'!$D$153)</f>
        <v>#REF!</v>
      </c>
      <c r="L26" s="106" t="e">
        <f>'Budget by Task'!L34*(1+'Base Period'!$D$68)*(1+'Base Period'!$D$71)*(1+'Base Period'!$D$149)*(1+'Base Period'!$D$153)</f>
        <v>#REF!</v>
      </c>
      <c r="M26" s="106" t="e">
        <f>'Budget by Task'!M34*(1+'Base Period'!$D$68)*(1+'Base Period'!$D$71)*(1+'Base Period'!$D$149)*(1+'Base Period'!$D$153)</f>
        <v>#REF!</v>
      </c>
      <c r="N26" s="106" t="e">
        <f>'Budget by Task'!N34*(1+'Base Period'!$D$68)*(1+'Base Period'!$D$71)*(1+'Base Period'!$D$149)*(1+'Base Period'!$D$153)</f>
        <v>#REF!</v>
      </c>
      <c r="O26" s="106" t="e">
        <f>'Budget by Task'!O34*(1+'Base Period'!$D$68)*(1+'Base Period'!$D$71)*(1+'Base Period'!$D$149)*(1+'Base Period'!$D$153)</f>
        <v>#REF!</v>
      </c>
      <c r="P26" s="106" t="e">
        <f>'Budget by Task'!P34*(1+'Base Period'!$D$68)*(1+'Base Period'!$D$71)*(1+'Base Period'!$D$149)*(1+'Base Period'!$D$153)</f>
        <v>#REF!</v>
      </c>
      <c r="Q26" s="106" t="e">
        <f>'Budget by Task'!Q34*(1+'Base Period'!$D$68)*(1+'Base Period'!$D$71)*(1+'Base Period'!$D$149)*(1+'Base Period'!$D$153)</f>
        <v>#REF!</v>
      </c>
      <c r="R26" s="106" t="e">
        <f>'Budget by Task'!R34*(1+'Base Period'!$D$68)*(1+'Base Period'!$D$71)*(1+'Base Period'!$D$149)*(1+'Base Period'!$D$153)</f>
        <v>#REF!</v>
      </c>
      <c r="S26" s="106" t="e">
        <f>'Budget by Task'!S34*(1+'Base Period'!$D$68)*(1+'Base Period'!$D$71)*(1+'Base Period'!$D$149)*(1+'Base Period'!$D$153)</f>
        <v>#REF!</v>
      </c>
      <c r="T26" s="107" t="e">
        <f t="shared" si="0"/>
        <v>#REF!</v>
      </c>
    </row>
    <row r="27" spans="3:20" x14ac:dyDescent="0.25">
      <c r="C27" s="109" t="str">
        <f>'Base Period'!B55</f>
        <v>Name</v>
      </c>
      <c r="D27" s="106" t="e">
        <f>'Budget by Task'!D35*(1+'Base Period'!$D$68)*(1+'Base Period'!$D$71)*(1+'Base Period'!$D$149)*(1+'Base Period'!$D$153)</f>
        <v>#REF!</v>
      </c>
      <c r="E27" s="106" t="e">
        <f>'Budget by Task'!E35*(1+'Base Period'!$D$68)*(1+'Base Period'!$D$71)*(1+'Base Period'!$D$149)*(1+'Base Period'!$D$153)</f>
        <v>#REF!</v>
      </c>
      <c r="F27" s="106" t="e">
        <f>'Budget by Task'!F35*(1+'Base Period'!$D$68)*(1+'Base Period'!$D$71)*(1+'Base Period'!$D$149)*(1+'Base Period'!$D$153)</f>
        <v>#REF!</v>
      </c>
      <c r="G27" s="106" t="e">
        <f>'Budget by Task'!G35*(1+'Base Period'!$D$68)*(1+'Base Period'!$D$71)*(1+'Base Period'!$D$149)*(1+'Base Period'!$D$153)</f>
        <v>#REF!</v>
      </c>
      <c r="H27" s="106" t="e">
        <f>'Budget by Task'!H35*(1+'Base Period'!$D$68)*(1+'Base Period'!$D$71)*(1+'Base Period'!$D$149)*(1+'Base Period'!$D$153)</f>
        <v>#REF!</v>
      </c>
      <c r="I27" s="106" t="e">
        <f>'Budget by Task'!I35*(1+'Base Period'!$D$68)*(1+'Base Period'!$D$71)*(1+'Base Period'!$D$149)*(1+'Base Period'!$D$153)</f>
        <v>#REF!</v>
      </c>
      <c r="J27" s="106" t="e">
        <f>'Budget by Task'!J35*(1+'Base Period'!$D$68)*(1+'Base Period'!$D$71)*(1+'Base Period'!$D$149)*(1+'Base Period'!$D$153)</f>
        <v>#REF!</v>
      </c>
      <c r="K27" s="106" t="e">
        <f>'Budget by Task'!K35*(1+'Base Period'!$D$68)*(1+'Base Period'!$D$71)*(1+'Base Period'!$D$149)*(1+'Base Period'!$D$153)</f>
        <v>#REF!</v>
      </c>
      <c r="L27" s="106" t="e">
        <f>'Budget by Task'!L35*(1+'Base Period'!$D$68)*(1+'Base Period'!$D$71)*(1+'Base Period'!$D$149)*(1+'Base Period'!$D$153)</f>
        <v>#REF!</v>
      </c>
      <c r="M27" s="106" t="e">
        <f>'Budget by Task'!M35*(1+'Base Period'!$D$68)*(1+'Base Period'!$D$71)*(1+'Base Period'!$D$149)*(1+'Base Period'!$D$153)</f>
        <v>#REF!</v>
      </c>
      <c r="N27" s="106" t="e">
        <f>'Budget by Task'!N35*(1+'Base Period'!$D$68)*(1+'Base Period'!$D$71)*(1+'Base Period'!$D$149)*(1+'Base Period'!$D$153)</f>
        <v>#REF!</v>
      </c>
      <c r="O27" s="106" t="e">
        <f>'Budget by Task'!O35*(1+'Base Period'!$D$68)*(1+'Base Period'!$D$71)*(1+'Base Period'!$D$149)*(1+'Base Period'!$D$153)</f>
        <v>#REF!</v>
      </c>
      <c r="P27" s="106" t="e">
        <f>'Budget by Task'!P35*(1+'Base Period'!$D$68)*(1+'Base Period'!$D$71)*(1+'Base Period'!$D$149)*(1+'Base Period'!$D$153)</f>
        <v>#REF!</v>
      </c>
      <c r="Q27" s="106" t="e">
        <f>'Budget by Task'!Q35*(1+'Base Period'!$D$68)*(1+'Base Period'!$D$71)*(1+'Base Period'!$D$149)*(1+'Base Period'!$D$153)</f>
        <v>#REF!</v>
      </c>
      <c r="R27" s="106" t="e">
        <f>'Budget by Task'!R35*(1+'Base Period'!$D$68)*(1+'Base Period'!$D$71)*(1+'Base Period'!$D$149)*(1+'Base Period'!$D$153)</f>
        <v>#REF!</v>
      </c>
      <c r="S27" s="106" t="e">
        <f>'Budget by Task'!S35*(1+'Base Period'!$D$68)*(1+'Base Period'!$D$71)*(1+'Base Period'!$D$149)*(1+'Base Period'!$D$153)</f>
        <v>#REF!</v>
      </c>
      <c r="T27" s="107" t="e">
        <f t="shared" si="0"/>
        <v>#REF!</v>
      </c>
    </row>
    <row r="28" spans="3:20" x14ac:dyDescent="0.25">
      <c r="C28" s="109" t="str">
        <f>'Base Period'!B56</f>
        <v>Name</v>
      </c>
      <c r="D28" s="106" t="e">
        <f>'Budget by Task'!D36*(1+'Base Period'!$D$68)*(1+'Base Period'!$D$71)*(1+'Base Period'!$D$149)*(1+'Base Period'!$D$153)</f>
        <v>#REF!</v>
      </c>
      <c r="E28" s="106" t="e">
        <f>'Budget by Task'!E36*(1+'Base Period'!$D$68)*(1+'Base Period'!$D$71)*(1+'Base Period'!$D$149)*(1+'Base Period'!$D$153)</f>
        <v>#REF!</v>
      </c>
      <c r="F28" s="106" t="e">
        <f>'Budget by Task'!F36*(1+'Base Period'!$D$68)*(1+'Base Period'!$D$71)*(1+'Base Period'!$D$149)*(1+'Base Period'!$D$153)</f>
        <v>#REF!</v>
      </c>
      <c r="G28" s="106" t="e">
        <f>'Budget by Task'!G36*(1+'Base Period'!$D$68)*(1+'Base Period'!$D$71)*(1+'Base Period'!$D$149)*(1+'Base Period'!$D$153)</f>
        <v>#REF!</v>
      </c>
      <c r="H28" s="106" t="e">
        <f>'Budget by Task'!H36*(1+'Base Period'!$D$68)*(1+'Base Period'!$D$71)*(1+'Base Period'!$D$149)*(1+'Base Period'!$D$153)</f>
        <v>#REF!</v>
      </c>
      <c r="I28" s="106" t="e">
        <f>'Budget by Task'!I36*(1+'Base Period'!$D$68)*(1+'Base Period'!$D$71)*(1+'Base Period'!$D$149)*(1+'Base Period'!$D$153)</f>
        <v>#REF!</v>
      </c>
      <c r="J28" s="106" t="e">
        <f>'Budget by Task'!J36*(1+'Base Period'!$D$68)*(1+'Base Period'!$D$71)*(1+'Base Period'!$D$149)*(1+'Base Period'!$D$153)</f>
        <v>#REF!</v>
      </c>
      <c r="K28" s="106" t="e">
        <f>'Budget by Task'!K36*(1+'Base Period'!$D$68)*(1+'Base Period'!$D$71)*(1+'Base Period'!$D$149)*(1+'Base Period'!$D$153)</f>
        <v>#REF!</v>
      </c>
      <c r="L28" s="106" t="e">
        <f>'Budget by Task'!L36*(1+'Base Period'!$D$68)*(1+'Base Period'!$D$71)*(1+'Base Period'!$D$149)*(1+'Base Period'!$D$153)</f>
        <v>#REF!</v>
      </c>
      <c r="M28" s="106" t="e">
        <f>'Budget by Task'!M36*(1+'Base Period'!$D$68)*(1+'Base Period'!$D$71)*(1+'Base Period'!$D$149)*(1+'Base Period'!$D$153)</f>
        <v>#REF!</v>
      </c>
      <c r="N28" s="106" t="e">
        <f>'Budget by Task'!N36*(1+'Base Period'!$D$68)*(1+'Base Period'!$D$71)*(1+'Base Period'!$D$149)*(1+'Base Period'!$D$153)</f>
        <v>#REF!</v>
      </c>
      <c r="O28" s="106" t="e">
        <f>'Budget by Task'!O36*(1+'Base Period'!$D$68)*(1+'Base Period'!$D$71)*(1+'Base Period'!$D$149)*(1+'Base Period'!$D$153)</f>
        <v>#REF!</v>
      </c>
      <c r="P28" s="106" t="e">
        <f>'Budget by Task'!P36*(1+'Base Period'!$D$68)*(1+'Base Period'!$D$71)*(1+'Base Period'!$D$149)*(1+'Base Period'!$D$153)</f>
        <v>#REF!</v>
      </c>
      <c r="Q28" s="106" t="e">
        <f>'Budget by Task'!Q36*(1+'Base Period'!$D$68)*(1+'Base Period'!$D$71)*(1+'Base Period'!$D$149)*(1+'Base Period'!$D$153)</f>
        <v>#REF!</v>
      </c>
      <c r="R28" s="106" t="e">
        <f>'Budget by Task'!R36*(1+'Base Period'!$D$68)*(1+'Base Period'!$D$71)*(1+'Base Period'!$D$149)*(1+'Base Period'!$D$153)</f>
        <v>#REF!</v>
      </c>
      <c r="S28" s="106" t="e">
        <f>'Budget by Task'!S36*(1+'Base Period'!$D$68)*(1+'Base Period'!$D$71)*(1+'Base Period'!$D$149)*(1+'Base Period'!$D$153)</f>
        <v>#REF!</v>
      </c>
      <c r="T28" s="107" t="e">
        <f t="shared" si="0"/>
        <v>#REF!</v>
      </c>
    </row>
    <row r="29" spans="3:20" x14ac:dyDescent="0.25">
      <c r="C29" s="109" t="str">
        <f>'Base Period'!B57</f>
        <v>Name</v>
      </c>
      <c r="D29" s="106" t="e">
        <f>'Budget by Task'!D37*(1+'Base Period'!$D$68)*(1+'Base Period'!$D$71)*(1+'Base Period'!$D$149)*(1+'Base Period'!$D$153)</f>
        <v>#REF!</v>
      </c>
      <c r="E29" s="106" t="e">
        <f>'Budget by Task'!E37*(1+'Base Period'!$D$68)*(1+'Base Period'!$D$71)*(1+'Base Period'!$D$149)*(1+'Base Period'!$D$153)</f>
        <v>#REF!</v>
      </c>
      <c r="F29" s="106" t="e">
        <f>'Budget by Task'!F37*(1+'Base Period'!$D$68)*(1+'Base Period'!$D$71)*(1+'Base Period'!$D$149)*(1+'Base Period'!$D$153)</f>
        <v>#REF!</v>
      </c>
      <c r="G29" s="106" t="e">
        <f>'Budget by Task'!G37*(1+'Base Period'!$D$68)*(1+'Base Period'!$D$71)*(1+'Base Period'!$D$149)*(1+'Base Period'!$D$153)</f>
        <v>#REF!</v>
      </c>
      <c r="H29" s="106" t="e">
        <f>'Budget by Task'!H37*(1+'Base Period'!$D$68)*(1+'Base Period'!$D$71)*(1+'Base Period'!$D$149)*(1+'Base Period'!$D$153)</f>
        <v>#REF!</v>
      </c>
      <c r="I29" s="106" t="e">
        <f>'Budget by Task'!I37*(1+'Base Period'!$D$68)*(1+'Base Period'!$D$71)*(1+'Base Period'!$D$149)*(1+'Base Period'!$D$153)</f>
        <v>#REF!</v>
      </c>
      <c r="J29" s="106" t="e">
        <f>'Budget by Task'!J37*(1+'Base Period'!$D$68)*(1+'Base Period'!$D$71)*(1+'Base Period'!$D$149)*(1+'Base Period'!$D$153)</f>
        <v>#REF!</v>
      </c>
      <c r="K29" s="106" t="e">
        <f>'Budget by Task'!K37*(1+'Base Period'!$D$68)*(1+'Base Period'!$D$71)*(1+'Base Period'!$D$149)*(1+'Base Period'!$D$153)</f>
        <v>#REF!</v>
      </c>
      <c r="L29" s="106" t="e">
        <f>'Budget by Task'!L37*(1+'Base Period'!$D$68)*(1+'Base Period'!$D$71)*(1+'Base Period'!$D$149)*(1+'Base Period'!$D$153)</f>
        <v>#REF!</v>
      </c>
      <c r="M29" s="106" t="e">
        <f>'Budget by Task'!M37*(1+'Base Period'!$D$68)*(1+'Base Period'!$D$71)*(1+'Base Period'!$D$149)*(1+'Base Period'!$D$153)</f>
        <v>#REF!</v>
      </c>
      <c r="N29" s="106" t="e">
        <f>'Budget by Task'!N37*(1+'Base Period'!$D$68)*(1+'Base Period'!$D$71)*(1+'Base Period'!$D$149)*(1+'Base Period'!$D$153)</f>
        <v>#REF!</v>
      </c>
      <c r="O29" s="106" t="e">
        <f>'Budget by Task'!O37*(1+'Base Period'!$D$68)*(1+'Base Period'!$D$71)*(1+'Base Period'!$D$149)*(1+'Base Period'!$D$153)</f>
        <v>#REF!</v>
      </c>
      <c r="P29" s="106" t="e">
        <f>'Budget by Task'!P37*(1+'Base Period'!$D$68)*(1+'Base Period'!$D$71)*(1+'Base Period'!$D$149)*(1+'Base Period'!$D$153)</f>
        <v>#REF!</v>
      </c>
      <c r="Q29" s="106" t="e">
        <f>'Budget by Task'!Q37*(1+'Base Period'!$D$68)*(1+'Base Period'!$D$71)*(1+'Base Period'!$D$149)*(1+'Base Period'!$D$153)</f>
        <v>#REF!</v>
      </c>
      <c r="R29" s="106" t="e">
        <f>'Budget by Task'!R37*(1+'Base Period'!$D$68)*(1+'Base Period'!$D$71)*(1+'Base Period'!$D$149)*(1+'Base Period'!$D$153)</f>
        <v>#REF!</v>
      </c>
      <c r="S29" s="106" t="e">
        <f>'Budget by Task'!S37*(1+'Base Period'!$D$68)*(1+'Base Period'!$D$71)*(1+'Base Period'!$D$149)*(1+'Base Period'!$D$153)</f>
        <v>#REF!</v>
      </c>
      <c r="T29" s="107" t="e">
        <f t="shared" si="0"/>
        <v>#REF!</v>
      </c>
    </row>
    <row r="30" spans="3:20" x14ac:dyDescent="0.25">
      <c r="C30" s="109" t="str">
        <f>'Base Period'!B58</f>
        <v>Name</v>
      </c>
      <c r="D30" s="106" t="e">
        <f>'Budget by Task'!D38*(1+'Base Period'!$D$68)*(1+'Base Period'!$D$71)*(1+'Base Period'!$D$149)*(1+'Base Period'!$D$153)</f>
        <v>#REF!</v>
      </c>
      <c r="E30" s="106" t="e">
        <f>'Budget by Task'!E38*(1+'Base Period'!$D$68)*(1+'Base Period'!$D$71)*(1+'Base Period'!$D$149)*(1+'Base Period'!$D$153)</f>
        <v>#REF!</v>
      </c>
      <c r="F30" s="106" t="e">
        <f>'Budget by Task'!F38*(1+'Base Period'!$D$68)*(1+'Base Period'!$D$71)*(1+'Base Period'!$D$149)*(1+'Base Period'!$D$153)</f>
        <v>#REF!</v>
      </c>
      <c r="G30" s="106" t="e">
        <f>'Budget by Task'!G38*(1+'Base Period'!$D$68)*(1+'Base Period'!$D$71)*(1+'Base Period'!$D$149)*(1+'Base Period'!$D$153)</f>
        <v>#REF!</v>
      </c>
      <c r="H30" s="106" t="e">
        <f>'Budget by Task'!H38*(1+'Base Period'!$D$68)*(1+'Base Period'!$D$71)*(1+'Base Period'!$D$149)*(1+'Base Period'!$D$153)</f>
        <v>#REF!</v>
      </c>
      <c r="I30" s="106" t="e">
        <f>'Budget by Task'!I38*(1+'Base Period'!$D$68)*(1+'Base Period'!$D$71)*(1+'Base Period'!$D$149)*(1+'Base Period'!$D$153)</f>
        <v>#REF!</v>
      </c>
      <c r="J30" s="106" t="e">
        <f>'Budget by Task'!J38*(1+'Base Period'!$D$68)*(1+'Base Period'!$D$71)*(1+'Base Period'!$D$149)*(1+'Base Period'!$D$153)</f>
        <v>#REF!</v>
      </c>
      <c r="K30" s="106" t="e">
        <f>'Budget by Task'!K38*(1+'Base Period'!$D$68)*(1+'Base Period'!$D$71)*(1+'Base Period'!$D$149)*(1+'Base Period'!$D$153)</f>
        <v>#REF!</v>
      </c>
      <c r="L30" s="106" t="e">
        <f>'Budget by Task'!L38*(1+'Base Period'!$D$68)*(1+'Base Period'!$D$71)*(1+'Base Period'!$D$149)*(1+'Base Period'!$D$153)</f>
        <v>#REF!</v>
      </c>
      <c r="M30" s="106" t="e">
        <f>'Budget by Task'!M38*(1+'Base Period'!$D$68)*(1+'Base Period'!$D$71)*(1+'Base Period'!$D$149)*(1+'Base Period'!$D$153)</f>
        <v>#REF!</v>
      </c>
      <c r="N30" s="106" t="e">
        <f>'Budget by Task'!N38*(1+'Base Period'!$D$68)*(1+'Base Period'!$D$71)*(1+'Base Period'!$D$149)*(1+'Base Period'!$D$153)</f>
        <v>#REF!</v>
      </c>
      <c r="O30" s="106" t="e">
        <f>'Budget by Task'!O38*(1+'Base Period'!$D$68)*(1+'Base Period'!$D$71)*(1+'Base Period'!$D$149)*(1+'Base Period'!$D$153)</f>
        <v>#REF!</v>
      </c>
      <c r="P30" s="106" t="e">
        <f>'Budget by Task'!P38*(1+'Base Period'!$D$68)*(1+'Base Period'!$D$71)*(1+'Base Period'!$D$149)*(1+'Base Period'!$D$153)</f>
        <v>#REF!</v>
      </c>
      <c r="Q30" s="106" t="e">
        <f>'Budget by Task'!Q38*(1+'Base Period'!$D$68)*(1+'Base Period'!$D$71)*(1+'Base Period'!$D$149)*(1+'Base Period'!$D$153)</f>
        <v>#REF!</v>
      </c>
      <c r="R30" s="106" t="e">
        <f>'Budget by Task'!R38*(1+'Base Period'!$D$68)*(1+'Base Period'!$D$71)*(1+'Base Period'!$D$149)*(1+'Base Period'!$D$153)</f>
        <v>#REF!</v>
      </c>
      <c r="S30" s="106" t="e">
        <f>'Budget by Task'!S38*(1+'Base Period'!$D$68)*(1+'Base Period'!$D$71)*(1+'Base Period'!$D$149)*(1+'Base Period'!$D$153)</f>
        <v>#REF!</v>
      </c>
      <c r="T30" s="107" t="e">
        <f t="shared" si="0"/>
        <v>#REF!</v>
      </c>
    </row>
    <row r="31" spans="3:20" x14ac:dyDescent="0.25">
      <c r="C31" s="109" t="str">
        <f>'Base Period'!B59</f>
        <v>Name</v>
      </c>
      <c r="D31" s="106" t="e">
        <f>'Budget by Task'!D39*(1+'Base Period'!$D$68)*(1+'Base Period'!$D$71)*(1+'Base Period'!$D$149)*(1+'Base Period'!$D$153)</f>
        <v>#REF!</v>
      </c>
      <c r="E31" s="106" t="e">
        <f>'Budget by Task'!E39*(1+'Base Period'!$D$68)*(1+'Base Period'!$D$71)*(1+'Base Period'!$D$149)*(1+'Base Period'!$D$153)</f>
        <v>#REF!</v>
      </c>
      <c r="F31" s="106" t="e">
        <f>'Budget by Task'!F39*(1+'Base Period'!$D$68)*(1+'Base Period'!$D$71)*(1+'Base Period'!$D$149)*(1+'Base Period'!$D$153)</f>
        <v>#REF!</v>
      </c>
      <c r="G31" s="106" t="e">
        <f>'Budget by Task'!G39*(1+'Base Period'!$D$68)*(1+'Base Period'!$D$71)*(1+'Base Period'!$D$149)*(1+'Base Period'!$D$153)</f>
        <v>#REF!</v>
      </c>
      <c r="H31" s="106" t="e">
        <f>'Budget by Task'!H39*(1+'Base Period'!$D$68)*(1+'Base Period'!$D$71)*(1+'Base Period'!$D$149)*(1+'Base Period'!$D$153)</f>
        <v>#REF!</v>
      </c>
      <c r="I31" s="106" t="e">
        <f>'Budget by Task'!I39*(1+'Base Period'!$D$68)*(1+'Base Period'!$D$71)*(1+'Base Period'!$D$149)*(1+'Base Period'!$D$153)</f>
        <v>#REF!</v>
      </c>
      <c r="J31" s="106" t="e">
        <f>'Budget by Task'!J39*(1+'Base Period'!$D$68)*(1+'Base Period'!$D$71)*(1+'Base Period'!$D$149)*(1+'Base Period'!$D$153)</f>
        <v>#REF!</v>
      </c>
      <c r="K31" s="106" t="e">
        <f>'Budget by Task'!K39*(1+'Base Period'!$D$68)*(1+'Base Period'!$D$71)*(1+'Base Period'!$D$149)*(1+'Base Period'!$D$153)</f>
        <v>#REF!</v>
      </c>
      <c r="L31" s="106" t="e">
        <f>'Budget by Task'!L39*(1+'Base Period'!$D$68)*(1+'Base Period'!$D$71)*(1+'Base Period'!$D$149)*(1+'Base Period'!$D$153)</f>
        <v>#REF!</v>
      </c>
      <c r="M31" s="106" t="e">
        <f>'Budget by Task'!M39*(1+'Base Period'!$D$68)*(1+'Base Period'!$D$71)*(1+'Base Period'!$D$149)*(1+'Base Period'!$D$153)</f>
        <v>#REF!</v>
      </c>
      <c r="N31" s="106" t="e">
        <f>'Budget by Task'!N39*(1+'Base Period'!$D$68)*(1+'Base Period'!$D$71)*(1+'Base Period'!$D$149)*(1+'Base Period'!$D$153)</f>
        <v>#REF!</v>
      </c>
      <c r="O31" s="106" t="e">
        <f>'Budget by Task'!O39*(1+'Base Period'!$D$68)*(1+'Base Period'!$D$71)*(1+'Base Period'!$D$149)*(1+'Base Period'!$D$153)</f>
        <v>#REF!</v>
      </c>
      <c r="P31" s="106" t="e">
        <f>'Budget by Task'!P39*(1+'Base Period'!$D$68)*(1+'Base Period'!$D$71)*(1+'Base Period'!$D$149)*(1+'Base Period'!$D$153)</f>
        <v>#REF!</v>
      </c>
      <c r="Q31" s="106" t="e">
        <f>'Budget by Task'!Q39*(1+'Base Period'!$D$68)*(1+'Base Period'!$D$71)*(1+'Base Period'!$D$149)*(1+'Base Period'!$D$153)</f>
        <v>#REF!</v>
      </c>
      <c r="R31" s="106" t="e">
        <f>'Budget by Task'!R39*(1+'Base Period'!$D$68)*(1+'Base Period'!$D$71)*(1+'Base Period'!$D$149)*(1+'Base Period'!$D$153)</f>
        <v>#REF!</v>
      </c>
      <c r="S31" s="106" t="e">
        <f>'Budget by Task'!S39*(1+'Base Period'!$D$68)*(1+'Base Period'!$D$71)*(1+'Base Period'!$D$149)*(1+'Base Period'!$D$153)</f>
        <v>#REF!</v>
      </c>
      <c r="T31" s="107" t="e">
        <f t="shared" si="0"/>
        <v>#REF!</v>
      </c>
    </row>
    <row r="32" spans="3:20" x14ac:dyDescent="0.25">
      <c r="C32" s="109" t="str">
        <f>'Base Period'!B60</f>
        <v>Name</v>
      </c>
      <c r="D32" s="106" t="e">
        <f>'Budget by Task'!D40*(1+'Base Period'!$D$68)*(1+'Base Period'!$D$71)*(1+'Base Period'!$D$149)*(1+'Base Period'!$D$153)</f>
        <v>#REF!</v>
      </c>
      <c r="E32" s="106" t="e">
        <f>'Budget by Task'!E40*(1+'Base Period'!$D$68)*(1+'Base Period'!$D$71)*(1+'Base Period'!$D$149)*(1+'Base Period'!$D$153)</f>
        <v>#REF!</v>
      </c>
      <c r="F32" s="106" t="e">
        <f>'Budget by Task'!F40*(1+'Base Period'!$D$68)*(1+'Base Period'!$D$71)*(1+'Base Period'!$D$149)*(1+'Base Period'!$D$153)</f>
        <v>#REF!</v>
      </c>
      <c r="G32" s="106" t="e">
        <f>'Budget by Task'!G40*(1+'Base Period'!$D$68)*(1+'Base Period'!$D$71)*(1+'Base Period'!$D$149)*(1+'Base Period'!$D$153)</f>
        <v>#REF!</v>
      </c>
      <c r="H32" s="106" t="e">
        <f>'Budget by Task'!H40*(1+'Base Period'!$D$68)*(1+'Base Period'!$D$71)*(1+'Base Period'!$D$149)*(1+'Base Period'!$D$153)</f>
        <v>#REF!</v>
      </c>
      <c r="I32" s="106" t="e">
        <f>'Budget by Task'!I40*(1+'Base Period'!$D$68)*(1+'Base Period'!$D$71)*(1+'Base Period'!$D$149)*(1+'Base Period'!$D$153)</f>
        <v>#REF!</v>
      </c>
      <c r="J32" s="106" t="e">
        <f>'Budget by Task'!J40*(1+'Base Period'!$D$68)*(1+'Base Period'!$D$71)*(1+'Base Period'!$D$149)*(1+'Base Period'!$D$153)</f>
        <v>#REF!</v>
      </c>
      <c r="K32" s="106" t="e">
        <f>'Budget by Task'!K40*(1+'Base Period'!$D$68)*(1+'Base Period'!$D$71)*(1+'Base Period'!$D$149)*(1+'Base Period'!$D$153)</f>
        <v>#REF!</v>
      </c>
      <c r="L32" s="106" t="e">
        <f>'Budget by Task'!L40*(1+'Base Period'!$D$68)*(1+'Base Period'!$D$71)*(1+'Base Period'!$D$149)*(1+'Base Period'!$D$153)</f>
        <v>#REF!</v>
      </c>
      <c r="M32" s="106" t="e">
        <f>'Budget by Task'!M40*(1+'Base Period'!$D$68)*(1+'Base Period'!$D$71)*(1+'Base Period'!$D$149)*(1+'Base Period'!$D$153)</f>
        <v>#REF!</v>
      </c>
      <c r="N32" s="106" t="e">
        <f>'Budget by Task'!N40*(1+'Base Period'!$D$68)*(1+'Base Period'!$D$71)*(1+'Base Period'!$D$149)*(1+'Base Period'!$D$153)</f>
        <v>#REF!</v>
      </c>
      <c r="O32" s="106" t="e">
        <f>'Budget by Task'!O40*(1+'Base Period'!$D$68)*(1+'Base Period'!$D$71)*(1+'Base Period'!$D$149)*(1+'Base Period'!$D$153)</f>
        <v>#REF!</v>
      </c>
      <c r="P32" s="106" t="e">
        <f>'Budget by Task'!P40*(1+'Base Period'!$D$68)*(1+'Base Period'!$D$71)*(1+'Base Period'!$D$149)*(1+'Base Period'!$D$153)</f>
        <v>#REF!</v>
      </c>
      <c r="Q32" s="106" t="e">
        <f>'Budget by Task'!Q40*(1+'Base Period'!$D$68)*(1+'Base Period'!$D$71)*(1+'Base Period'!$D$149)*(1+'Base Period'!$D$153)</f>
        <v>#REF!</v>
      </c>
      <c r="R32" s="106" t="e">
        <f>'Budget by Task'!R40*(1+'Base Period'!$D$68)*(1+'Base Period'!$D$71)*(1+'Base Period'!$D$149)*(1+'Base Period'!$D$153)</f>
        <v>#REF!</v>
      </c>
      <c r="S32" s="106" t="e">
        <f>'Budget by Task'!S40*(1+'Base Period'!$D$68)*(1+'Base Period'!$D$71)*(1+'Base Period'!$D$149)*(1+'Base Period'!$D$153)</f>
        <v>#REF!</v>
      </c>
      <c r="T32" s="107" t="e">
        <f t="shared" si="0"/>
        <v>#REF!</v>
      </c>
    </row>
    <row r="33" spans="3:20" x14ac:dyDescent="0.25">
      <c r="C33" s="109" t="str">
        <f>'Base Period'!B61</f>
        <v>Name</v>
      </c>
      <c r="D33" s="106" t="e">
        <f>'Budget by Task'!D41*(1+'Base Period'!$D$68)*(1+'Base Period'!$D$71)*(1+'Base Period'!$D$149)*(1+'Base Period'!$D$153)</f>
        <v>#REF!</v>
      </c>
      <c r="E33" s="106" t="e">
        <f>'Budget by Task'!E41*(1+'Base Period'!$D$68)*(1+'Base Period'!$D$71)*(1+'Base Period'!$D$149)*(1+'Base Period'!$D$153)</f>
        <v>#REF!</v>
      </c>
      <c r="F33" s="106" t="e">
        <f>'Budget by Task'!F41*(1+'Base Period'!$D$68)*(1+'Base Period'!$D$71)*(1+'Base Period'!$D$149)*(1+'Base Period'!$D$153)</f>
        <v>#REF!</v>
      </c>
      <c r="G33" s="106" t="e">
        <f>'Budget by Task'!G41*(1+'Base Period'!$D$68)*(1+'Base Period'!$D$71)*(1+'Base Period'!$D$149)*(1+'Base Period'!$D$153)</f>
        <v>#REF!</v>
      </c>
      <c r="H33" s="106" t="e">
        <f>'Budget by Task'!H41*(1+'Base Period'!$D$68)*(1+'Base Period'!$D$71)*(1+'Base Period'!$D$149)*(1+'Base Period'!$D$153)</f>
        <v>#REF!</v>
      </c>
      <c r="I33" s="106" t="e">
        <f>'Budget by Task'!I41*(1+'Base Period'!$D$68)*(1+'Base Period'!$D$71)*(1+'Base Period'!$D$149)*(1+'Base Period'!$D$153)</f>
        <v>#REF!</v>
      </c>
      <c r="J33" s="106" t="e">
        <f>'Budget by Task'!J41*(1+'Base Period'!$D$68)*(1+'Base Period'!$D$71)*(1+'Base Period'!$D$149)*(1+'Base Period'!$D$153)</f>
        <v>#REF!</v>
      </c>
      <c r="K33" s="106" t="e">
        <f>'Budget by Task'!K41*(1+'Base Period'!$D$68)*(1+'Base Period'!$D$71)*(1+'Base Period'!$D$149)*(1+'Base Period'!$D$153)</f>
        <v>#REF!</v>
      </c>
      <c r="L33" s="106" t="e">
        <f>'Budget by Task'!L41*(1+'Base Period'!$D$68)*(1+'Base Period'!$D$71)*(1+'Base Period'!$D$149)*(1+'Base Period'!$D$153)</f>
        <v>#REF!</v>
      </c>
      <c r="M33" s="106" t="e">
        <f>'Budget by Task'!M41*(1+'Base Period'!$D$68)*(1+'Base Period'!$D$71)*(1+'Base Period'!$D$149)*(1+'Base Period'!$D$153)</f>
        <v>#REF!</v>
      </c>
      <c r="N33" s="106" t="e">
        <f>'Budget by Task'!N41*(1+'Base Period'!$D$68)*(1+'Base Period'!$D$71)*(1+'Base Period'!$D$149)*(1+'Base Period'!$D$153)</f>
        <v>#REF!</v>
      </c>
      <c r="O33" s="106" t="e">
        <f>'Budget by Task'!O41*(1+'Base Period'!$D$68)*(1+'Base Period'!$D$71)*(1+'Base Period'!$D$149)*(1+'Base Period'!$D$153)</f>
        <v>#REF!</v>
      </c>
      <c r="P33" s="106" t="e">
        <f>'Budget by Task'!P41*(1+'Base Period'!$D$68)*(1+'Base Period'!$D$71)*(1+'Base Period'!$D$149)*(1+'Base Period'!$D$153)</f>
        <v>#REF!</v>
      </c>
      <c r="Q33" s="106" t="e">
        <f>'Budget by Task'!Q41*(1+'Base Period'!$D$68)*(1+'Base Period'!$D$71)*(1+'Base Period'!$D$149)*(1+'Base Period'!$D$153)</f>
        <v>#REF!</v>
      </c>
      <c r="R33" s="106" t="e">
        <f>'Budget by Task'!R41*(1+'Base Period'!$D$68)*(1+'Base Period'!$D$71)*(1+'Base Period'!$D$149)*(1+'Base Period'!$D$153)</f>
        <v>#REF!</v>
      </c>
      <c r="S33" s="106" t="e">
        <f>'Budget by Task'!S41*(1+'Base Period'!$D$68)*(1+'Base Period'!$D$71)*(1+'Base Period'!$D$149)*(1+'Base Period'!$D$153)</f>
        <v>#REF!</v>
      </c>
      <c r="T33" s="107" t="e">
        <f t="shared" si="0"/>
        <v>#REF!</v>
      </c>
    </row>
    <row r="34" spans="3:20" x14ac:dyDescent="0.25">
      <c r="C34" s="109" t="str">
        <f>'Base Period'!B62</f>
        <v>Name</v>
      </c>
      <c r="D34" s="106" t="e">
        <f>'Budget by Task'!D42*(1+'Base Period'!$D$68)*(1+'Base Period'!$D$71)*(1+'Base Period'!$D$149)*(1+'Base Period'!$D$153)</f>
        <v>#REF!</v>
      </c>
      <c r="E34" s="106" t="e">
        <f>'Budget by Task'!E42*(1+'Base Period'!$D$68)*(1+'Base Period'!$D$71)*(1+'Base Period'!$D$149)*(1+'Base Period'!$D$153)</f>
        <v>#REF!</v>
      </c>
      <c r="F34" s="106" t="e">
        <f>'Budget by Task'!F42*(1+'Base Period'!$D$68)*(1+'Base Period'!$D$71)*(1+'Base Period'!$D$149)*(1+'Base Period'!$D$153)</f>
        <v>#REF!</v>
      </c>
      <c r="G34" s="106" t="e">
        <f>'Budget by Task'!G42*(1+'Base Period'!$D$68)*(1+'Base Period'!$D$71)*(1+'Base Period'!$D$149)*(1+'Base Period'!$D$153)</f>
        <v>#REF!</v>
      </c>
      <c r="H34" s="106" t="e">
        <f>'Budget by Task'!H42*(1+'Base Period'!$D$68)*(1+'Base Period'!$D$71)*(1+'Base Period'!$D$149)*(1+'Base Period'!$D$153)</f>
        <v>#REF!</v>
      </c>
      <c r="I34" s="106" t="e">
        <f>'Budget by Task'!I42*(1+'Base Period'!$D$68)*(1+'Base Period'!$D$71)*(1+'Base Period'!$D$149)*(1+'Base Period'!$D$153)</f>
        <v>#REF!</v>
      </c>
      <c r="J34" s="106" t="e">
        <f>'Budget by Task'!J42*(1+'Base Period'!$D$68)*(1+'Base Period'!$D$71)*(1+'Base Period'!$D$149)*(1+'Base Period'!$D$153)</f>
        <v>#REF!</v>
      </c>
      <c r="K34" s="106" t="e">
        <f>'Budget by Task'!K42*(1+'Base Period'!$D$68)*(1+'Base Period'!$D$71)*(1+'Base Period'!$D$149)*(1+'Base Period'!$D$153)</f>
        <v>#REF!</v>
      </c>
      <c r="L34" s="106" t="e">
        <f>'Budget by Task'!L42*(1+'Base Period'!$D$68)*(1+'Base Period'!$D$71)*(1+'Base Period'!$D$149)*(1+'Base Period'!$D$153)</f>
        <v>#REF!</v>
      </c>
      <c r="M34" s="106" t="e">
        <f>'Budget by Task'!M42*(1+'Base Period'!$D$68)*(1+'Base Period'!$D$71)*(1+'Base Period'!$D$149)*(1+'Base Period'!$D$153)</f>
        <v>#REF!</v>
      </c>
      <c r="N34" s="106" t="e">
        <f>'Budget by Task'!N42*(1+'Base Period'!$D$68)*(1+'Base Period'!$D$71)*(1+'Base Period'!$D$149)*(1+'Base Period'!$D$153)</f>
        <v>#REF!</v>
      </c>
      <c r="O34" s="106" t="e">
        <f>'Budget by Task'!O42*(1+'Base Period'!$D$68)*(1+'Base Period'!$D$71)*(1+'Base Period'!$D$149)*(1+'Base Period'!$D$153)</f>
        <v>#REF!</v>
      </c>
      <c r="P34" s="106" t="e">
        <f>'Budget by Task'!P42*(1+'Base Period'!$D$68)*(1+'Base Period'!$D$71)*(1+'Base Period'!$D$149)*(1+'Base Period'!$D$153)</f>
        <v>#REF!</v>
      </c>
      <c r="Q34" s="106" t="e">
        <f>'Budget by Task'!Q42*(1+'Base Period'!$D$68)*(1+'Base Period'!$D$71)*(1+'Base Period'!$D$149)*(1+'Base Period'!$D$153)</f>
        <v>#REF!</v>
      </c>
      <c r="R34" s="106" t="e">
        <f>'Budget by Task'!R42*(1+'Base Period'!$D$68)*(1+'Base Period'!$D$71)*(1+'Base Period'!$D$149)*(1+'Base Period'!$D$153)</f>
        <v>#REF!</v>
      </c>
      <c r="S34" s="106" t="e">
        <f>'Budget by Task'!S42*(1+'Base Period'!$D$68)*(1+'Base Period'!$D$71)*(1+'Base Period'!$D$149)*(1+'Base Period'!$D$153)</f>
        <v>#REF!</v>
      </c>
      <c r="T34" s="107" t="e">
        <f t="shared" si="0"/>
        <v>#REF!</v>
      </c>
    </row>
    <row r="35" spans="3:20" x14ac:dyDescent="0.25">
      <c r="C35" s="110" t="s">
        <v>68</v>
      </c>
      <c r="D35" s="107" t="e">
        <f>SUM(D5:D34)</f>
        <v>#REF!</v>
      </c>
      <c r="E35" s="107" t="e">
        <f t="shared" ref="E35:S35" si="1">SUM(E5:E34)</f>
        <v>#REF!</v>
      </c>
      <c r="F35" s="107" t="e">
        <f t="shared" si="1"/>
        <v>#REF!</v>
      </c>
      <c r="G35" s="107" t="e">
        <f t="shared" si="1"/>
        <v>#REF!</v>
      </c>
      <c r="H35" s="107" t="e">
        <f t="shared" si="1"/>
        <v>#REF!</v>
      </c>
      <c r="I35" s="107" t="e">
        <f t="shared" si="1"/>
        <v>#REF!</v>
      </c>
      <c r="J35" s="107" t="e">
        <f t="shared" si="1"/>
        <v>#REF!</v>
      </c>
      <c r="K35" s="107" t="e">
        <f t="shared" si="1"/>
        <v>#REF!</v>
      </c>
      <c r="L35" s="107" t="e">
        <f t="shared" si="1"/>
        <v>#REF!</v>
      </c>
      <c r="M35" s="107" t="e">
        <f t="shared" si="1"/>
        <v>#REF!</v>
      </c>
      <c r="N35" s="107" t="e">
        <f t="shared" si="1"/>
        <v>#REF!</v>
      </c>
      <c r="O35" s="107" t="e">
        <f t="shared" si="1"/>
        <v>#REF!</v>
      </c>
      <c r="P35" s="107" t="e">
        <f t="shared" si="1"/>
        <v>#REF!</v>
      </c>
      <c r="Q35" s="107" t="e">
        <f t="shared" si="1"/>
        <v>#REF!</v>
      </c>
      <c r="R35" s="107" t="e">
        <f t="shared" si="1"/>
        <v>#REF!</v>
      </c>
      <c r="S35" s="107" t="e">
        <f t="shared" si="1"/>
        <v>#REF!</v>
      </c>
      <c r="T35" s="107" t="e">
        <f>SUM(D35:S35)</f>
        <v>#REF!</v>
      </c>
    </row>
    <row r="37" spans="3:20" x14ac:dyDescent="0.25">
      <c r="C37" s="4" t="s">
        <v>76</v>
      </c>
    </row>
    <row r="38" spans="3:20" x14ac:dyDescent="0.25">
      <c r="C38" s="113" t="s">
        <v>73</v>
      </c>
      <c r="D38" s="111" t="s">
        <v>42</v>
      </c>
      <c r="E38" s="111" t="s">
        <v>43</v>
      </c>
      <c r="F38" s="111" t="s">
        <v>44</v>
      </c>
      <c r="G38" s="111" t="s">
        <v>45</v>
      </c>
      <c r="H38" s="111" t="s">
        <v>47</v>
      </c>
      <c r="I38" s="111" t="s">
        <v>48</v>
      </c>
      <c r="J38" s="111" t="s">
        <v>49</v>
      </c>
      <c r="K38" s="111" t="s">
        <v>50</v>
      </c>
      <c r="L38" s="111" t="s">
        <v>51</v>
      </c>
      <c r="M38" s="111" t="s">
        <v>52</v>
      </c>
      <c r="N38" s="111" t="s">
        <v>95</v>
      </c>
      <c r="O38" s="111" t="s">
        <v>96</v>
      </c>
      <c r="P38" s="111" t="s">
        <v>97</v>
      </c>
      <c r="Q38" s="111" t="s">
        <v>98</v>
      </c>
      <c r="R38" s="111" t="s">
        <v>99</v>
      </c>
      <c r="S38" s="111" t="s">
        <v>100</v>
      </c>
      <c r="T38" s="112" t="s">
        <v>68</v>
      </c>
    </row>
    <row r="39" spans="3:20" x14ac:dyDescent="0.25">
      <c r="C39" s="109" t="s">
        <v>75</v>
      </c>
      <c r="D39" s="106" t="e">
        <f>SUM('Budget by Task'!D56+'Budget by Task'!D58+'Budget by Task'!D60+'Budget by Task'!D62+'Budget by Task'!D64+'Budget by Task'!D66+'Budget by Task'!D68+'Budget by Task'!D70+'Budget by Task'!D72+'Budget by Task'!D74)*(1+'Base Period'!$D$149)*(1+'Base Period'!$D$153)</f>
        <v>#REF!</v>
      </c>
      <c r="E39" s="106" t="e">
        <f>SUM('Budget by Task'!F56:F74)*(1+'Base Period'!$D$149)*(1+'Base Period'!$D$153)</f>
        <v>#REF!</v>
      </c>
      <c r="F39" s="106" t="e">
        <f>SUM('Budget by Task'!H56:H74)*(1+'Base Period'!D149)*(1+'Base Period'!D153)</f>
        <v>#REF!</v>
      </c>
      <c r="G39" s="106" t="e">
        <f>SUM('Budget by Task'!J56:J74)*(1+'Base Period'!D149)*(1+'Base Period'!D153)</f>
        <v>#REF!</v>
      </c>
      <c r="H39" s="106" t="e">
        <f>SUM('Budget by Task'!H56+'Budget by Task'!H58+'Budget by Task'!H60+'Budget by Task'!H62+'Budget by Task'!H64+'Budget by Task'!H66+'Budget by Task'!H68+'Budget by Task'!H70+'Budget by Task'!H72+'Budget by Task'!H74)*(1+'Base Period'!$D$149)*(1+'Base Period'!$D$153)</f>
        <v>#REF!</v>
      </c>
      <c r="I39" s="106" t="e">
        <f>SUM('Budget by Task'!N56:N74)*(1+'Base Period'!D149)*(1+'Base Period'!D153)</f>
        <v>#REF!</v>
      </c>
      <c r="J39" s="106" t="e">
        <f>SUM('Budget by Task'!P56:P74)*(1+'Base Period'!D149)*(1+'Base Period'!D153)</f>
        <v>#REF!</v>
      </c>
      <c r="K39" s="106" t="e">
        <f>SUM('Budget by Task'!R56:R74)*(1+'Base Period'!$D$149)*(1+'Base Period'!$D$153)</f>
        <v>#REF!</v>
      </c>
      <c r="L39" s="106" t="e">
        <f>SUM('Budget by Task'!T56:T74)*(1+'Base Period'!$D$149)*(1+'Base Period'!$D$153)</f>
        <v>#REF!</v>
      </c>
      <c r="M39" s="106" t="e">
        <f>SUM('Budget by Task'!V56:V74)*(1+'Base Period'!$D$149)*(1+'Base Period'!$D$153)</f>
        <v>#REF!</v>
      </c>
      <c r="N39" s="106" t="e">
        <f>SUM('Budget by Task'!X56:X74)*(1+'Base Period'!$D$149)*(1+'Base Period'!$D$153)</f>
        <v>#REF!</v>
      </c>
      <c r="O39" s="106" t="e">
        <f>SUM('Budget by Task'!Z56:Z74)*(1+'Base Period'!$D$149)*(1+'Base Period'!$D$153)</f>
        <v>#REF!</v>
      </c>
      <c r="P39" s="106" t="e">
        <f>SUM('Budget by Task'!AB56:AB74)*(1+'Base Period'!$D$149)*(1+'Base Period'!$D$153)</f>
        <v>#REF!</v>
      </c>
      <c r="Q39" s="106" t="e">
        <f>SUM('Budget by Task'!AD56:AD74)*(1+'Base Period'!$D$149)*(1+'Base Period'!$D$153)</f>
        <v>#REF!</v>
      </c>
      <c r="R39" s="106" t="e">
        <f>SUM('Budget by Task'!AF56:AF74)*(1+'Base Period'!$D$149)*(1+'Base Period'!$D$153)</f>
        <v>#REF!</v>
      </c>
      <c r="S39" s="106" t="e">
        <f>SUM('Budget by Task'!AH56:AH74)*(1+'Base Period'!$D$149)*(1+'Base Period'!$D$153)</f>
        <v>#REF!</v>
      </c>
      <c r="T39" s="107" t="e">
        <f>SUM(D39:S39)</f>
        <v>#REF!</v>
      </c>
    </row>
    <row r="40" spans="3:20" x14ac:dyDescent="0.25">
      <c r="C40" s="109" t="s">
        <v>74</v>
      </c>
      <c r="D40" s="106" t="e">
        <f>SUM('Budget by Task'!D79:D91)*(1+'Base Period'!$D$149)*(1+'Base Period'!$D$153)</f>
        <v>#REF!</v>
      </c>
      <c r="E40" s="106" t="e">
        <f>SUM('Budget by Task'!F79:F91)*(1+'Base Period'!$D$149)*(1+'Base Period'!$D$153)</f>
        <v>#REF!</v>
      </c>
      <c r="F40" s="106" t="e">
        <f>SUM('Budget by Task'!H79:H91)*(1+'Base Period'!$D$149)*(1+'Base Period'!$D$153)</f>
        <v>#REF!</v>
      </c>
      <c r="G40" s="106" t="e">
        <f>SUM('Budget by Task'!J79:J91)*(1+'Base Period'!$D$149)*(1+'Base Period'!$D$153)</f>
        <v>#REF!</v>
      </c>
      <c r="H40" s="106" t="e">
        <f>SUM('Budget by Task'!L79:L91)*(1+'Base Period'!$D$149)*(1+'Base Period'!$D$153)</f>
        <v>#REF!</v>
      </c>
      <c r="I40" s="106" t="e">
        <f>SUM('Budget by Task'!N79:N91)*(1+'Base Period'!$D$149)*(1+'Base Period'!$D$153)</f>
        <v>#REF!</v>
      </c>
      <c r="J40" s="106" t="e">
        <f>SUM('Budget by Task'!P79:P91)*(1+'Base Period'!$D$149)*(1+'Base Period'!$D$153)</f>
        <v>#REF!</v>
      </c>
      <c r="K40" s="106" t="e">
        <f>SUM('Budget by Task'!R79:R91)*(1+'Base Period'!$D$149)*(1+'Base Period'!$D$153)</f>
        <v>#REF!</v>
      </c>
      <c r="L40" s="106" t="e">
        <f>SUM('Budget by Task'!T79:T91)*(1+'Base Period'!$D$149)*(1+'Base Period'!$D$153)</f>
        <v>#REF!</v>
      </c>
      <c r="M40" s="106" t="e">
        <f>SUM('Budget by Task'!V79:V91)*(1+'Base Period'!$D$149)*(1+'Base Period'!$D$153)</f>
        <v>#REF!</v>
      </c>
      <c r="N40" s="106" t="e">
        <f>SUM('Budget by Task'!X79:X91)*(1+'Base Period'!$D$149)*(1+'Base Period'!$D$153)</f>
        <v>#REF!</v>
      </c>
      <c r="O40" s="106" t="e">
        <f>SUM('Budget by Task'!Z79:Z91)*(1+'Base Period'!$D$149)*(1+'Base Period'!$D$153)</f>
        <v>#REF!</v>
      </c>
      <c r="P40" s="106" t="e">
        <f>SUM('Budget by Task'!AB79:AB91)*(1+'Base Period'!$D$149)*(1+'Base Period'!$D$153)</f>
        <v>#REF!</v>
      </c>
      <c r="Q40" s="106" t="e">
        <f>SUM('Budget by Task'!AD79:AD91)*(1+'Base Period'!$D$149)*(1+'Base Period'!$D$153)</f>
        <v>#REF!</v>
      </c>
      <c r="R40" s="106" t="e">
        <f>SUM('Budget by Task'!AF79:AF91)*(1+'Base Period'!$D$149)*(1+'Base Period'!$D$153)</f>
        <v>#REF!</v>
      </c>
      <c r="S40" s="106" t="e">
        <f>SUM('Budget by Task'!AH79:AH91)*(1+'Base Period'!$D$149)*(1+'Base Period'!$D$153)</f>
        <v>#REF!</v>
      </c>
      <c r="T40" s="107" t="e">
        <f>SUM(D40:S40)</f>
        <v>#REF!</v>
      </c>
    </row>
    <row r="41" spans="3:20" x14ac:dyDescent="0.25">
      <c r="C41" s="110" t="s">
        <v>68</v>
      </c>
      <c r="D41" s="107" t="e">
        <f>SUM(D39:D40)</f>
        <v>#REF!</v>
      </c>
      <c r="E41" s="107" t="e">
        <f t="shared" ref="E41:S41" si="2">SUM(E39:E40)</f>
        <v>#REF!</v>
      </c>
      <c r="F41" s="107" t="e">
        <f t="shared" si="2"/>
        <v>#REF!</v>
      </c>
      <c r="G41" s="107" t="e">
        <f t="shared" si="2"/>
        <v>#REF!</v>
      </c>
      <c r="H41" s="107" t="e">
        <f t="shared" si="2"/>
        <v>#REF!</v>
      </c>
      <c r="I41" s="107" t="e">
        <f t="shared" si="2"/>
        <v>#REF!</v>
      </c>
      <c r="J41" s="107" t="e">
        <f t="shared" si="2"/>
        <v>#REF!</v>
      </c>
      <c r="K41" s="107" t="e">
        <f t="shared" si="2"/>
        <v>#REF!</v>
      </c>
      <c r="L41" s="107" t="e">
        <f t="shared" si="2"/>
        <v>#REF!</v>
      </c>
      <c r="M41" s="107" t="e">
        <f t="shared" si="2"/>
        <v>#REF!</v>
      </c>
      <c r="N41" s="107" t="e">
        <f t="shared" si="2"/>
        <v>#REF!</v>
      </c>
      <c r="O41" s="107" t="e">
        <f t="shared" si="2"/>
        <v>#REF!</v>
      </c>
      <c r="P41" s="107" t="e">
        <f t="shared" si="2"/>
        <v>#REF!</v>
      </c>
      <c r="Q41" s="107" t="e">
        <f t="shared" si="2"/>
        <v>#REF!</v>
      </c>
      <c r="R41" s="107" t="e">
        <f t="shared" si="2"/>
        <v>#REF!</v>
      </c>
      <c r="S41" s="107" t="e">
        <f t="shared" si="2"/>
        <v>#REF!</v>
      </c>
      <c r="T41" s="107" t="e">
        <f>SUM(T39:T40)</f>
        <v>#REF!</v>
      </c>
    </row>
    <row r="43" spans="3:20" x14ac:dyDescent="0.25">
      <c r="T43" s="4"/>
    </row>
    <row r="44" spans="3:20" x14ac:dyDescent="0.25">
      <c r="C44" s="4" t="s">
        <v>55</v>
      </c>
    </row>
    <row r="45" spans="3:20" x14ac:dyDescent="0.25">
      <c r="C45" s="109" t="s">
        <v>64</v>
      </c>
      <c r="D45" s="111" t="s">
        <v>56</v>
      </c>
      <c r="E45" s="111" t="s">
        <v>57</v>
      </c>
      <c r="F45" s="111" t="s">
        <v>58</v>
      </c>
      <c r="G45" s="111" t="s">
        <v>59</v>
      </c>
      <c r="H45" s="111" t="s">
        <v>60</v>
      </c>
      <c r="I45" s="111" t="s">
        <v>61</v>
      </c>
      <c r="J45" s="111" t="s">
        <v>89</v>
      </c>
      <c r="K45" s="111" t="s">
        <v>90</v>
      </c>
      <c r="L45" s="111" t="s">
        <v>91</v>
      </c>
      <c r="M45" s="111" t="s">
        <v>92</v>
      </c>
      <c r="N45" s="112" t="s">
        <v>68</v>
      </c>
    </row>
    <row r="46" spans="3:20" x14ac:dyDescent="0.25">
      <c r="C46" s="109" t="str">
        <f>'Base Period'!B33</f>
        <v>Name</v>
      </c>
      <c r="D46" s="106">
        <f>'Budget by Period'!$E13*(1+'Base Period'!$D$153)*(1+'Base Period'!$D$68)*(1+'Base Period'!$D$71)*(1+'Base Period'!$D$149)</f>
        <v>176.44955328</v>
      </c>
      <c r="E46" s="106">
        <f>'Budget by Period'!$H13*(1+'Base Period'!$D$153)*(1+'Base Period'!$D$68)*(1+'Base Period'!$D$71)*(1+'Base Period'!$D$149)</f>
        <v>494.7990969600001</v>
      </c>
      <c r="F46" s="106" t="e">
        <f>'Budget by Period'!$K13*(1+'Base Period'!$D$153)*(1+'Base Period'!$D$68)*(1+'Base Period'!$D$71)*(1+'Base Period'!$D$149)</f>
        <v>#REF!</v>
      </c>
      <c r="G46" s="106" t="e">
        <f>'Budget by Period'!$N13*(1+'Base Period'!$D$153)*(1+'Base Period'!$D$68)*(1+'Base Period'!$D$71)*(1+'Base Period'!$D$149)</f>
        <v>#REF!</v>
      </c>
      <c r="H46" s="106" t="e">
        <f>'Budget by Period'!$Q13*(1+'Base Period'!$D$153)*(1+'Base Period'!$D$68)*(1+'Base Period'!$D$71)*(1+'Base Period'!$D$149)</f>
        <v>#REF!</v>
      </c>
      <c r="I46" s="106" t="e">
        <f>'Budget by Period'!$T13*(1+'Base Period'!$D$153)*(1+'Base Period'!$D$68)*(1+'Base Period'!$D$71)*(1+'Base Period'!$D$149)</f>
        <v>#REF!</v>
      </c>
      <c r="J46" s="106" t="e">
        <f>'Budget by Period'!$W13*(1+'Base Period'!$D$153)*(1+'Base Period'!$D$68)*(1+'Base Period'!$D$71)*(1+'Base Period'!$D$149)</f>
        <v>#REF!</v>
      </c>
      <c r="K46" s="106" t="e">
        <f>'Budget by Period'!$Z13*(1+'Base Period'!$D$153)*(1+'Base Period'!$D$68)*(1+'Base Period'!$D$71)*(1+'Base Period'!$D$149)</f>
        <v>#REF!</v>
      </c>
      <c r="L46" s="106" t="e">
        <f>'Budget by Period'!$AC13*(1+'Base Period'!$D$153)*(1+'Base Period'!$D$68)*(1+'Base Period'!$D$71)*(1+'Base Period'!$D$149)</f>
        <v>#REF!</v>
      </c>
      <c r="M46" s="106" t="e">
        <f>'Budget by Period'!$AF13*(1+'Base Period'!$D$153)*(1+'Base Period'!$D$68)*(1+'Base Period'!$D$71)*(1+'Base Period'!$D$149)</f>
        <v>#REF!</v>
      </c>
      <c r="N46" s="107" t="e">
        <f>SUM(D46:M46)</f>
        <v>#REF!</v>
      </c>
    </row>
    <row r="47" spans="3:20" x14ac:dyDescent="0.25">
      <c r="C47" s="109" t="str">
        <f>'Base Period'!B34</f>
        <v>Name</v>
      </c>
      <c r="D47" s="106">
        <f>'Budget by Period'!$E14*(1+'Base Period'!$D$153)*(1+'Base Period'!$D$68)*(1+'Base Period'!$D$71)*(1+'Base Period'!$D$149)</f>
        <v>190.02259584000004</v>
      </c>
      <c r="E47" s="106">
        <f>'Budget by Period'!$H14*(1+'Base Period'!$D$153)*(1+'Base Period'!$D$68)*(1+'Base Period'!$D$71)*(1+'Base Period'!$D$149)</f>
        <v>531.81648576000009</v>
      </c>
      <c r="F47" s="106" t="e">
        <f>'Budget by Period'!$K14*(1+'Base Period'!$D$153)*(1+'Base Period'!$D$68)*(1+'Base Period'!$D$71)*(1+'Base Period'!$D$149)</f>
        <v>#REF!</v>
      </c>
      <c r="G47" s="106" t="e">
        <f>'Budget by Period'!$N14*(1+'Base Period'!$D$153)*(1+'Base Period'!$D$68)*(1+'Base Period'!$D$71)*(1+'Base Period'!$D$149)</f>
        <v>#REF!</v>
      </c>
      <c r="H47" s="106" t="e">
        <f>'Budget by Period'!$Q14*(1+'Base Period'!$D$153)*(1+'Base Period'!$D$68)*(1+'Base Period'!$D$71)*(1+'Base Period'!$D$149)</f>
        <v>#REF!</v>
      </c>
      <c r="I47" s="106" t="e">
        <f>'Budget by Period'!$T14*(1+'Base Period'!$D$153)*(1+'Base Period'!$D$68)*(1+'Base Period'!$D$71)*(1+'Base Period'!$D$149)</f>
        <v>#REF!</v>
      </c>
      <c r="J47" s="106" t="e">
        <f>'Budget by Period'!$W14*(1+'Base Period'!$D$153)*(1+'Base Period'!$D$68)*(1+'Base Period'!$D$71)*(1+'Base Period'!$D$149)</f>
        <v>#REF!</v>
      </c>
      <c r="K47" s="106" t="e">
        <f>'Budget by Period'!$Z14*(1+'Base Period'!$D$153)*(1+'Base Period'!$D$68)*(1+'Base Period'!$D$71)*(1+'Base Period'!$D$149)</f>
        <v>#REF!</v>
      </c>
      <c r="L47" s="106" t="e">
        <f>'Budget by Period'!$AC14*(1+'Base Period'!$D$153)*(1+'Base Period'!$D$68)*(1+'Base Period'!$D$71)*(1+'Base Period'!$D$149)</f>
        <v>#REF!</v>
      </c>
      <c r="M47" s="106" t="e">
        <f>'Budget by Period'!$AF14*(1+'Base Period'!$D$153)*(1+'Base Period'!$D$68)*(1+'Base Period'!$D$71)*(1+'Base Period'!$D$149)</f>
        <v>#REF!</v>
      </c>
      <c r="N47" s="107" t="e">
        <f t="shared" ref="N47:N75" si="3">SUM(D47:M47)</f>
        <v>#REF!</v>
      </c>
    </row>
    <row r="48" spans="3:20" x14ac:dyDescent="0.25">
      <c r="C48" s="109" t="str">
        <f>'Base Period'!B35</f>
        <v>Name</v>
      </c>
      <c r="D48" s="106">
        <f>'Budget by Period'!$E15*(1+'Base Period'!$D$153)*(1+'Base Period'!$D$68)*(1+'Base Period'!$D$71)*(1+'Base Period'!$D$149)</f>
        <v>203.59563840000007</v>
      </c>
      <c r="E48" s="106">
        <f>'Budget by Period'!$H15*(1+'Base Period'!$D$153)*(1+'Base Period'!$D$68)*(1+'Base Period'!$D$71)*(1+'Base Period'!$D$149)</f>
        <v>568.83387456000014</v>
      </c>
      <c r="F48" s="106" t="e">
        <f>'Budget by Period'!$K15*(1+'Base Period'!$D$153)*(1+'Base Period'!$D$68)*(1+'Base Period'!$D$71)*(1+'Base Period'!$D$149)</f>
        <v>#REF!</v>
      </c>
      <c r="G48" s="106" t="e">
        <f>'Budget by Period'!$N15*(1+'Base Period'!$D$153)*(1+'Base Period'!$D$68)*(1+'Base Period'!$D$71)*(1+'Base Period'!$D$149)</f>
        <v>#REF!</v>
      </c>
      <c r="H48" s="106" t="e">
        <f>'Budget by Period'!$Q15*(1+'Base Period'!$D$153)*(1+'Base Period'!$D$68)*(1+'Base Period'!$D$71)*(1+'Base Period'!$D$149)</f>
        <v>#REF!</v>
      </c>
      <c r="I48" s="106" t="e">
        <f>'Budget by Period'!$T15*(1+'Base Period'!$D$153)*(1+'Base Period'!$D$68)*(1+'Base Period'!$D$71)*(1+'Base Period'!$D$149)</f>
        <v>#REF!</v>
      </c>
      <c r="J48" s="106" t="e">
        <f>'Budget by Period'!$W15*(1+'Base Period'!$D$153)*(1+'Base Period'!$D$68)*(1+'Base Period'!$D$71)*(1+'Base Period'!$D$149)</f>
        <v>#REF!</v>
      </c>
      <c r="K48" s="106" t="e">
        <f>'Budget by Period'!$Z15*(1+'Base Period'!$D$153)*(1+'Base Period'!$D$68)*(1+'Base Period'!$D$71)*(1+'Base Period'!$D$149)</f>
        <v>#REF!</v>
      </c>
      <c r="L48" s="106" t="e">
        <f>'Budget by Period'!$AC15*(1+'Base Period'!$D$153)*(1+'Base Period'!$D$68)*(1+'Base Period'!$D$71)*(1+'Base Period'!$D$149)</f>
        <v>#REF!</v>
      </c>
      <c r="M48" s="106" t="e">
        <f>'Budget by Period'!$AF15*(1+'Base Period'!$D$153)*(1+'Base Period'!$D$68)*(1+'Base Period'!$D$71)*(1+'Base Period'!$D$149)</f>
        <v>#REF!</v>
      </c>
      <c r="N48" s="107" t="e">
        <f t="shared" si="3"/>
        <v>#REF!</v>
      </c>
    </row>
    <row r="49" spans="3:14" x14ac:dyDescent="0.25">
      <c r="C49" s="109" t="str">
        <f>'Base Period'!B36</f>
        <v>Name</v>
      </c>
      <c r="D49" s="106">
        <f>'Budget by Period'!$E16*(1+'Base Period'!$D$153)*(1+'Base Period'!$D$68)*(1+'Base Period'!$D$71)*(1+'Base Period'!$D$149)</f>
        <v>256.65389568000006</v>
      </c>
      <c r="E49" s="106">
        <f>'Budget by Period'!$H16*(1+'Base Period'!$D$153)*(1+'Base Period'!$D$68)*(1+'Base Period'!$D$71)*(1+'Base Period'!$D$149)</f>
        <v>607.08517632000007</v>
      </c>
      <c r="F49" s="106" t="e">
        <f>'Budget by Period'!$K16*(1+'Base Period'!$D$153)*(1+'Base Period'!$D$68)*(1+'Base Period'!$D$71)*(1+'Base Period'!$D$149)</f>
        <v>#REF!</v>
      </c>
      <c r="G49" s="106" t="e">
        <f>'Budget by Period'!$N16*(1+'Base Period'!$D$153)*(1+'Base Period'!$D$68)*(1+'Base Period'!$D$71)*(1+'Base Period'!$D$149)</f>
        <v>#REF!</v>
      </c>
      <c r="H49" s="106" t="e">
        <f>'Budget by Period'!$Q16*(1+'Base Period'!$D$153)*(1+'Base Period'!$D$68)*(1+'Base Period'!$D$71)*(1+'Base Period'!$D$149)</f>
        <v>#REF!</v>
      </c>
      <c r="I49" s="106" t="e">
        <f>'Budget by Period'!$T16*(1+'Base Period'!$D$153)*(1+'Base Period'!$D$68)*(1+'Base Period'!$D$71)*(1+'Base Period'!$D$149)</f>
        <v>#REF!</v>
      </c>
      <c r="J49" s="106" t="e">
        <f>'Budget by Period'!$W16*(1+'Base Period'!$D$153)*(1+'Base Period'!$D$68)*(1+'Base Period'!$D$71)*(1+'Base Period'!$D$149)</f>
        <v>#REF!</v>
      </c>
      <c r="K49" s="106" t="e">
        <f>'Budget by Period'!$Z16*(1+'Base Period'!$D$153)*(1+'Base Period'!$D$68)*(1+'Base Period'!$D$71)*(1+'Base Period'!$D$149)</f>
        <v>#REF!</v>
      </c>
      <c r="L49" s="106" t="e">
        <f>'Budget by Period'!$AC16*(1+'Base Period'!$D$153)*(1+'Base Period'!$D$68)*(1+'Base Period'!$D$71)*(1+'Base Period'!$D$149)</f>
        <v>#REF!</v>
      </c>
      <c r="M49" s="106" t="e">
        <f>'Budget by Period'!$AF16*(1+'Base Period'!$D$153)*(1+'Base Period'!$D$68)*(1+'Base Period'!$D$71)*(1+'Base Period'!$D$149)</f>
        <v>#REF!</v>
      </c>
      <c r="N49" s="107" t="e">
        <f t="shared" si="3"/>
        <v>#REF!</v>
      </c>
    </row>
    <row r="50" spans="3:14" x14ac:dyDescent="0.25">
      <c r="C50" s="109" t="str">
        <f>'Base Period'!B37</f>
        <v>Name</v>
      </c>
      <c r="D50" s="106">
        <f>'Budget by Period'!$E17*(1+'Base Period'!$D$153)*(1+'Base Period'!$D$68)*(1+'Base Period'!$D$71)*(1+'Base Period'!$D$149)</f>
        <v>230.74172352000002</v>
      </c>
      <c r="E50" s="106">
        <f>'Budget by Period'!$H17*(1+'Base Period'!$D$153)*(1+'Base Period'!$D$68)*(1+'Base Period'!$D$71)*(1+'Base Period'!$D$149)</f>
        <v>642.86865216000024</v>
      </c>
      <c r="F50" s="106" t="e">
        <f>'Budget by Period'!$K17*(1+'Base Period'!$D$153)*(1+'Base Period'!$D$68)*(1+'Base Period'!$D$71)*(1+'Base Period'!$D$149)</f>
        <v>#REF!</v>
      </c>
      <c r="G50" s="106" t="e">
        <f>'Budget by Period'!$N17*(1+'Base Period'!$D$153)*(1+'Base Period'!$D$68)*(1+'Base Period'!$D$71)*(1+'Base Period'!$D$149)</f>
        <v>#REF!</v>
      </c>
      <c r="H50" s="106" t="e">
        <f>'Budget by Period'!$Q17*(1+'Base Period'!$D$153)*(1+'Base Period'!$D$68)*(1+'Base Period'!$D$71)*(1+'Base Period'!$D$149)</f>
        <v>#REF!</v>
      </c>
      <c r="I50" s="106" t="e">
        <f>'Budget by Period'!$T17*(1+'Base Period'!$D$153)*(1+'Base Period'!$D$68)*(1+'Base Period'!$D$71)*(1+'Base Period'!$D$149)</f>
        <v>#REF!</v>
      </c>
      <c r="J50" s="106" t="e">
        <f>'Budget by Period'!$W17*(1+'Base Period'!$D$153)*(1+'Base Period'!$D$68)*(1+'Base Period'!$D$71)*(1+'Base Period'!$D$149)</f>
        <v>#REF!</v>
      </c>
      <c r="K50" s="106" t="e">
        <f>'Budget by Period'!$Z17*(1+'Base Period'!$D$153)*(1+'Base Period'!$D$68)*(1+'Base Period'!$D$71)*(1+'Base Period'!$D$149)</f>
        <v>#REF!</v>
      </c>
      <c r="L50" s="106" t="e">
        <f>'Budget by Period'!$AC17*(1+'Base Period'!$D$153)*(1+'Base Period'!$D$68)*(1+'Base Period'!$D$71)*(1+'Base Period'!$D$149)</f>
        <v>#REF!</v>
      </c>
      <c r="M50" s="106" t="e">
        <f>'Budget by Period'!$AF17*(1+'Base Period'!$D$153)*(1+'Base Period'!$D$68)*(1+'Base Period'!$D$71)*(1+'Base Period'!$D$149)</f>
        <v>#REF!</v>
      </c>
      <c r="N50" s="107" t="e">
        <f t="shared" si="3"/>
        <v>#REF!</v>
      </c>
    </row>
    <row r="51" spans="3:14" x14ac:dyDescent="0.25">
      <c r="C51" s="109" t="str">
        <f>'Base Period'!B38</f>
        <v>Name</v>
      </c>
      <c r="D51" s="106">
        <f>'Budget by Period'!$E18*(1+'Base Period'!$D$153)*(1+'Base Period'!$D$68)*(1+'Base Period'!$D$71)*(1+'Base Period'!$D$149)</f>
        <v>0</v>
      </c>
      <c r="E51" s="106">
        <f>'Budget by Period'!$H18*(1+'Base Period'!$D$153)*(1+'Base Period'!$D$68)*(1+'Base Period'!$D$71)*(1+'Base Period'!$D$149)</f>
        <v>753.92081856000004</v>
      </c>
      <c r="F51" s="106" t="e">
        <f>'Budget by Period'!$K18*(1+'Base Period'!$D$153)*(1+'Base Period'!$D$68)*(1+'Base Period'!$D$71)*(1+'Base Period'!$D$149)</f>
        <v>#REF!</v>
      </c>
      <c r="G51" s="106" t="e">
        <f>'Budget by Period'!$N18*(1+'Base Period'!$D$153)*(1+'Base Period'!$D$68)*(1+'Base Period'!$D$71)*(1+'Base Period'!$D$149)</f>
        <v>#REF!</v>
      </c>
      <c r="H51" s="106" t="e">
        <f>'Budget by Period'!$Q18*(1+'Base Period'!$D$153)*(1+'Base Period'!$D$68)*(1+'Base Period'!$D$71)*(1+'Base Period'!$D$149)</f>
        <v>#REF!</v>
      </c>
      <c r="I51" s="106" t="e">
        <f>'Budget by Period'!$T18*(1+'Base Period'!$D$153)*(1+'Base Period'!$D$68)*(1+'Base Period'!$D$71)*(1+'Base Period'!$D$149)</f>
        <v>#REF!</v>
      </c>
      <c r="J51" s="106" t="e">
        <f>'Budget by Period'!$W18*(1+'Base Period'!$D$153)*(1+'Base Period'!$D$68)*(1+'Base Period'!$D$71)*(1+'Base Period'!$D$149)</f>
        <v>#REF!</v>
      </c>
      <c r="K51" s="106" t="e">
        <f>'Budget by Period'!$Z18*(1+'Base Period'!$D$153)*(1+'Base Period'!$D$68)*(1+'Base Period'!$D$71)*(1+'Base Period'!$D$149)</f>
        <v>#REF!</v>
      </c>
      <c r="L51" s="106" t="e">
        <f>'Budget by Period'!$AC18*(1+'Base Period'!$D$153)*(1+'Base Period'!$D$68)*(1+'Base Period'!$D$71)*(1+'Base Period'!$D$149)</f>
        <v>#REF!</v>
      </c>
      <c r="M51" s="106" t="e">
        <f>'Budget by Period'!$AF18*(1+'Base Period'!$D$153)*(1+'Base Period'!$D$68)*(1+'Base Period'!$D$71)*(1+'Base Period'!$D$149)</f>
        <v>#REF!</v>
      </c>
      <c r="N51" s="107" t="e">
        <f t="shared" si="3"/>
        <v>#REF!</v>
      </c>
    </row>
    <row r="52" spans="3:14" x14ac:dyDescent="0.25">
      <c r="C52" s="109" t="str">
        <f>'Base Period'!B39</f>
        <v>Name</v>
      </c>
      <c r="D52" s="106">
        <f>'Budget by Period'!$E19*(1+'Base Period'!$D$153)*(1+'Base Period'!$D$68)*(1+'Base Period'!$D$71)*(1+'Base Period'!$D$149)</f>
        <v>0</v>
      </c>
      <c r="E52" s="106">
        <f>'Budget by Period'!$H19*(1+'Base Period'!$D$153)*(1+'Base Period'!$D$68)*(1+'Base Period'!$D$71)*(1+'Base Period'!$D$149)</f>
        <v>0</v>
      </c>
      <c r="F52" s="106" t="e">
        <f>'Budget by Period'!$K19*(1+'Base Period'!$D$153)*(1+'Base Period'!$D$68)*(1+'Base Period'!$D$71)*(1+'Base Period'!$D$149)</f>
        <v>#REF!</v>
      </c>
      <c r="G52" s="106" t="e">
        <f>'Budget by Period'!$N19*(1+'Base Period'!$D$153)*(1+'Base Period'!$D$68)*(1+'Base Period'!$D$71)*(1+'Base Period'!$D$149)</f>
        <v>#REF!</v>
      </c>
      <c r="H52" s="106" t="e">
        <f>'Budget by Period'!$Q19*(1+'Base Period'!$D$153)*(1+'Base Period'!$D$68)*(1+'Base Period'!$D$71)*(1+'Base Period'!$D$149)</f>
        <v>#REF!</v>
      </c>
      <c r="I52" s="106" t="e">
        <f>'Budget by Period'!$T19*(1+'Base Period'!$D$153)*(1+'Base Period'!$D$68)*(1+'Base Period'!$D$71)*(1+'Base Period'!$D$149)</f>
        <v>#REF!</v>
      </c>
      <c r="J52" s="106" t="e">
        <f>'Budget by Period'!$W19*(1+'Base Period'!$D$153)*(1+'Base Period'!$D$68)*(1+'Base Period'!$D$71)*(1+'Base Period'!$D$149)</f>
        <v>#REF!</v>
      </c>
      <c r="K52" s="106" t="e">
        <f>'Budget by Period'!$Z19*(1+'Base Period'!$D$153)*(1+'Base Period'!$D$68)*(1+'Base Period'!$D$71)*(1+'Base Period'!$D$149)</f>
        <v>#REF!</v>
      </c>
      <c r="L52" s="106" t="e">
        <f>'Budget by Period'!$AC19*(1+'Base Period'!$D$153)*(1+'Base Period'!$D$68)*(1+'Base Period'!$D$71)*(1+'Base Period'!$D$149)</f>
        <v>#REF!</v>
      </c>
      <c r="M52" s="106" t="e">
        <f>'Budget by Period'!$AF19*(1+'Base Period'!$D$153)*(1+'Base Period'!$D$68)*(1+'Base Period'!$D$71)*(1+'Base Period'!$D$149)</f>
        <v>#REF!</v>
      </c>
      <c r="N52" s="107" t="e">
        <f t="shared" si="3"/>
        <v>#REF!</v>
      </c>
    </row>
    <row r="53" spans="3:14" x14ac:dyDescent="0.25">
      <c r="C53" s="109" t="str">
        <f>'Base Period'!B40</f>
        <v>Name</v>
      </c>
      <c r="D53" s="106">
        <f>'Budget by Period'!$E20*(1+'Base Period'!$D$153)*(1+'Base Period'!$D$68)*(1+'Base Period'!$D$71)*(1+'Base Period'!$D$149)</f>
        <v>0</v>
      </c>
      <c r="E53" s="106">
        <f>'Budget by Period'!$H20*(1+'Base Period'!$D$153)*(1+'Base Period'!$D$68)*(1+'Base Period'!$D$71)*(1+'Base Period'!$D$149)</f>
        <v>0</v>
      </c>
      <c r="F53" s="106" t="e">
        <f>'Budget by Period'!$K20*(1+'Base Period'!$D$153)*(1+'Base Period'!$D$68)*(1+'Base Period'!$D$71)*(1+'Base Period'!$D$149)</f>
        <v>#REF!</v>
      </c>
      <c r="G53" s="106" t="e">
        <f>'Budget by Period'!$N20*(1+'Base Period'!$D$153)*(1+'Base Period'!$D$68)*(1+'Base Period'!$D$71)*(1+'Base Period'!$D$149)</f>
        <v>#REF!</v>
      </c>
      <c r="H53" s="106" t="e">
        <f>'Budget by Period'!$Q20*(1+'Base Period'!$D$153)*(1+'Base Period'!$D$68)*(1+'Base Period'!$D$71)*(1+'Base Period'!$D$149)</f>
        <v>#REF!</v>
      </c>
      <c r="I53" s="106" t="e">
        <f>'Budget by Period'!$T20*(1+'Base Period'!$D$153)*(1+'Base Period'!$D$68)*(1+'Base Period'!$D$71)*(1+'Base Period'!$D$149)</f>
        <v>#REF!</v>
      </c>
      <c r="J53" s="106" t="e">
        <f>'Budget by Period'!$W20*(1+'Base Period'!$D$153)*(1+'Base Period'!$D$68)*(1+'Base Period'!$D$71)*(1+'Base Period'!$D$149)</f>
        <v>#REF!</v>
      </c>
      <c r="K53" s="106" t="e">
        <f>'Budget by Period'!$Z20*(1+'Base Period'!$D$153)*(1+'Base Period'!$D$68)*(1+'Base Period'!$D$71)*(1+'Base Period'!$D$149)</f>
        <v>#REF!</v>
      </c>
      <c r="L53" s="106" t="e">
        <f>'Budget by Period'!$AC20*(1+'Base Period'!$D$153)*(1+'Base Period'!$D$68)*(1+'Base Period'!$D$71)*(1+'Base Period'!$D$149)</f>
        <v>#REF!</v>
      </c>
      <c r="M53" s="106" t="e">
        <f>'Budget by Period'!$AF20*(1+'Base Period'!$D$153)*(1+'Base Period'!$D$68)*(1+'Base Period'!$D$71)*(1+'Base Period'!$D$149)</f>
        <v>#REF!</v>
      </c>
      <c r="N53" s="107" t="e">
        <f t="shared" si="3"/>
        <v>#REF!</v>
      </c>
    </row>
    <row r="54" spans="3:14" x14ac:dyDescent="0.25">
      <c r="C54" s="109" t="str">
        <f>'Base Period'!B41</f>
        <v>Name</v>
      </c>
      <c r="D54" s="106">
        <f>'Budget by Period'!$E21*(1+'Base Period'!$D$153)*(1+'Base Period'!$D$68)*(1+'Base Period'!$D$71)*(1+'Base Period'!$D$149)</f>
        <v>0</v>
      </c>
      <c r="E54" s="106">
        <f>'Budget by Period'!$H21*(1+'Base Period'!$D$153)*(1+'Base Period'!$D$68)*(1+'Base Period'!$D$71)*(1+'Base Period'!$D$149)</f>
        <v>0</v>
      </c>
      <c r="F54" s="106" t="e">
        <f>'Budget by Period'!$K21*(1+'Base Period'!$D$153)*(1+'Base Period'!$D$68)*(1+'Base Period'!$D$71)*(1+'Base Period'!$D$149)</f>
        <v>#REF!</v>
      </c>
      <c r="G54" s="106" t="e">
        <f>'Budget by Period'!$N21*(1+'Base Period'!$D$153)*(1+'Base Period'!$D$68)*(1+'Base Period'!$D$71)*(1+'Base Period'!$D$149)</f>
        <v>#REF!</v>
      </c>
      <c r="H54" s="106" t="e">
        <f>'Budget by Period'!$Q21*(1+'Base Period'!$D$153)*(1+'Base Period'!$D$68)*(1+'Base Period'!$D$71)*(1+'Base Period'!$D$149)</f>
        <v>#REF!</v>
      </c>
      <c r="I54" s="106" t="e">
        <f>'Budget by Period'!$T21*(1+'Base Period'!$D$153)*(1+'Base Period'!$D$68)*(1+'Base Period'!$D$71)*(1+'Base Period'!$D$149)</f>
        <v>#REF!</v>
      </c>
      <c r="J54" s="106" t="e">
        <f>'Budget by Period'!$W21*(1+'Base Period'!$D$153)*(1+'Base Period'!$D$68)*(1+'Base Period'!$D$71)*(1+'Base Period'!$D$149)</f>
        <v>#REF!</v>
      </c>
      <c r="K54" s="106" t="e">
        <f>'Budget by Period'!$Z21*(1+'Base Period'!$D$153)*(1+'Base Period'!$D$68)*(1+'Base Period'!$D$71)*(1+'Base Period'!$D$149)</f>
        <v>#REF!</v>
      </c>
      <c r="L54" s="106" t="e">
        <f>'Budget by Period'!$AC21*(1+'Base Period'!$D$153)*(1+'Base Period'!$D$68)*(1+'Base Period'!$D$71)*(1+'Base Period'!$D$149)</f>
        <v>#REF!</v>
      </c>
      <c r="M54" s="106" t="e">
        <f>'Budget by Period'!$AF21*(1+'Base Period'!$D$153)*(1+'Base Period'!$D$68)*(1+'Base Period'!$D$71)*(1+'Base Period'!$D$149)</f>
        <v>#REF!</v>
      </c>
      <c r="N54" s="107" t="e">
        <f t="shared" si="3"/>
        <v>#REF!</v>
      </c>
    </row>
    <row r="55" spans="3:14" x14ac:dyDescent="0.25">
      <c r="C55" s="109" t="str">
        <f>'Base Period'!B42</f>
        <v>Name</v>
      </c>
      <c r="D55" s="106">
        <f>'Budget by Period'!$E22*(1+'Base Period'!$D$153)*(1+'Base Period'!$D$68)*(1+'Base Period'!$D$71)*(1+'Base Period'!$D$149)</f>
        <v>0</v>
      </c>
      <c r="E55" s="106">
        <f>'Budget by Period'!$H22*(1+'Base Period'!$D$153)*(1+'Base Period'!$D$68)*(1+'Base Period'!$D$71)*(1+'Base Period'!$D$149)</f>
        <v>0</v>
      </c>
      <c r="F55" s="106" t="e">
        <f>'Budget by Period'!$K22*(1+'Base Period'!$D$153)*(1+'Base Period'!$D$68)*(1+'Base Period'!$D$71)*(1+'Base Period'!$D$149)</f>
        <v>#REF!</v>
      </c>
      <c r="G55" s="106" t="e">
        <f>'Budget by Period'!$N22*(1+'Base Period'!$D$153)*(1+'Base Period'!$D$68)*(1+'Base Period'!$D$71)*(1+'Base Period'!$D$149)</f>
        <v>#REF!</v>
      </c>
      <c r="H55" s="106" t="e">
        <f>'Budget by Period'!$Q22*(1+'Base Period'!$D$153)*(1+'Base Period'!$D$68)*(1+'Base Period'!$D$71)*(1+'Base Period'!$D$149)</f>
        <v>#REF!</v>
      </c>
      <c r="I55" s="106" t="e">
        <f>'Budget by Period'!$T22*(1+'Base Period'!$D$153)*(1+'Base Period'!$D$68)*(1+'Base Period'!$D$71)*(1+'Base Period'!$D$149)</f>
        <v>#REF!</v>
      </c>
      <c r="J55" s="106" t="e">
        <f>'Budget by Period'!$W22*(1+'Base Period'!$D$153)*(1+'Base Period'!$D$68)*(1+'Base Period'!$D$71)*(1+'Base Period'!$D$149)</f>
        <v>#REF!</v>
      </c>
      <c r="K55" s="106" t="e">
        <f>'Budget by Period'!$Z22*(1+'Base Period'!$D$153)*(1+'Base Period'!$D$68)*(1+'Base Period'!$D$71)*(1+'Base Period'!$D$149)</f>
        <v>#REF!</v>
      </c>
      <c r="L55" s="106" t="e">
        <f>'Budget by Period'!$AC22*(1+'Base Period'!$D$153)*(1+'Base Period'!$D$68)*(1+'Base Period'!$D$71)*(1+'Base Period'!$D$149)</f>
        <v>#REF!</v>
      </c>
      <c r="M55" s="106" t="e">
        <f>'Budget by Period'!$AF22*(1+'Base Period'!$D$153)*(1+'Base Period'!$D$68)*(1+'Base Period'!$D$71)*(1+'Base Period'!$D$149)</f>
        <v>#REF!</v>
      </c>
      <c r="N55" s="107" t="e">
        <f t="shared" si="3"/>
        <v>#REF!</v>
      </c>
    </row>
    <row r="56" spans="3:14" x14ac:dyDescent="0.25">
      <c r="C56" s="109" t="str">
        <f>'Base Period'!B43</f>
        <v>Name</v>
      </c>
      <c r="D56" s="106">
        <f>'Budget by Period'!$E23*(1+'Base Period'!$D$153)*(1+'Base Period'!$D$68)*(1+'Base Period'!$D$71)*(1+'Base Period'!$D$149)</f>
        <v>0</v>
      </c>
      <c r="E56" s="106">
        <f>'Budget by Period'!$H23*(1+'Base Period'!$D$153)*(1+'Base Period'!$D$68)*(1+'Base Period'!$D$71)*(1+'Base Period'!$D$149)</f>
        <v>0</v>
      </c>
      <c r="F56" s="106" t="e">
        <f>'Budget by Period'!$K23*(1+'Base Period'!$D$153)*(1+'Base Period'!$D$68)*(1+'Base Period'!$D$71)*(1+'Base Period'!$D$149)</f>
        <v>#REF!</v>
      </c>
      <c r="G56" s="106" t="e">
        <f>'Budget by Period'!$N23*(1+'Base Period'!$D$153)*(1+'Base Period'!$D$68)*(1+'Base Period'!$D$71)*(1+'Base Period'!$D$149)</f>
        <v>#REF!</v>
      </c>
      <c r="H56" s="106" t="e">
        <f>'Budget by Period'!$Q23*(1+'Base Period'!$D$153)*(1+'Base Period'!$D$68)*(1+'Base Period'!$D$71)*(1+'Base Period'!$D$149)</f>
        <v>#REF!</v>
      </c>
      <c r="I56" s="106" t="e">
        <f>'Budget by Period'!$T23*(1+'Base Period'!$D$153)*(1+'Base Period'!$D$68)*(1+'Base Period'!$D$71)*(1+'Base Period'!$D$149)</f>
        <v>#REF!</v>
      </c>
      <c r="J56" s="106" t="e">
        <f>'Budget by Period'!$W23*(1+'Base Period'!$D$153)*(1+'Base Period'!$D$68)*(1+'Base Period'!$D$71)*(1+'Base Period'!$D$149)</f>
        <v>#REF!</v>
      </c>
      <c r="K56" s="106" t="e">
        <f>'Budget by Period'!$Z23*(1+'Base Period'!$D$153)*(1+'Base Period'!$D$68)*(1+'Base Period'!$D$71)*(1+'Base Period'!$D$149)</f>
        <v>#REF!</v>
      </c>
      <c r="L56" s="106" t="e">
        <f>'Budget by Period'!$AC23*(1+'Base Period'!$D$153)*(1+'Base Period'!$D$68)*(1+'Base Period'!$D$71)*(1+'Base Period'!$D$149)</f>
        <v>#REF!</v>
      </c>
      <c r="M56" s="106" t="e">
        <f>'Budget by Period'!$AF23*(1+'Base Period'!$D$153)*(1+'Base Period'!$D$68)*(1+'Base Period'!$D$71)*(1+'Base Period'!$D$149)</f>
        <v>#REF!</v>
      </c>
      <c r="N56" s="107" t="e">
        <f t="shared" si="3"/>
        <v>#REF!</v>
      </c>
    </row>
    <row r="57" spans="3:14" x14ac:dyDescent="0.25">
      <c r="C57" s="109" t="str">
        <f>'Base Period'!B44</f>
        <v>Name</v>
      </c>
      <c r="D57" s="106">
        <f>'Budget by Period'!$E24*(1+'Base Period'!$D$153)*(1+'Base Period'!$D$68)*(1+'Base Period'!$D$71)*(1+'Base Period'!$D$149)</f>
        <v>0</v>
      </c>
      <c r="E57" s="106">
        <f>'Budget by Period'!$H24*(1+'Base Period'!$D$153)*(1+'Base Period'!$D$68)*(1+'Base Period'!$D$71)*(1+'Base Period'!$D$149)</f>
        <v>0</v>
      </c>
      <c r="F57" s="106" t="e">
        <f>'Budget by Period'!$K24*(1+'Base Period'!$D$153)*(1+'Base Period'!$D$68)*(1+'Base Period'!$D$71)*(1+'Base Period'!$D$149)</f>
        <v>#REF!</v>
      </c>
      <c r="G57" s="106" t="e">
        <f>'Budget by Period'!$N24*(1+'Base Period'!$D$153)*(1+'Base Period'!$D$68)*(1+'Base Period'!$D$71)*(1+'Base Period'!$D$149)</f>
        <v>#REF!</v>
      </c>
      <c r="H57" s="106" t="e">
        <f>'Budget by Period'!$Q24*(1+'Base Period'!$D$153)*(1+'Base Period'!$D$68)*(1+'Base Period'!$D$71)*(1+'Base Period'!$D$149)</f>
        <v>#REF!</v>
      </c>
      <c r="I57" s="106" t="e">
        <f>'Budget by Period'!$T24*(1+'Base Period'!$D$153)*(1+'Base Period'!$D$68)*(1+'Base Period'!$D$71)*(1+'Base Period'!$D$149)</f>
        <v>#REF!</v>
      </c>
      <c r="J57" s="106" t="e">
        <f>'Budget by Period'!$W24*(1+'Base Period'!$D$153)*(1+'Base Period'!$D$68)*(1+'Base Period'!$D$71)*(1+'Base Period'!$D$149)</f>
        <v>#REF!</v>
      </c>
      <c r="K57" s="106" t="e">
        <f>'Budget by Period'!$Z24*(1+'Base Period'!$D$153)*(1+'Base Period'!$D$68)*(1+'Base Period'!$D$71)*(1+'Base Period'!$D$149)</f>
        <v>#REF!</v>
      </c>
      <c r="L57" s="106" t="e">
        <f>'Budget by Period'!$AC24*(1+'Base Period'!$D$153)*(1+'Base Period'!$D$68)*(1+'Base Period'!$D$71)*(1+'Base Period'!$D$149)</f>
        <v>#REF!</v>
      </c>
      <c r="M57" s="106" t="e">
        <f>'Budget by Period'!$AF24*(1+'Base Period'!$D$153)*(1+'Base Period'!$D$68)*(1+'Base Period'!$D$71)*(1+'Base Period'!$D$149)</f>
        <v>#REF!</v>
      </c>
      <c r="N57" s="107" t="e">
        <f t="shared" si="3"/>
        <v>#REF!</v>
      </c>
    </row>
    <row r="58" spans="3:14" x14ac:dyDescent="0.25">
      <c r="C58" s="109" t="str">
        <f>'Base Period'!B45</f>
        <v>Name</v>
      </c>
      <c r="D58" s="106">
        <f>'Budget by Period'!$E25*(1+'Base Period'!$D$153)*(1+'Base Period'!$D$68)*(1+'Base Period'!$D$71)*(1+'Base Period'!$D$149)</f>
        <v>0</v>
      </c>
      <c r="E58" s="106">
        <f>'Budget by Period'!$H25*(1+'Base Period'!$D$153)*(1+'Base Period'!$D$68)*(1+'Base Period'!$D$71)*(1+'Base Period'!$D$149)</f>
        <v>0</v>
      </c>
      <c r="F58" s="106" t="e">
        <f>'Budget by Period'!$K25*(1+'Base Period'!$D$153)*(1+'Base Period'!$D$68)*(1+'Base Period'!$D$71)*(1+'Base Period'!$D$149)</f>
        <v>#REF!</v>
      </c>
      <c r="G58" s="106" t="e">
        <f>'Budget by Period'!$N25*(1+'Base Period'!$D$153)*(1+'Base Period'!$D$68)*(1+'Base Period'!$D$71)*(1+'Base Period'!$D$149)</f>
        <v>#REF!</v>
      </c>
      <c r="H58" s="106" t="e">
        <f>'Budget by Period'!$Q25*(1+'Base Period'!$D$153)*(1+'Base Period'!$D$68)*(1+'Base Period'!$D$71)*(1+'Base Period'!$D$149)</f>
        <v>#REF!</v>
      </c>
      <c r="I58" s="106" t="e">
        <f>'Budget by Period'!$T25*(1+'Base Period'!$D$153)*(1+'Base Period'!$D$68)*(1+'Base Period'!$D$71)*(1+'Base Period'!$D$149)</f>
        <v>#REF!</v>
      </c>
      <c r="J58" s="106" t="e">
        <f>'Budget by Period'!$W25*(1+'Base Period'!$D$153)*(1+'Base Period'!$D$68)*(1+'Base Period'!$D$71)*(1+'Base Period'!$D$149)</f>
        <v>#REF!</v>
      </c>
      <c r="K58" s="106" t="e">
        <f>'Budget by Period'!$Z25*(1+'Base Period'!$D$153)*(1+'Base Period'!$D$68)*(1+'Base Period'!$D$71)*(1+'Base Period'!$D$149)</f>
        <v>#REF!</v>
      </c>
      <c r="L58" s="106" t="e">
        <f>'Budget by Period'!$AC25*(1+'Base Period'!$D$153)*(1+'Base Period'!$D$68)*(1+'Base Period'!$D$71)*(1+'Base Period'!$D$149)</f>
        <v>#REF!</v>
      </c>
      <c r="M58" s="106" t="e">
        <f>'Budget by Period'!$AF25*(1+'Base Period'!$D$153)*(1+'Base Period'!$D$68)*(1+'Base Period'!$D$71)*(1+'Base Period'!$D$149)</f>
        <v>#REF!</v>
      </c>
      <c r="N58" s="107" t="e">
        <f t="shared" si="3"/>
        <v>#REF!</v>
      </c>
    </row>
    <row r="59" spans="3:14" x14ac:dyDescent="0.25">
      <c r="C59" s="109" t="str">
        <f>'Base Period'!B46</f>
        <v>Name</v>
      </c>
      <c r="D59" s="106">
        <f>'Budget by Period'!$E26*(1+'Base Period'!$D$153)*(1+'Base Period'!$D$68)*(1+'Base Period'!$D$71)*(1+'Base Period'!$D$149)</f>
        <v>0</v>
      </c>
      <c r="E59" s="106">
        <f>'Budget by Period'!$H26*(1+'Base Period'!$D$153)*(1+'Base Period'!$D$68)*(1+'Base Period'!$D$71)*(1+'Base Period'!$D$149)</f>
        <v>0</v>
      </c>
      <c r="F59" s="106" t="e">
        <f>'Budget by Period'!$K26*(1+'Base Period'!$D$153)*(1+'Base Period'!$D$68)*(1+'Base Period'!$D$71)*(1+'Base Period'!$D$149)</f>
        <v>#REF!</v>
      </c>
      <c r="G59" s="106" t="e">
        <f>'Budget by Period'!$N26*(1+'Base Period'!$D$153)*(1+'Base Period'!$D$68)*(1+'Base Period'!$D$71)*(1+'Base Period'!$D$149)</f>
        <v>#REF!</v>
      </c>
      <c r="H59" s="106" t="e">
        <f>'Budget by Period'!$Q26*(1+'Base Period'!$D$153)*(1+'Base Period'!$D$68)*(1+'Base Period'!$D$71)*(1+'Base Period'!$D$149)</f>
        <v>#REF!</v>
      </c>
      <c r="I59" s="106" t="e">
        <f>'Budget by Period'!$T26*(1+'Base Period'!$D$153)*(1+'Base Period'!$D$68)*(1+'Base Period'!$D$71)*(1+'Base Period'!$D$149)</f>
        <v>#REF!</v>
      </c>
      <c r="J59" s="106" t="e">
        <f>'Budget by Period'!$W26*(1+'Base Period'!$D$153)*(1+'Base Period'!$D$68)*(1+'Base Period'!$D$71)*(1+'Base Period'!$D$149)</f>
        <v>#REF!</v>
      </c>
      <c r="K59" s="106" t="e">
        <f>'Budget by Period'!$Z26*(1+'Base Period'!$D$153)*(1+'Base Period'!$D$68)*(1+'Base Period'!$D$71)*(1+'Base Period'!$D$149)</f>
        <v>#REF!</v>
      </c>
      <c r="L59" s="106" t="e">
        <f>'Budget by Period'!$AC26*(1+'Base Period'!$D$153)*(1+'Base Period'!$D$68)*(1+'Base Period'!$D$71)*(1+'Base Period'!$D$149)</f>
        <v>#REF!</v>
      </c>
      <c r="M59" s="106" t="e">
        <f>'Budget by Period'!$AF26*(1+'Base Period'!$D$153)*(1+'Base Period'!$D$68)*(1+'Base Period'!$D$71)*(1+'Base Period'!$D$149)</f>
        <v>#REF!</v>
      </c>
      <c r="N59" s="107" t="e">
        <f t="shared" si="3"/>
        <v>#REF!</v>
      </c>
    </row>
    <row r="60" spans="3:14" x14ac:dyDescent="0.25">
      <c r="C60" s="109" t="str">
        <f>'Base Period'!B47</f>
        <v>Name</v>
      </c>
      <c r="D60" s="106">
        <f>'Budget by Period'!$E27*(1+'Base Period'!$D$153)*(1+'Base Period'!$D$68)*(1+'Base Period'!$D$71)*(1+'Base Period'!$D$149)</f>
        <v>0</v>
      </c>
      <c r="E60" s="106">
        <f>'Budget by Period'!$H27*(1+'Base Period'!$D$153)*(1+'Base Period'!$D$68)*(1+'Base Period'!$D$71)*(1+'Base Period'!$D$149)</f>
        <v>0</v>
      </c>
      <c r="F60" s="106" t="e">
        <f>'Budget by Period'!$K27*(1+'Base Period'!$D$153)*(1+'Base Period'!$D$68)*(1+'Base Period'!$D$71)*(1+'Base Period'!$D$149)</f>
        <v>#REF!</v>
      </c>
      <c r="G60" s="106" t="e">
        <f>'Budget by Period'!$N27*(1+'Base Period'!$D$153)*(1+'Base Period'!$D$68)*(1+'Base Period'!$D$71)*(1+'Base Period'!$D$149)</f>
        <v>#REF!</v>
      </c>
      <c r="H60" s="106" t="e">
        <f>'Budget by Period'!$Q27*(1+'Base Period'!$D$153)*(1+'Base Period'!$D$68)*(1+'Base Period'!$D$71)*(1+'Base Period'!$D$149)</f>
        <v>#REF!</v>
      </c>
      <c r="I60" s="106" t="e">
        <f>'Budget by Period'!$T27*(1+'Base Period'!$D$153)*(1+'Base Period'!$D$68)*(1+'Base Period'!$D$71)*(1+'Base Period'!$D$149)</f>
        <v>#REF!</v>
      </c>
      <c r="J60" s="106" t="e">
        <f>'Budget by Period'!$W27*(1+'Base Period'!$D$153)*(1+'Base Period'!$D$68)*(1+'Base Period'!$D$71)*(1+'Base Period'!$D$149)</f>
        <v>#REF!</v>
      </c>
      <c r="K60" s="106" t="e">
        <f>'Budget by Period'!$Z27*(1+'Base Period'!$D$153)*(1+'Base Period'!$D$68)*(1+'Base Period'!$D$71)*(1+'Base Period'!$D$149)</f>
        <v>#REF!</v>
      </c>
      <c r="L60" s="106" t="e">
        <f>'Budget by Period'!$AC27*(1+'Base Period'!$D$153)*(1+'Base Period'!$D$68)*(1+'Base Period'!$D$71)*(1+'Base Period'!$D$149)</f>
        <v>#REF!</v>
      </c>
      <c r="M60" s="106" t="e">
        <f>'Budget by Period'!$AF27*(1+'Base Period'!$D$153)*(1+'Base Period'!$D$68)*(1+'Base Period'!$D$71)*(1+'Base Period'!$D$149)</f>
        <v>#REF!</v>
      </c>
      <c r="N60" s="107" t="e">
        <f t="shared" si="3"/>
        <v>#REF!</v>
      </c>
    </row>
    <row r="61" spans="3:14" x14ac:dyDescent="0.25">
      <c r="C61" s="109" t="str">
        <f>'Base Period'!B48</f>
        <v>Name</v>
      </c>
      <c r="D61" s="106">
        <f>'Budget by Period'!$E28*(1+'Base Period'!$D$153)*(1+'Base Period'!$D$68)*(1+'Base Period'!$D$71)*(1+'Base Period'!$D$149)</f>
        <v>0</v>
      </c>
      <c r="E61" s="106">
        <f>'Budget by Period'!$H28*(1+'Base Period'!$D$153)*(1+'Base Period'!$D$68)*(1+'Base Period'!$D$71)*(1+'Base Period'!$D$149)</f>
        <v>0</v>
      </c>
      <c r="F61" s="106" t="e">
        <f>'Budget by Period'!$K28*(1+'Base Period'!$D$153)*(1+'Base Period'!$D$68)*(1+'Base Period'!$D$71)*(1+'Base Period'!$D$149)</f>
        <v>#REF!</v>
      </c>
      <c r="G61" s="106" t="e">
        <f>'Budget by Period'!$N28*(1+'Base Period'!$D$153)*(1+'Base Period'!$D$68)*(1+'Base Period'!$D$71)*(1+'Base Period'!$D$149)</f>
        <v>#REF!</v>
      </c>
      <c r="H61" s="106" t="e">
        <f>'Budget by Period'!$Q28*(1+'Base Period'!$D$153)*(1+'Base Period'!$D$68)*(1+'Base Period'!$D$71)*(1+'Base Period'!$D$149)</f>
        <v>#REF!</v>
      </c>
      <c r="I61" s="106" t="e">
        <f>'Budget by Period'!$T28*(1+'Base Period'!$D$153)*(1+'Base Period'!$D$68)*(1+'Base Period'!$D$71)*(1+'Base Period'!$D$149)</f>
        <v>#REF!</v>
      </c>
      <c r="J61" s="106" t="e">
        <f>'Budget by Period'!$W28*(1+'Base Period'!$D$153)*(1+'Base Period'!$D$68)*(1+'Base Period'!$D$71)*(1+'Base Period'!$D$149)</f>
        <v>#REF!</v>
      </c>
      <c r="K61" s="106" t="e">
        <f>'Budget by Period'!$Z28*(1+'Base Period'!$D$153)*(1+'Base Period'!$D$68)*(1+'Base Period'!$D$71)*(1+'Base Period'!$D$149)</f>
        <v>#REF!</v>
      </c>
      <c r="L61" s="106" t="e">
        <f>'Budget by Period'!$AC28*(1+'Base Period'!$D$153)*(1+'Base Period'!$D$68)*(1+'Base Period'!$D$71)*(1+'Base Period'!$D$149)</f>
        <v>#REF!</v>
      </c>
      <c r="M61" s="106" t="e">
        <f>'Budget by Period'!$AF28*(1+'Base Period'!$D$153)*(1+'Base Period'!$D$68)*(1+'Base Period'!$D$71)*(1+'Base Period'!$D$149)</f>
        <v>#REF!</v>
      </c>
      <c r="N61" s="107" t="e">
        <f t="shared" si="3"/>
        <v>#REF!</v>
      </c>
    </row>
    <row r="62" spans="3:14" x14ac:dyDescent="0.25">
      <c r="C62" s="109" t="str">
        <f>'Base Period'!B49</f>
        <v>Name</v>
      </c>
      <c r="D62" s="106">
        <f>'Budget by Period'!$E29*(1+'Base Period'!$D$153)*(1+'Base Period'!$D$68)*(1+'Base Period'!$D$71)*(1+'Base Period'!$D$149)</f>
        <v>0</v>
      </c>
      <c r="E62" s="106">
        <f>'Budget by Period'!$H29*(1+'Base Period'!$D$153)*(1+'Base Period'!$D$68)*(1+'Base Period'!$D$71)*(1+'Base Period'!$D$149)</f>
        <v>0</v>
      </c>
      <c r="F62" s="106" t="e">
        <f>'Budget by Period'!$K29*(1+'Base Period'!$D$153)*(1+'Base Period'!$D$68)*(1+'Base Period'!$D$71)*(1+'Base Period'!$D$149)</f>
        <v>#REF!</v>
      </c>
      <c r="G62" s="106" t="e">
        <f>'Budget by Period'!$N29*(1+'Base Period'!$D$153)*(1+'Base Period'!$D$68)*(1+'Base Period'!$D$71)*(1+'Base Period'!$D$149)</f>
        <v>#REF!</v>
      </c>
      <c r="H62" s="106" t="e">
        <f>'Budget by Period'!$Q29*(1+'Base Period'!$D$153)*(1+'Base Period'!$D$68)*(1+'Base Period'!$D$71)*(1+'Base Period'!$D$149)</f>
        <v>#REF!</v>
      </c>
      <c r="I62" s="106" t="e">
        <f>'Budget by Period'!$T29*(1+'Base Period'!$D$153)*(1+'Base Period'!$D$68)*(1+'Base Period'!$D$71)*(1+'Base Period'!$D$149)</f>
        <v>#REF!</v>
      </c>
      <c r="J62" s="106" t="e">
        <f>'Budget by Period'!$W29*(1+'Base Period'!$D$153)*(1+'Base Period'!$D$68)*(1+'Base Period'!$D$71)*(1+'Base Period'!$D$149)</f>
        <v>#REF!</v>
      </c>
      <c r="K62" s="106" t="e">
        <f>'Budget by Period'!$Z29*(1+'Base Period'!$D$153)*(1+'Base Period'!$D$68)*(1+'Base Period'!$D$71)*(1+'Base Period'!$D$149)</f>
        <v>#REF!</v>
      </c>
      <c r="L62" s="106" t="e">
        <f>'Budget by Period'!$AC29*(1+'Base Period'!$D$153)*(1+'Base Period'!$D$68)*(1+'Base Period'!$D$71)*(1+'Base Period'!$D$149)</f>
        <v>#REF!</v>
      </c>
      <c r="M62" s="106" t="e">
        <f>'Budget by Period'!$AF29*(1+'Base Period'!$D$153)*(1+'Base Period'!$D$68)*(1+'Base Period'!$D$71)*(1+'Base Period'!$D$149)</f>
        <v>#REF!</v>
      </c>
      <c r="N62" s="107" t="e">
        <f t="shared" si="3"/>
        <v>#REF!</v>
      </c>
    </row>
    <row r="63" spans="3:14" x14ac:dyDescent="0.25">
      <c r="C63" s="109" t="str">
        <f>'Base Period'!B50</f>
        <v>Name</v>
      </c>
      <c r="D63" s="106">
        <f>'Budget by Period'!$E30*(1+'Base Period'!$D$153)*(1+'Base Period'!$D$68)*(1+'Base Period'!$D$71)*(1+'Base Period'!$D$149)</f>
        <v>0</v>
      </c>
      <c r="E63" s="106">
        <f>'Budget by Period'!$H30*(1+'Base Period'!$D$153)*(1+'Base Period'!$D$68)*(1+'Base Period'!$D$71)*(1+'Base Period'!$D$149)</f>
        <v>0</v>
      </c>
      <c r="F63" s="106" t="e">
        <f>'Budget by Period'!$K30*(1+'Base Period'!$D$153)*(1+'Base Period'!$D$68)*(1+'Base Period'!$D$71)*(1+'Base Period'!$D$149)</f>
        <v>#REF!</v>
      </c>
      <c r="G63" s="106" t="e">
        <f>'Budget by Period'!$N30*(1+'Base Period'!$D$153)*(1+'Base Period'!$D$68)*(1+'Base Period'!$D$71)*(1+'Base Period'!$D$149)</f>
        <v>#REF!</v>
      </c>
      <c r="H63" s="106" t="e">
        <f>'Budget by Period'!$Q30*(1+'Base Period'!$D$153)*(1+'Base Period'!$D$68)*(1+'Base Period'!$D$71)*(1+'Base Period'!$D$149)</f>
        <v>#REF!</v>
      </c>
      <c r="I63" s="106" t="e">
        <f>'Budget by Period'!$T30*(1+'Base Period'!$D$153)*(1+'Base Period'!$D$68)*(1+'Base Period'!$D$71)*(1+'Base Period'!$D$149)</f>
        <v>#REF!</v>
      </c>
      <c r="J63" s="106" t="e">
        <f>'Budget by Period'!$W30*(1+'Base Period'!$D$153)*(1+'Base Period'!$D$68)*(1+'Base Period'!$D$71)*(1+'Base Period'!$D$149)</f>
        <v>#REF!</v>
      </c>
      <c r="K63" s="106" t="e">
        <f>'Budget by Period'!$Z30*(1+'Base Period'!$D$153)*(1+'Base Period'!$D$68)*(1+'Base Period'!$D$71)*(1+'Base Period'!$D$149)</f>
        <v>#REF!</v>
      </c>
      <c r="L63" s="106" t="e">
        <f>'Budget by Period'!$AC30*(1+'Base Period'!$D$153)*(1+'Base Period'!$D$68)*(1+'Base Period'!$D$71)*(1+'Base Period'!$D$149)</f>
        <v>#REF!</v>
      </c>
      <c r="M63" s="106" t="e">
        <f>'Budget by Period'!$AF30*(1+'Base Period'!$D$153)*(1+'Base Period'!$D$68)*(1+'Base Period'!$D$71)*(1+'Base Period'!$D$149)</f>
        <v>#REF!</v>
      </c>
      <c r="N63" s="107" t="e">
        <f t="shared" si="3"/>
        <v>#REF!</v>
      </c>
    </row>
    <row r="64" spans="3:14" x14ac:dyDescent="0.25">
      <c r="C64" s="109" t="str">
        <f>'Base Period'!B51</f>
        <v>Name</v>
      </c>
      <c r="D64" s="106">
        <f>'Budget by Period'!$E31*(1+'Base Period'!$D$153)*(1+'Base Period'!$D$68)*(1+'Base Period'!$D$71)*(1+'Base Period'!$D$149)</f>
        <v>0</v>
      </c>
      <c r="E64" s="106">
        <f>'Budget by Period'!$H31*(1+'Base Period'!$D$153)*(1+'Base Period'!$D$68)*(1+'Base Period'!$D$71)*(1+'Base Period'!$D$149)</f>
        <v>0</v>
      </c>
      <c r="F64" s="106" t="e">
        <f>'Budget by Period'!$K31*(1+'Base Period'!$D$153)*(1+'Base Period'!$D$68)*(1+'Base Period'!$D$71)*(1+'Base Period'!$D$149)</f>
        <v>#REF!</v>
      </c>
      <c r="G64" s="106" t="e">
        <f>'Budget by Period'!$N31*(1+'Base Period'!$D$153)*(1+'Base Period'!$D$68)*(1+'Base Period'!$D$71)*(1+'Base Period'!$D$149)</f>
        <v>#REF!</v>
      </c>
      <c r="H64" s="106" t="e">
        <f>'Budget by Period'!$Q31*(1+'Base Period'!$D$153)*(1+'Base Period'!$D$68)*(1+'Base Period'!$D$71)*(1+'Base Period'!$D$149)</f>
        <v>#REF!</v>
      </c>
      <c r="I64" s="106" t="e">
        <f>'Budget by Period'!$T31*(1+'Base Period'!$D$153)*(1+'Base Period'!$D$68)*(1+'Base Period'!$D$71)*(1+'Base Period'!$D$149)</f>
        <v>#REF!</v>
      </c>
      <c r="J64" s="106" t="e">
        <f>'Budget by Period'!$W31*(1+'Base Period'!$D$153)*(1+'Base Period'!$D$68)*(1+'Base Period'!$D$71)*(1+'Base Period'!$D$149)</f>
        <v>#REF!</v>
      </c>
      <c r="K64" s="106" t="e">
        <f>'Budget by Period'!$Z31*(1+'Base Period'!$D$153)*(1+'Base Period'!$D$68)*(1+'Base Period'!$D$71)*(1+'Base Period'!$D$149)</f>
        <v>#REF!</v>
      </c>
      <c r="L64" s="106" t="e">
        <f>'Budget by Period'!$AC31*(1+'Base Period'!$D$153)*(1+'Base Period'!$D$68)*(1+'Base Period'!$D$71)*(1+'Base Period'!$D$149)</f>
        <v>#REF!</v>
      </c>
      <c r="M64" s="106" t="e">
        <f>'Budget by Period'!$AF31*(1+'Base Period'!$D$153)*(1+'Base Period'!$D$68)*(1+'Base Period'!$D$71)*(1+'Base Period'!$D$149)</f>
        <v>#REF!</v>
      </c>
      <c r="N64" s="107" t="e">
        <f t="shared" si="3"/>
        <v>#REF!</v>
      </c>
    </row>
    <row r="65" spans="3:14" x14ac:dyDescent="0.25">
      <c r="C65" s="109" t="str">
        <f>'Base Period'!B52</f>
        <v>Name</v>
      </c>
      <c r="D65" s="106">
        <f>'Budget by Period'!$E32*(1+'Base Period'!$D$153)*(1+'Base Period'!$D$68)*(1+'Base Period'!$D$71)*(1+'Base Period'!$D$149)</f>
        <v>0</v>
      </c>
      <c r="E65" s="106">
        <f>'Budget by Period'!$H32*(1+'Base Period'!$D$153)*(1+'Base Period'!$D$68)*(1+'Base Period'!$D$71)*(1+'Base Period'!$D$149)</f>
        <v>0</v>
      </c>
      <c r="F65" s="106" t="e">
        <f>'Budget by Period'!$K32*(1+'Base Period'!$D$153)*(1+'Base Period'!$D$68)*(1+'Base Period'!$D$71)*(1+'Base Period'!$D$149)</f>
        <v>#REF!</v>
      </c>
      <c r="G65" s="106" t="e">
        <f>'Budget by Period'!$N32*(1+'Base Period'!$D$153)*(1+'Base Period'!$D$68)*(1+'Base Period'!$D$71)*(1+'Base Period'!$D$149)</f>
        <v>#REF!</v>
      </c>
      <c r="H65" s="106" t="e">
        <f>'Budget by Period'!$Q32*(1+'Base Period'!$D$153)*(1+'Base Period'!$D$68)*(1+'Base Period'!$D$71)*(1+'Base Period'!$D$149)</f>
        <v>#REF!</v>
      </c>
      <c r="I65" s="106" t="e">
        <f>'Budget by Period'!$T32*(1+'Base Period'!$D$153)*(1+'Base Period'!$D$68)*(1+'Base Period'!$D$71)*(1+'Base Period'!$D$149)</f>
        <v>#REF!</v>
      </c>
      <c r="J65" s="106" t="e">
        <f>'Budget by Period'!$W32*(1+'Base Period'!$D$153)*(1+'Base Period'!$D$68)*(1+'Base Period'!$D$71)*(1+'Base Period'!$D$149)</f>
        <v>#REF!</v>
      </c>
      <c r="K65" s="106" t="e">
        <f>'Budget by Period'!$Z32*(1+'Base Period'!$D$153)*(1+'Base Period'!$D$68)*(1+'Base Period'!$D$71)*(1+'Base Period'!$D$149)</f>
        <v>#REF!</v>
      </c>
      <c r="L65" s="106" t="e">
        <f>'Budget by Period'!$AC32*(1+'Base Period'!$D$153)*(1+'Base Period'!$D$68)*(1+'Base Period'!$D$71)*(1+'Base Period'!$D$149)</f>
        <v>#REF!</v>
      </c>
      <c r="M65" s="106" t="e">
        <f>'Budget by Period'!$AF32*(1+'Base Period'!$D$153)*(1+'Base Period'!$D$68)*(1+'Base Period'!$D$71)*(1+'Base Period'!$D$149)</f>
        <v>#REF!</v>
      </c>
      <c r="N65" s="107" t="e">
        <f t="shared" si="3"/>
        <v>#REF!</v>
      </c>
    </row>
    <row r="66" spans="3:14" x14ac:dyDescent="0.25">
      <c r="C66" s="109" t="str">
        <f>'Base Period'!B53</f>
        <v>Name</v>
      </c>
      <c r="D66" s="106">
        <f>'Budget by Period'!$E33*(1+'Base Period'!$D$153)*(1+'Base Period'!$D$68)*(1+'Base Period'!$D$71)*(1+'Base Period'!$D$149)</f>
        <v>0</v>
      </c>
      <c r="E66" s="106">
        <f>'Budget by Period'!$H33*(1+'Base Period'!$D$153)*(1+'Base Period'!$D$68)*(1+'Base Period'!$D$71)*(1+'Base Period'!$D$149)</f>
        <v>0</v>
      </c>
      <c r="F66" s="106" t="e">
        <f>'Budget by Period'!$K33*(1+'Base Period'!$D$153)*(1+'Base Period'!$D$68)*(1+'Base Period'!$D$71)*(1+'Base Period'!$D$149)</f>
        <v>#REF!</v>
      </c>
      <c r="G66" s="106" t="e">
        <f>'Budget by Period'!$N33*(1+'Base Period'!$D$153)*(1+'Base Period'!$D$68)*(1+'Base Period'!$D$71)*(1+'Base Period'!$D$149)</f>
        <v>#REF!</v>
      </c>
      <c r="H66" s="106" t="e">
        <f>'Budget by Period'!$Q33*(1+'Base Period'!$D$153)*(1+'Base Period'!$D$68)*(1+'Base Period'!$D$71)*(1+'Base Period'!$D$149)</f>
        <v>#REF!</v>
      </c>
      <c r="I66" s="106" t="e">
        <f>'Budget by Period'!$T33*(1+'Base Period'!$D$153)*(1+'Base Period'!$D$68)*(1+'Base Period'!$D$71)*(1+'Base Period'!$D$149)</f>
        <v>#REF!</v>
      </c>
      <c r="J66" s="106" t="e">
        <f>'Budget by Period'!$W33*(1+'Base Period'!$D$153)*(1+'Base Period'!$D$68)*(1+'Base Period'!$D$71)*(1+'Base Period'!$D$149)</f>
        <v>#REF!</v>
      </c>
      <c r="K66" s="106" t="e">
        <f>'Budget by Period'!$Z33*(1+'Base Period'!$D$153)*(1+'Base Period'!$D$68)*(1+'Base Period'!$D$71)*(1+'Base Period'!$D$149)</f>
        <v>#REF!</v>
      </c>
      <c r="L66" s="106" t="e">
        <f>'Budget by Period'!$AC33*(1+'Base Period'!$D$153)*(1+'Base Period'!$D$68)*(1+'Base Period'!$D$71)*(1+'Base Period'!$D$149)</f>
        <v>#REF!</v>
      </c>
      <c r="M66" s="106" t="e">
        <f>'Budget by Period'!$AF33*(1+'Base Period'!$D$153)*(1+'Base Period'!$D$68)*(1+'Base Period'!$D$71)*(1+'Base Period'!$D$149)</f>
        <v>#REF!</v>
      </c>
      <c r="N66" s="107" t="e">
        <f t="shared" si="3"/>
        <v>#REF!</v>
      </c>
    </row>
    <row r="67" spans="3:14" x14ac:dyDescent="0.25">
      <c r="C67" s="109" t="str">
        <f>'Base Period'!B54</f>
        <v>Name</v>
      </c>
      <c r="D67" s="106">
        <f>'Budget by Period'!$E34*(1+'Base Period'!$D$153)*(1+'Base Period'!$D$68)*(1+'Base Period'!$D$71)*(1+'Base Period'!$D$149)</f>
        <v>0</v>
      </c>
      <c r="E67" s="106">
        <f>'Budget by Period'!$H34*(1+'Base Period'!$D$153)*(1+'Base Period'!$D$68)*(1+'Base Period'!$D$71)*(1+'Base Period'!$D$149)</f>
        <v>0</v>
      </c>
      <c r="F67" s="106" t="e">
        <f>'Budget by Period'!$K34*(1+'Base Period'!$D$153)*(1+'Base Period'!$D$68)*(1+'Base Period'!$D$71)*(1+'Base Period'!$D$149)</f>
        <v>#REF!</v>
      </c>
      <c r="G67" s="106" t="e">
        <f>'Budget by Period'!$N34*(1+'Base Period'!$D$153)*(1+'Base Period'!$D$68)*(1+'Base Period'!$D$71)*(1+'Base Period'!$D$149)</f>
        <v>#REF!</v>
      </c>
      <c r="H67" s="106" t="e">
        <f>'Budget by Period'!$Q34*(1+'Base Period'!$D$153)*(1+'Base Period'!$D$68)*(1+'Base Period'!$D$71)*(1+'Base Period'!$D$149)</f>
        <v>#REF!</v>
      </c>
      <c r="I67" s="106" t="e">
        <f>'Budget by Period'!$T34*(1+'Base Period'!$D$153)*(1+'Base Period'!$D$68)*(1+'Base Period'!$D$71)*(1+'Base Period'!$D$149)</f>
        <v>#REF!</v>
      </c>
      <c r="J67" s="106" t="e">
        <f>'Budget by Period'!$W34*(1+'Base Period'!$D$153)*(1+'Base Period'!$D$68)*(1+'Base Period'!$D$71)*(1+'Base Period'!$D$149)</f>
        <v>#REF!</v>
      </c>
      <c r="K67" s="106" t="e">
        <f>'Budget by Period'!$Z34*(1+'Base Period'!$D$153)*(1+'Base Period'!$D$68)*(1+'Base Period'!$D$71)*(1+'Base Period'!$D$149)</f>
        <v>#REF!</v>
      </c>
      <c r="L67" s="106" t="e">
        <f>'Budget by Period'!$AC34*(1+'Base Period'!$D$153)*(1+'Base Period'!$D$68)*(1+'Base Period'!$D$71)*(1+'Base Period'!$D$149)</f>
        <v>#REF!</v>
      </c>
      <c r="M67" s="106" t="e">
        <f>'Budget by Period'!$AF34*(1+'Base Period'!$D$153)*(1+'Base Period'!$D$68)*(1+'Base Period'!$D$71)*(1+'Base Period'!$D$149)</f>
        <v>#REF!</v>
      </c>
      <c r="N67" s="107" t="e">
        <f t="shared" si="3"/>
        <v>#REF!</v>
      </c>
    </row>
    <row r="68" spans="3:14" x14ac:dyDescent="0.25">
      <c r="C68" s="109" t="str">
        <f>'Base Period'!B55</f>
        <v>Name</v>
      </c>
      <c r="D68" s="106">
        <f>'Budget by Period'!$E35*(1+'Base Period'!$D$153)*(1+'Base Period'!$D$68)*(1+'Base Period'!$D$71)*(1+'Base Period'!$D$149)</f>
        <v>0</v>
      </c>
      <c r="E68" s="106">
        <f>'Budget by Period'!$H35*(1+'Base Period'!$D$153)*(1+'Base Period'!$D$68)*(1+'Base Period'!$D$71)*(1+'Base Period'!$D$149)</f>
        <v>0</v>
      </c>
      <c r="F68" s="106" t="e">
        <f>'Budget by Period'!$K35*(1+'Base Period'!$D$153)*(1+'Base Period'!$D$68)*(1+'Base Period'!$D$71)*(1+'Base Period'!$D$149)</f>
        <v>#REF!</v>
      </c>
      <c r="G68" s="106" t="e">
        <f>'Budget by Period'!$N35*(1+'Base Period'!$D$153)*(1+'Base Period'!$D$68)*(1+'Base Period'!$D$71)*(1+'Base Period'!$D$149)</f>
        <v>#REF!</v>
      </c>
      <c r="H68" s="106" t="e">
        <f>'Budget by Period'!$Q35*(1+'Base Period'!$D$153)*(1+'Base Period'!$D$68)*(1+'Base Period'!$D$71)*(1+'Base Period'!$D$149)</f>
        <v>#REF!</v>
      </c>
      <c r="I68" s="106" t="e">
        <f>'Budget by Period'!$T35*(1+'Base Period'!$D$153)*(1+'Base Period'!$D$68)*(1+'Base Period'!$D$71)*(1+'Base Period'!$D$149)</f>
        <v>#REF!</v>
      </c>
      <c r="J68" s="106" t="e">
        <f>'Budget by Period'!$W35*(1+'Base Period'!$D$153)*(1+'Base Period'!$D$68)*(1+'Base Period'!$D$71)*(1+'Base Period'!$D$149)</f>
        <v>#REF!</v>
      </c>
      <c r="K68" s="106" t="e">
        <f>'Budget by Period'!$Z35*(1+'Base Period'!$D$153)*(1+'Base Period'!$D$68)*(1+'Base Period'!$D$71)*(1+'Base Period'!$D$149)</f>
        <v>#REF!</v>
      </c>
      <c r="L68" s="106" t="e">
        <f>'Budget by Period'!$AC35*(1+'Base Period'!$D$153)*(1+'Base Period'!$D$68)*(1+'Base Period'!$D$71)*(1+'Base Period'!$D$149)</f>
        <v>#REF!</v>
      </c>
      <c r="M68" s="106" t="e">
        <f>'Budget by Period'!$AF35*(1+'Base Period'!$D$153)*(1+'Base Period'!$D$68)*(1+'Base Period'!$D$71)*(1+'Base Period'!$D$149)</f>
        <v>#REF!</v>
      </c>
      <c r="N68" s="107" t="e">
        <f t="shared" si="3"/>
        <v>#REF!</v>
      </c>
    </row>
    <row r="69" spans="3:14" x14ac:dyDescent="0.25">
      <c r="C69" s="109" t="str">
        <f>'Base Period'!B56</f>
        <v>Name</v>
      </c>
      <c r="D69" s="106">
        <f>'Budget by Period'!$E36*(1+'Base Period'!$D$153)*(1+'Base Period'!$D$68)*(1+'Base Period'!$D$71)*(1+'Base Period'!$D$149)</f>
        <v>0</v>
      </c>
      <c r="E69" s="106">
        <f>'Budget by Period'!$H36*(1+'Base Period'!$D$153)*(1+'Base Period'!$D$68)*(1+'Base Period'!$D$71)*(1+'Base Period'!$D$149)</f>
        <v>0</v>
      </c>
      <c r="F69" s="106" t="e">
        <f>'Budget by Period'!$K36*(1+'Base Period'!$D$153)*(1+'Base Period'!$D$68)*(1+'Base Period'!$D$71)*(1+'Base Period'!$D$149)</f>
        <v>#REF!</v>
      </c>
      <c r="G69" s="106" t="e">
        <f>'Budget by Period'!$N36*(1+'Base Period'!$D$153)*(1+'Base Period'!$D$68)*(1+'Base Period'!$D$71)*(1+'Base Period'!$D$149)</f>
        <v>#REF!</v>
      </c>
      <c r="H69" s="106" t="e">
        <f>'Budget by Period'!$Q36*(1+'Base Period'!$D$153)*(1+'Base Period'!$D$68)*(1+'Base Period'!$D$71)*(1+'Base Period'!$D$149)</f>
        <v>#REF!</v>
      </c>
      <c r="I69" s="106" t="e">
        <f>'Budget by Period'!$T36*(1+'Base Period'!$D$153)*(1+'Base Period'!$D$68)*(1+'Base Period'!$D$71)*(1+'Base Period'!$D$149)</f>
        <v>#REF!</v>
      </c>
      <c r="J69" s="106" t="e">
        <f>'Budget by Period'!$W36*(1+'Base Period'!$D$153)*(1+'Base Period'!$D$68)*(1+'Base Period'!$D$71)*(1+'Base Period'!$D$149)</f>
        <v>#REF!</v>
      </c>
      <c r="K69" s="106" t="e">
        <f>'Budget by Period'!$Z36*(1+'Base Period'!$D$153)*(1+'Base Period'!$D$68)*(1+'Base Period'!$D$71)*(1+'Base Period'!$D$149)</f>
        <v>#REF!</v>
      </c>
      <c r="L69" s="106" t="e">
        <f>'Budget by Period'!$AC36*(1+'Base Period'!$D$153)*(1+'Base Period'!$D$68)*(1+'Base Period'!$D$71)*(1+'Base Period'!$D$149)</f>
        <v>#REF!</v>
      </c>
      <c r="M69" s="106" t="e">
        <f>'Budget by Period'!$AF36*(1+'Base Period'!$D$153)*(1+'Base Period'!$D$68)*(1+'Base Period'!$D$71)*(1+'Base Period'!$D$149)</f>
        <v>#REF!</v>
      </c>
      <c r="N69" s="107" t="e">
        <f t="shared" si="3"/>
        <v>#REF!</v>
      </c>
    </row>
    <row r="70" spans="3:14" x14ac:dyDescent="0.25">
      <c r="C70" s="109" t="str">
        <f>'Base Period'!B57</f>
        <v>Name</v>
      </c>
      <c r="D70" s="106">
        <f>'Budget by Period'!$E37*(1+'Base Period'!$D$153)*(1+'Base Period'!$D$68)*(1+'Base Period'!$D$71)*(1+'Base Period'!$D$149)</f>
        <v>0</v>
      </c>
      <c r="E70" s="106">
        <f>'Budget by Period'!$H37*(1+'Base Period'!$D$153)*(1+'Base Period'!$D$68)*(1+'Base Period'!$D$71)*(1+'Base Period'!$D$149)</f>
        <v>0</v>
      </c>
      <c r="F70" s="106" t="e">
        <f>'Budget by Period'!$K37*(1+'Base Period'!$D$153)*(1+'Base Period'!$D$68)*(1+'Base Period'!$D$71)*(1+'Base Period'!$D$149)</f>
        <v>#REF!</v>
      </c>
      <c r="G70" s="106" t="e">
        <f>'Budget by Period'!$N37*(1+'Base Period'!$D$153)*(1+'Base Period'!$D$68)*(1+'Base Period'!$D$71)*(1+'Base Period'!$D$149)</f>
        <v>#REF!</v>
      </c>
      <c r="H70" s="106" t="e">
        <f>'Budget by Period'!$Q37*(1+'Base Period'!$D$153)*(1+'Base Period'!$D$68)*(1+'Base Period'!$D$71)*(1+'Base Period'!$D$149)</f>
        <v>#REF!</v>
      </c>
      <c r="I70" s="106" t="e">
        <f>'Budget by Period'!$T37*(1+'Base Period'!$D$153)*(1+'Base Period'!$D$68)*(1+'Base Period'!$D$71)*(1+'Base Period'!$D$149)</f>
        <v>#REF!</v>
      </c>
      <c r="J70" s="106" t="e">
        <f>'Budget by Period'!$W37*(1+'Base Period'!$D$153)*(1+'Base Period'!$D$68)*(1+'Base Period'!$D$71)*(1+'Base Period'!$D$149)</f>
        <v>#REF!</v>
      </c>
      <c r="K70" s="106" t="e">
        <f>'Budget by Period'!$Z37*(1+'Base Period'!$D$153)*(1+'Base Period'!$D$68)*(1+'Base Period'!$D$71)*(1+'Base Period'!$D$149)</f>
        <v>#REF!</v>
      </c>
      <c r="L70" s="106" t="e">
        <f>'Budget by Period'!$AC37*(1+'Base Period'!$D$153)*(1+'Base Period'!$D$68)*(1+'Base Period'!$D$71)*(1+'Base Period'!$D$149)</f>
        <v>#REF!</v>
      </c>
      <c r="M70" s="106" t="e">
        <f>'Budget by Period'!$AF37*(1+'Base Period'!$D$153)*(1+'Base Period'!$D$68)*(1+'Base Period'!$D$71)*(1+'Base Period'!$D$149)</f>
        <v>#REF!</v>
      </c>
      <c r="N70" s="107" t="e">
        <f t="shared" si="3"/>
        <v>#REF!</v>
      </c>
    </row>
    <row r="71" spans="3:14" x14ac:dyDescent="0.25">
      <c r="C71" s="109" t="str">
        <f>'Base Period'!B58</f>
        <v>Name</v>
      </c>
      <c r="D71" s="106">
        <f>'Budget by Period'!$E38*(1+'Base Period'!$D$153)*(1+'Base Period'!$D$68)*(1+'Base Period'!$D$71)*(1+'Base Period'!$D$149)</f>
        <v>0</v>
      </c>
      <c r="E71" s="106">
        <f>'Budget by Period'!$H38*(1+'Base Period'!$D$153)*(1+'Base Period'!$D$68)*(1+'Base Period'!$D$71)*(1+'Base Period'!$D$149)</f>
        <v>0</v>
      </c>
      <c r="F71" s="106" t="e">
        <f>'Budget by Period'!$K38*(1+'Base Period'!$D$153)*(1+'Base Period'!$D$68)*(1+'Base Period'!$D$71)*(1+'Base Period'!$D$149)</f>
        <v>#REF!</v>
      </c>
      <c r="G71" s="106" t="e">
        <f>'Budget by Period'!$N38*(1+'Base Period'!$D$153)*(1+'Base Period'!$D$68)*(1+'Base Period'!$D$71)*(1+'Base Period'!$D$149)</f>
        <v>#REF!</v>
      </c>
      <c r="H71" s="106" t="e">
        <f>'Budget by Period'!$Q38*(1+'Base Period'!$D$153)*(1+'Base Period'!$D$68)*(1+'Base Period'!$D$71)*(1+'Base Period'!$D$149)</f>
        <v>#REF!</v>
      </c>
      <c r="I71" s="106" t="e">
        <f>'Budget by Period'!$T38*(1+'Base Period'!$D$153)*(1+'Base Period'!$D$68)*(1+'Base Period'!$D$71)*(1+'Base Period'!$D$149)</f>
        <v>#REF!</v>
      </c>
      <c r="J71" s="106" t="e">
        <f>'Budget by Period'!$W38*(1+'Base Period'!$D$153)*(1+'Base Period'!$D$68)*(1+'Base Period'!$D$71)*(1+'Base Period'!$D$149)</f>
        <v>#REF!</v>
      </c>
      <c r="K71" s="106" t="e">
        <f>'Budget by Period'!$Z38*(1+'Base Period'!$D$153)*(1+'Base Period'!$D$68)*(1+'Base Period'!$D$71)*(1+'Base Period'!$D$149)</f>
        <v>#REF!</v>
      </c>
      <c r="L71" s="106" t="e">
        <f>'Budget by Period'!$AC38*(1+'Base Period'!$D$153)*(1+'Base Period'!$D$68)*(1+'Base Period'!$D$71)*(1+'Base Period'!$D$149)</f>
        <v>#REF!</v>
      </c>
      <c r="M71" s="106" t="e">
        <f>'Budget by Period'!$AF38*(1+'Base Period'!$D$153)*(1+'Base Period'!$D$68)*(1+'Base Period'!$D$71)*(1+'Base Period'!$D$149)</f>
        <v>#REF!</v>
      </c>
      <c r="N71" s="107" t="e">
        <f t="shared" si="3"/>
        <v>#REF!</v>
      </c>
    </row>
    <row r="72" spans="3:14" x14ac:dyDescent="0.25">
      <c r="C72" s="109" t="str">
        <f>'Base Period'!B59</f>
        <v>Name</v>
      </c>
      <c r="D72" s="106">
        <f>'Budget by Period'!$E39*(1+'Base Period'!$D$153)*(1+'Base Period'!$D$68)*(1+'Base Period'!$D$71)*(1+'Base Period'!$D$149)</f>
        <v>0</v>
      </c>
      <c r="E72" s="106">
        <f>'Budget by Period'!$H39*(1+'Base Period'!$D$153)*(1+'Base Period'!$D$68)*(1+'Base Period'!$D$71)*(1+'Base Period'!$D$149)</f>
        <v>0</v>
      </c>
      <c r="F72" s="106" t="e">
        <f>'Budget by Period'!$K39*(1+'Base Period'!$D$153)*(1+'Base Period'!$D$68)*(1+'Base Period'!$D$71)*(1+'Base Period'!$D$149)</f>
        <v>#REF!</v>
      </c>
      <c r="G72" s="106" t="e">
        <f>'Budget by Period'!$N39*(1+'Base Period'!$D$153)*(1+'Base Period'!$D$68)*(1+'Base Period'!$D$71)*(1+'Base Period'!$D$149)</f>
        <v>#REF!</v>
      </c>
      <c r="H72" s="106" t="e">
        <f>'Budget by Period'!$Q39*(1+'Base Period'!$D$153)*(1+'Base Period'!$D$68)*(1+'Base Period'!$D$71)*(1+'Base Period'!$D$149)</f>
        <v>#REF!</v>
      </c>
      <c r="I72" s="106" t="e">
        <f>'Budget by Period'!$T39*(1+'Base Period'!$D$153)*(1+'Base Period'!$D$68)*(1+'Base Period'!$D$71)*(1+'Base Period'!$D$149)</f>
        <v>#REF!</v>
      </c>
      <c r="J72" s="106" t="e">
        <f>'Budget by Period'!$W39*(1+'Base Period'!$D$153)*(1+'Base Period'!$D$68)*(1+'Base Period'!$D$71)*(1+'Base Period'!$D$149)</f>
        <v>#REF!</v>
      </c>
      <c r="K72" s="106" t="e">
        <f>'Budget by Period'!$Z39*(1+'Base Period'!$D$153)*(1+'Base Period'!$D$68)*(1+'Base Period'!$D$71)*(1+'Base Period'!$D$149)</f>
        <v>#REF!</v>
      </c>
      <c r="L72" s="106" t="e">
        <f>'Budget by Period'!$AC39*(1+'Base Period'!$D$153)*(1+'Base Period'!$D$68)*(1+'Base Period'!$D$71)*(1+'Base Period'!$D$149)</f>
        <v>#REF!</v>
      </c>
      <c r="M72" s="106" t="e">
        <f>'Budget by Period'!$AF39*(1+'Base Period'!$D$153)*(1+'Base Period'!$D$68)*(1+'Base Period'!$D$71)*(1+'Base Period'!$D$149)</f>
        <v>#REF!</v>
      </c>
      <c r="N72" s="107" t="e">
        <f t="shared" si="3"/>
        <v>#REF!</v>
      </c>
    </row>
    <row r="73" spans="3:14" x14ac:dyDescent="0.25">
      <c r="C73" s="109" t="str">
        <f>'Base Period'!B60</f>
        <v>Name</v>
      </c>
      <c r="D73" s="106">
        <f>'Budget by Period'!$E40*(1+'Base Period'!$D$153)*(1+'Base Period'!$D$68)*(1+'Base Period'!$D$71)*(1+'Base Period'!$D$149)</f>
        <v>0</v>
      </c>
      <c r="E73" s="106">
        <f>'Budget by Period'!$H40*(1+'Base Period'!$D$153)*(1+'Base Period'!$D$68)*(1+'Base Period'!$D$71)*(1+'Base Period'!$D$149)</f>
        <v>0</v>
      </c>
      <c r="F73" s="106" t="e">
        <f>'Budget by Period'!$K40*(1+'Base Period'!$D$153)*(1+'Base Period'!$D$68)*(1+'Base Period'!$D$71)*(1+'Base Period'!$D$149)</f>
        <v>#REF!</v>
      </c>
      <c r="G73" s="106" t="e">
        <f>'Budget by Period'!$N40*(1+'Base Period'!$D$153)*(1+'Base Period'!$D$68)*(1+'Base Period'!$D$71)*(1+'Base Period'!$D$149)</f>
        <v>#REF!</v>
      </c>
      <c r="H73" s="106" t="e">
        <f>'Budget by Period'!$Q40*(1+'Base Period'!$D$153)*(1+'Base Period'!$D$68)*(1+'Base Period'!$D$71)*(1+'Base Period'!$D$149)</f>
        <v>#REF!</v>
      </c>
      <c r="I73" s="106" t="e">
        <f>'Budget by Period'!$T40*(1+'Base Period'!$D$153)*(1+'Base Period'!$D$68)*(1+'Base Period'!$D$71)*(1+'Base Period'!$D$149)</f>
        <v>#REF!</v>
      </c>
      <c r="J73" s="106" t="e">
        <f>'Budget by Period'!$W40*(1+'Base Period'!$D$153)*(1+'Base Period'!$D$68)*(1+'Base Period'!$D$71)*(1+'Base Period'!$D$149)</f>
        <v>#REF!</v>
      </c>
      <c r="K73" s="106" t="e">
        <f>'Budget by Period'!$Z40*(1+'Base Period'!$D$153)*(1+'Base Period'!$D$68)*(1+'Base Period'!$D$71)*(1+'Base Period'!$D$149)</f>
        <v>#REF!</v>
      </c>
      <c r="L73" s="106" t="e">
        <f>'Budget by Period'!$AC40*(1+'Base Period'!$D$153)*(1+'Base Period'!$D$68)*(1+'Base Period'!$D$71)*(1+'Base Period'!$D$149)</f>
        <v>#REF!</v>
      </c>
      <c r="M73" s="106" t="e">
        <f>'Budget by Period'!$AF40*(1+'Base Period'!$D$153)*(1+'Base Period'!$D$68)*(1+'Base Period'!$D$71)*(1+'Base Period'!$D$149)</f>
        <v>#REF!</v>
      </c>
      <c r="N73" s="107" t="e">
        <f t="shared" si="3"/>
        <v>#REF!</v>
      </c>
    </row>
    <row r="74" spans="3:14" x14ac:dyDescent="0.25">
      <c r="C74" s="109" t="str">
        <f>'Base Period'!B61</f>
        <v>Name</v>
      </c>
      <c r="D74" s="106">
        <f>'Budget by Period'!$E41*(1+'Base Period'!$D$153)*(1+'Base Period'!$D$68)*(1+'Base Period'!$D$71)*(1+'Base Period'!$D$149)</f>
        <v>0</v>
      </c>
      <c r="E74" s="106">
        <f>'Budget by Period'!$H41*(1+'Base Period'!$D$153)*(1+'Base Period'!$D$68)*(1+'Base Period'!$D$71)*(1+'Base Period'!$D$149)</f>
        <v>0</v>
      </c>
      <c r="F74" s="106" t="e">
        <f>'Budget by Period'!$K41*(1+'Base Period'!$D$153)*(1+'Base Period'!$D$68)*(1+'Base Period'!$D$71)*(1+'Base Period'!$D$149)</f>
        <v>#REF!</v>
      </c>
      <c r="G74" s="106" t="e">
        <f>'Budget by Period'!$N41*(1+'Base Period'!$D$153)*(1+'Base Period'!$D$68)*(1+'Base Period'!$D$71)*(1+'Base Period'!$D$149)</f>
        <v>#REF!</v>
      </c>
      <c r="H74" s="106" t="e">
        <f>'Budget by Period'!$Q41*(1+'Base Period'!$D$153)*(1+'Base Period'!$D$68)*(1+'Base Period'!$D$71)*(1+'Base Period'!$D$149)</f>
        <v>#REF!</v>
      </c>
      <c r="I74" s="106" t="e">
        <f>'Budget by Period'!$T41*(1+'Base Period'!$D$153)*(1+'Base Period'!$D$68)*(1+'Base Period'!$D$71)*(1+'Base Period'!$D$149)</f>
        <v>#REF!</v>
      </c>
      <c r="J74" s="106" t="e">
        <f>'Budget by Period'!$W41*(1+'Base Period'!$D$153)*(1+'Base Period'!$D$68)*(1+'Base Period'!$D$71)*(1+'Base Period'!$D$149)</f>
        <v>#REF!</v>
      </c>
      <c r="K74" s="106" t="e">
        <f>'Budget by Period'!$Z41*(1+'Base Period'!$D$153)*(1+'Base Period'!$D$68)*(1+'Base Period'!$D$71)*(1+'Base Period'!$D$149)</f>
        <v>#REF!</v>
      </c>
      <c r="L74" s="106" t="e">
        <f>'Budget by Period'!$AC41*(1+'Base Period'!$D$153)*(1+'Base Period'!$D$68)*(1+'Base Period'!$D$71)*(1+'Base Period'!$D$149)</f>
        <v>#REF!</v>
      </c>
      <c r="M74" s="106" t="e">
        <f>'Budget by Period'!$AF41*(1+'Base Period'!$D$153)*(1+'Base Period'!$D$68)*(1+'Base Period'!$D$71)*(1+'Base Period'!$D$149)</f>
        <v>#REF!</v>
      </c>
      <c r="N74" s="107" t="e">
        <f t="shared" si="3"/>
        <v>#REF!</v>
      </c>
    </row>
    <row r="75" spans="3:14" x14ac:dyDescent="0.25">
      <c r="C75" s="109" t="str">
        <f>'Base Period'!B62</f>
        <v>Name</v>
      </c>
      <c r="D75" s="106">
        <f>'Budget by Period'!$E42*(1+'Base Period'!$D$153)*(1+'Base Period'!$D$68)*(1+'Base Period'!$D$71)*(1+'Base Period'!$D$149)</f>
        <v>0</v>
      </c>
      <c r="E75" s="106">
        <f>'Budget by Period'!$H42*(1+'Base Period'!$D$153)*(1+'Base Period'!$D$68)*(1+'Base Period'!$D$71)*(1+'Base Period'!$D$149)</f>
        <v>0</v>
      </c>
      <c r="F75" s="106" t="e">
        <f>'Budget by Period'!$K42*(1+'Base Period'!$D$153)*(1+'Base Period'!$D$68)*(1+'Base Period'!$D$71)*(1+'Base Period'!$D$149)</f>
        <v>#REF!</v>
      </c>
      <c r="G75" s="106" t="e">
        <f>'Budget by Period'!$N42*(1+'Base Period'!$D$153)*(1+'Base Period'!$D$68)*(1+'Base Period'!$D$71)*(1+'Base Period'!$D$149)</f>
        <v>#REF!</v>
      </c>
      <c r="H75" s="106" t="e">
        <f>'Budget by Period'!$Q42*(1+'Base Period'!$D$153)*(1+'Base Period'!$D$68)*(1+'Base Period'!$D$71)*(1+'Base Period'!$D$149)</f>
        <v>#REF!</v>
      </c>
      <c r="I75" s="106" t="e">
        <f>'Budget by Period'!$T42*(1+'Base Period'!$D$153)*(1+'Base Period'!$D$68)*(1+'Base Period'!$D$71)*(1+'Base Period'!$D$149)</f>
        <v>#REF!</v>
      </c>
      <c r="J75" s="106" t="e">
        <f>'Budget by Period'!$W42*(1+'Base Period'!$D$153)*(1+'Base Period'!$D$68)*(1+'Base Period'!$D$71)*(1+'Base Period'!$D$149)</f>
        <v>#REF!</v>
      </c>
      <c r="K75" s="106" t="e">
        <f>'Budget by Period'!$Z42*(1+'Base Period'!$D$153)*(1+'Base Period'!$D$68)*(1+'Base Period'!$D$71)*(1+'Base Period'!$D$149)</f>
        <v>#REF!</v>
      </c>
      <c r="L75" s="106" t="e">
        <f>'Budget by Period'!$AC42*(1+'Base Period'!$D$153)*(1+'Base Period'!$D$68)*(1+'Base Period'!$D$71)*(1+'Base Period'!$D$149)</f>
        <v>#REF!</v>
      </c>
      <c r="M75" s="106" t="e">
        <f>'Budget by Period'!$AF42*(1+'Base Period'!$D$153)*(1+'Base Period'!$D$68)*(1+'Base Period'!$D$71)*(1+'Base Period'!$D$149)</f>
        <v>#REF!</v>
      </c>
      <c r="N75" s="107" t="e">
        <f t="shared" si="3"/>
        <v>#REF!</v>
      </c>
    </row>
    <row r="76" spans="3:14" x14ac:dyDescent="0.25">
      <c r="C76" s="110" t="s">
        <v>68</v>
      </c>
      <c r="D76" s="106">
        <f>SUM(D46:D75)</f>
        <v>1057.4634067200002</v>
      </c>
      <c r="E76" s="106">
        <f t="shared" ref="E76:M76" si="4">SUM(E46:E75)</f>
        <v>3599.3241043200005</v>
      </c>
      <c r="F76" s="106" t="e">
        <f t="shared" si="4"/>
        <v>#REF!</v>
      </c>
      <c r="G76" s="106" t="e">
        <f t="shared" si="4"/>
        <v>#REF!</v>
      </c>
      <c r="H76" s="106" t="e">
        <f t="shared" si="4"/>
        <v>#REF!</v>
      </c>
      <c r="I76" s="106" t="e">
        <f t="shared" si="4"/>
        <v>#REF!</v>
      </c>
      <c r="J76" s="106" t="e">
        <f t="shared" si="4"/>
        <v>#REF!</v>
      </c>
      <c r="K76" s="106" t="e">
        <f t="shared" si="4"/>
        <v>#REF!</v>
      </c>
      <c r="L76" s="106" t="e">
        <f t="shared" si="4"/>
        <v>#REF!</v>
      </c>
      <c r="M76" s="106" t="e">
        <f t="shared" si="4"/>
        <v>#REF!</v>
      </c>
      <c r="N76" s="107" t="e">
        <f>SUM(D76:M76)</f>
        <v>#REF!</v>
      </c>
    </row>
    <row r="78" spans="3:14" x14ac:dyDescent="0.25">
      <c r="C78" s="4" t="s">
        <v>77</v>
      </c>
    </row>
    <row r="79" spans="3:14" x14ac:dyDescent="0.25">
      <c r="C79" s="113" t="s">
        <v>78</v>
      </c>
      <c r="D79" s="111" t="s">
        <v>56</v>
      </c>
      <c r="E79" s="111" t="s">
        <v>57</v>
      </c>
      <c r="F79" s="111" t="s">
        <v>58</v>
      </c>
      <c r="G79" s="111" t="s">
        <v>59</v>
      </c>
      <c r="H79" s="111" t="s">
        <v>60</v>
      </c>
      <c r="I79" s="111" t="s">
        <v>61</v>
      </c>
      <c r="J79" s="111" t="s">
        <v>89</v>
      </c>
      <c r="K79" s="111" t="s">
        <v>90</v>
      </c>
      <c r="L79" s="111" t="s">
        <v>91</v>
      </c>
      <c r="M79" s="111" t="s">
        <v>92</v>
      </c>
      <c r="N79" s="112" t="s">
        <v>68</v>
      </c>
    </row>
    <row r="80" spans="3:14" x14ac:dyDescent="0.25">
      <c r="C80" s="109" t="s">
        <v>75</v>
      </c>
      <c r="D80" s="106">
        <f>SUM('Budget by Period'!E56:E82)*(1+'Base Period'!$D$149)*(1+'Base Period'!$D$153)</f>
        <v>0</v>
      </c>
      <c r="E80" s="106">
        <f>SUM('Budget by Period'!H56:H82)*(1+'Base Period'!$D$149)*(1+'Base Period'!$D$153)</f>
        <v>0</v>
      </c>
      <c r="F80" s="106" t="e">
        <f>SUM('Budget by Period'!K56:K82)*(1+'Base Period'!$D$149)*(1+'Base Period'!$D$153)</f>
        <v>#REF!</v>
      </c>
      <c r="G80" s="106" t="e">
        <f>SUM('Budget by Period'!N56:N82)*(1+'Base Period'!$D$149)*(1+'Base Period'!$D$153)</f>
        <v>#REF!</v>
      </c>
      <c r="H80" s="106" t="e">
        <f>SUM('Budget by Period'!Q56:Q82)*(1+'Base Period'!$D$149)*(1+'Base Period'!$D$153)</f>
        <v>#REF!</v>
      </c>
      <c r="I80" s="106" t="e">
        <f>SUM('Budget by Period'!T56:T82)*(1+'Base Period'!$D$149)*(1+'Base Period'!$D$153)</f>
        <v>#REF!</v>
      </c>
      <c r="J80" s="106" t="e">
        <f>SUM('Budget by Period'!W56:W82)*(1+'Base Period'!$D$149)*(1+'Base Period'!$D$153)</f>
        <v>#REF!</v>
      </c>
      <c r="K80" s="106" t="e">
        <f>SUM('Budget by Period'!Z56:Z82)*(1+'Base Period'!$D$149)*(1+'Base Period'!$D$153)</f>
        <v>#REF!</v>
      </c>
      <c r="L80" s="106" t="e">
        <f>SUM('Budget by Period'!AC56:AC82)*(1+'Base Period'!$D$149)*(1+'Base Period'!$D$153)</f>
        <v>#REF!</v>
      </c>
      <c r="M80" s="106" t="e">
        <f>SUM('Budget by Period'!AF56:AF82)*(1+'Base Period'!$D$149)*(1+'Base Period'!$D$153)</f>
        <v>#REF!</v>
      </c>
      <c r="N80" s="107" t="e">
        <f>SUM(D80:M80)</f>
        <v>#REF!</v>
      </c>
    </row>
    <row r="81" spans="3:14" x14ac:dyDescent="0.25">
      <c r="C81" s="109" t="s">
        <v>74</v>
      </c>
      <c r="D81" s="106">
        <f>SUM('Budget by Period'!E87:E99)*(1+'Base Period'!$D$149)*(1+'Base Period'!$D$153)</f>
        <v>0</v>
      </c>
      <c r="E81" s="106">
        <f>SUM('Budget by Period'!H87:H99)*(1+'Base Period'!$D$149)*(1+'Base Period'!$D$153)</f>
        <v>0</v>
      </c>
      <c r="F81" s="106" t="e">
        <f>SUM('Budget by Period'!K87:K99)*(1+'Base Period'!$D$149)*(1+'Base Period'!$D$153)</f>
        <v>#REF!</v>
      </c>
      <c r="G81" s="106" t="e">
        <f>SUM('Budget by Period'!N87:N99)*(1+'Base Period'!$D$149)*(1+'Base Period'!$D$153)</f>
        <v>#REF!</v>
      </c>
      <c r="H81" s="106" t="e">
        <f>SUM('Budget by Period'!Q87:Q99)*(1+'Base Period'!$D$149)*(1+'Base Period'!$D$153)</f>
        <v>#REF!</v>
      </c>
      <c r="I81" s="106" t="e">
        <f>SUM('Budget by Period'!T87:T99)*(1+'Base Period'!$D$149)*(1+'Base Period'!$D$153)</f>
        <v>#REF!</v>
      </c>
      <c r="J81" s="106" t="e">
        <f>SUM('Budget by Period'!W87:W99)*(1+'Base Period'!$D$149)*(1+'Base Period'!$D$153)</f>
        <v>#REF!</v>
      </c>
      <c r="K81" s="106" t="e">
        <f>SUM('Budget by Period'!Z87:Z99)*(1+'Base Period'!$D$149)*(1+'Base Period'!$D$153)</f>
        <v>#REF!</v>
      </c>
      <c r="L81" s="106" t="e">
        <f>SUM('Budget by Period'!AC87:AC99)*(1+'Base Period'!$D$149)*(1+'Base Period'!$D$153)</f>
        <v>#REF!</v>
      </c>
      <c r="M81" s="106" t="e">
        <f>SUM('Budget by Period'!AF87:AF99)*(1+'Base Period'!$D$149)*(1+'Base Period'!$D$153)</f>
        <v>#REF!</v>
      </c>
      <c r="N81" s="107" t="e">
        <f>SUM(D81:M81)</f>
        <v>#REF!</v>
      </c>
    </row>
    <row r="82" spans="3:14" x14ac:dyDescent="0.25">
      <c r="C82" s="110" t="s">
        <v>68</v>
      </c>
      <c r="D82" s="107">
        <f>SUM(D80:D81)</f>
        <v>0</v>
      </c>
      <c r="E82" s="107">
        <f t="shared" ref="E82:M82" si="5">SUM(E80:E81)</f>
        <v>0</v>
      </c>
      <c r="F82" s="107" t="e">
        <f t="shared" si="5"/>
        <v>#REF!</v>
      </c>
      <c r="G82" s="107" t="e">
        <f t="shared" si="5"/>
        <v>#REF!</v>
      </c>
      <c r="H82" s="107" t="e">
        <f t="shared" si="5"/>
        <v>#REF!</v>
      </c>
      <c r="I82" s="107" t="e">
        <f t="shared" si="5"/>
        <v>#REF!</v>
      </c>
      <c r="J82" s="107" t="e">
        <f t="shared" si="5"/>
        <v>#REF!</v>
      </c>
      <c r="K82" s="107" t="e">
        <f t="shared" si="5"/>
        <v>#REF!</v>
      </c>
      <c r="L82" s="107" t="e">
        <f t="shared" si="5"/>
        <v>#REF!</v>
      </c>
      <c r="M82" s="107" t="e">
        <f t="shared" si="5"/>
        <v>#REF!</v>
      </c>
      <c r="N82" s="107" t="e">
        <f>SUM(N80:N81)</f>
        <v>#REF!</v>
      </c>
    </row>
  </sheetData>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O154"/>
  <sheetViews>
    <sheetView showGridLines="0" zoomScale="80" zoomScaleNormal="80" workbookViewId="0">
      <selection activeCell="F148" sqref="F148"/>
    </sheetView>
  </sheetViews>
  <sheetFormatPr defaultRowHeight="15" x14ac:dyDescent="0.25"/>
  <cols>
    <col min="1" max="1" width="21.5703125" customWidth="1"/>
    <col min="2" max="2" width="34.140625" customWidth="1"/>
    <col min="3" max="3" width="39" customWidth="1"/>
    <col min="4" max="4" width="24.5703125" customWidth="1"/>
    <col min="5" max="5" width="15.7109375" customWidth="1"/>
    <col min="6" max="6" width="16.28515625" customWidth="1"/>
    <col min="7" max="7" width="15.7109375" customWidth="1"/>
    <col min="8" max="8" width="17" customWidth="1"/>
    <col min="9" max="9" width="15.7109375" customWidth="1"/>
    <col min="10" max="10" width="16.5703125" customWidth="1"/>
    <col min="11" max="11" width="15.7109375" customWidth="1"/>
    <col min="12" max="12" width="17.140625" customWidth="1"/>
    <col min="13" max="13" width="15.7109375" customWidth="1"/>
    <col min="14" max="14" width="17.140625" customWidth="1"/>
    <col min="15" max="15" width="15.7109375" customWidth="1"/>
    <col min="16" max="16" width="17.140625" customWidth="1"/>
    <col min="17" max="17" width="15.7109375" customWidth="1"/>
    <col min="18" max="18" width="17.140625" customWidth="1"/>
    <col min="19" max="19" width="15.7109375" customWidth="1"/>
    <col min="20" max="20" width="17.140625" customWidth="1"/>
    <col min="21" max="21" width="15.7109375" customWidth="1"/>
    <col min="22" max="22" width="17" customWidth="1"/>
    <col min="23" max="23" width="15.7109375" customWidth="1"/>
    <col min="24" max="24" width="17.140625" customWidth="1"/>
    <col min="25" max="25" width="15.7109375" customWidth="1"/>
    <col min="26" max="26" width="17.5703125" customWidth="1"/>
    <col min="27" max="27" width="15.7109375" customWidth="1"/>
    <col min="28" max="28" width="17.5703125" customWidth="1"/>
    <col min="29" max="29" width="15.7109375" customWidth="1"/>
    <col min="30" max="30" width="17.140625" customWidth="1"/>
    <col min="31" max="31" width="15.7109375" customWidth="1"/>
    <col min="32" max="32" width="17.140625" customWidth="1"/>
    <col min="33" max="33" width="15.7109375" customWidth="1"/>
    <col min="34" max="34" width="17.5703125" customWidth="1"/>
    <col min="35" max="35" width="15.7109375" hidden="1" customWidth="1"/>
    <col min="36" max="36" width="17.28515625" hidden="1" customWidth="1"/>
    <col min="37" max="37" width="15.7109375" hidden="1" customWidth="1"/>
    <col min="38" max="38" width="17.5703125" hidden="1" customWidth="1"/>
    <col min="39" max="39" width="15.7109375" hidden="1" customWidth="1"/>
    <col min="40" max="40" width="17.42578125" hidden="1" customWidth="1"/>
    <col min="41" max="41" width="15.7109375" hidden="1" customWidth="1"/>
    <col min="42" max="42" width="17" hidden="1" customWidth="1"/>
    <col min="43" max="43" width="15.7109375" hidden="1" customWidth="1"/>
    <col min="44" max="44" width="16.7109375" hidden="1" customWidth="1"/>
    <col min="45" max="45" width="15.7109375" hidden="1" customWidth="1"/>
    <col min="46" max="46" width="17.140625" hidden="1" customWidth="1"/>
    <col min="47" max="47" width="15.7109375" hidden="1" customWidth="1"/>
    <col min="48" max="48" width="17.140625" hidden="1" customWidth="1"/>
    <col min="49" max="49" width="15.7109375" hidden="1" customWidth="1"/>
    <col min="50" max="50" width="17" hidden="1" customWidth="1"/>
    <col min="51" max="51" width="15.7109375" hidden="1" customWidth="1"/>
    <col min="52" max="52" width="16.7109375" hidden="1" customWidth="1"/>
    <col min="53" max="53" width="15.7109375" hidden="1" customWidth="1"/>
    <col min="54" max="54" width="16.7109375" hidden="1" customWidth="1"/>
    <col min="55" max="55" width="15.7109375" hidden="1" customWidth="1"/>
    <col min="56" max="56" width="16.7109375" hidden="1" customWidth="1"/>
    <col min="57" max="57" width="15.7109375" hidden="1" customWidth="1"/>
    <col min="58" max="58" width="16.7109375" hidden="1" customWidth="1"/>
    <col min="59" max="59" width="15.7109375" hidden="1" customWidth="1"/>
    <col min="60" max="60" width="17" hidden="1" customWidth="1"/>
    <col min="61" max="61" width="15.7109375" hidden="1" customWidth="1"/>
    <col min="62" max="62" width="17.140625" hidden="1" customWidth="1"/>
    <col min="63" max="63" width="15.7109375" hidden="1" customWidth="1"/>
    <col min="64" max="64" width="16.7109375" hidden="1" customWidth="1"/>
    <col min="65" max="65" width="14.5703125" customWidth="1" collapsed="1"/>
    <col min="66" max="66" width="15.85546875" bestFit="1" customWidth="1"/>
  </cols>
  <sheetData>
    <row r="1" spans="1:65" x14ac:dyDescent="0.25">
      <c r="A1" s="2"/>
      <c r="B1" s="175" t="s">
        <v>185</v>
      </c>
      <c r="C1" s="175"/>
      <c r="D1" s="175"/>
    </row>
    <row r="2" spans="1:65" x14ac:dyDescent="0.25">
      <c r="B2" s="175" t="s">
        <v>186</v>
      </c>
      <c r="C2" s="175"/>
      <c r="D2" s="175"/>
    </row>
    <row r="3" spans="1:65" x14ac:dyDescent="0.25">
      <c r="B3" s="175" t="s">
        <v>180</v>
      </c>
      <c r="C3" s="175"/>
      <c r="D3" s="175"/>
    </row>
    <row r="4" spans="1:65" x14ac:dyDescent="0.25">
      <c r="B4" s="175" t="s">
        <v>144</v>
      </c>
      <c r="C4" s="175"/>
      <c r="D4" s="175"/>
    </row>
    <row r="5" spans="1:65" x14ac:dyDescent="0.25">
      <c r="B5" s="131"/>
      <c r="C5" s="131"/>
      <c r="D5" s="131"/>
    </row>
    <row r="6" spans="1:65" x14ac:dyDescent="0.25">
      <c r="B6" s="72"/>
      <c r="C6" s="156" t="s">
        <v>132</v>
      </c>
      <c r="D6" s="128">
        <v>44409</v>
      </c>
      <c r="E6" s="72" t="s">
        <v>129</v>
      </c>
      <c r="F6" s="129">
        <v>44044</v>
      </c>
      <c r="G6" s="72"/>
      <c r="H6" s="129">
        <v>44044</v>
      </c>
      <c r="I6" s="72"/>
      <c r="J6" s="129">
        <v>44044</v>
      </c>
      <c r="K6" s="72"/>
      <c r="L6" s="129">
        <v>44044</v>
      </c>
      <c r="M6" s="72"/>
      <c r="N6" s="129">
        <v>44044</v>
      </c>
      <c r="O6" s="72"/>
      <c r="P6" s="129">
        <v>44044</v>
      </c>
      <c r="Q6" s="72"/>
      <c r="R6" s="129">
        <v>44044</v>
      </c>
      <c r="S6" s="72"/>
      <c r="T6" s="129">
        <v>44044</v>
      </c>
      <c r="U6" s="72"/>
      <c r="V6" s="129">
        <v>44044</v>
      </c>
      <c r="W6" s="72"/>
      <c r="X6" s="129">
        <v>44044</v>
      </c>
      <c r="Y6" s="72"/>
      <c r="Z6" s="129">
        <v>44044</v>
      </c>
      <c r="AA6" s="72"/>
      <c r="AB6" s="129">
        <v>44044</v>
      </c>
      <c r="AC6" s="72"/>
      <c r="AD6" s="129">
        <v>44044</v>
      </c>
      <c r="AE6" s="72"/>
      <c r="AF6" s="129">
        <v>44044</v>
      </c>
      <c r="AG6" s="72"/>
      <c r="AH6" s="129">
        <v>44044</v>
      </c>
      <c r="AI6" s="72"/>
      <c r="AJ6" s="129"/>
      <c r="AK6" s="72"/>
      <c r="AL6" s="129"/>
      <c r="AM6" s="72"/>
      <c r="AN6" s="129"/>
      <c r="AO6" s="72"/>
      <c r="AP6" s="129"/>
      <c r="AQ6" s="72"/>
      <c r="AR6" s="129"/>
      <c r="AS6" s="72"/>
      <c r="AT6" s="129"/>
      <c r="AU6" s="72"/>
      <c r="AV6" s="129"/>
      <c r="AW6" s="72"/>
      <c r="AX6" s="129"/>
      <c r="AY6" s="72"/>
      <c r="AZ6" s="129"/>
      <c r="BA6" s="72"/>
      <c r="BB6" s="129"/>
      <c r="BC6" s="72"/>
      <c r="BD6" s="129"/>
      <c r="BE6" s="72"/>
      <c r="BF6" s="129"/>
      <c r="BG6" s="72"/>
      <c r="BH6" s="129"/>
      <c r="BI6" s="72"/>
      <c r="BJ6" s="129"/>
      <c r="BK6" s="72"/>
      <c r="BL6" s="129"/>
    </row>
    <row r="7" spans="1:65" x14ac:dyDescent="0.25">
      <c r="B7" s="131"/>
      <c r="C7" s="156" t="s">
        <v>133</v>
      </c>
      <c r="D7" s="130">
        <v>0.01</v>
      </c>
      <c r="E7" s="72" t="s">
        <v>130</v>
      </c>
      <c r="F7" s="129">
        <v>44408</v>
      </c>
      <c r="G7" s="72"/>
      <c r="H7" s="129">
        <v>44408</v>
      </c>
      <c r="I7" s="72"/>
      <c r="J7" s="129">
        <v>44408</v>
      </c>
      <c r="K7" s="72"/>
      <c r="L7" s="129">
        <v>44408</v>
      </c>
      <c r="M7" s="72"/>
      <c r="N7" s="129">
        <v>44408</v>
      </c>
      <c r="O7" s="72"/>
      <c r="P7" s="129">
        <v>44408</v>
      </c>
      <c r="Q7" s="72"/>
      <c r="R7" s="129">
        <v>44408</v>
      </c>
      <c r="S7" s="72"/>
      <c r="T7" s="129">
        <v>44408</v>
      </c>
      <c r="U7" s="72"/>
      <c r="V7" s="129">
        <v>44408</v>
      </c>
      <c r="W7" s="72"/>
      <c r="X7" s="129">
        <v>44408</v>
      </c>
      <c r="Y7" s="72"/>
      <c r="Z7" s="129">
        <v>44408</v>
      </c>
      <c r="AA7" s="72"/>
      <c r="AB7" s="129">
        <v>44408</v>
      </c>
      <c r="AC7" s="72"/>
      <c r="AD7" s="129">
        <v>44408</v>
      </c>
      <c r="AE7" s="72"/>
      <c r="AF7" s="129">
        <v>44408</v>
      </c>
      <c r="AG7" s="72"/>
      <c r="AH7" s="129">
        <v>44408</v>
      </c>
      <c r="AI7" s="72"/>
      <c r="AJ7" s="129"/>
      <c r="AK7" s="72"/>
      <c r="AL7" s="129"/>
      <c r="AM7" s="72"/>
      <c r="AN7" s="129"/>
      <c r="AO7" s="72"/>
      <c r="AP7" s="129"/>
      <c r="AQ7" s="72"/>
      <c r="AR7" s="129"/>
      <c r="AS7" s="72"/>
      <c r="AT7" s="129"/>
      <c r="AU7" s="72"/>
      <c r="AV7" s="129"/>
      <c r="AW7" s="72"/>
      <c r="AX7" s="129"/>
      <c r="AY7" s="72"/>
      <c r="AZ7" s="129"/>
      <c r="BA7" s="72"/>
      <c r="BB7" s="129"/>
      <c r="BC7" s="72"/>
      <c r="BD7" s="129"/>
      <c r="BE7" s="72"/>
      <c r="BF7" s="129"/>
      <c r="BG7" s="72"/>
      <c r="BH7" s="129"/>
      <c r="BI7" s="72"/>
      <c r="BJ7" s="129"/>
      <c r="BK7" s="72"/>
      <c r="BL7" s="129"/>
    </row>
    <row r="8" spans="1:65" x14ac:dyDescent="0.25">
      <c r="A8" s="119"/>
      <c r="B8" s="120"/>
      <c r="C8" s="157" t="s">
        <v>62</v>
      </c>
      <c r="D8" s="121"/>
      <c r="E8" s="121"/>
      <c r="F8" s="122"/>
      <c r="G8" s="121"/>
      <c r="H8" s="122"/>
      <c r="I8" s="121"/>
      <c r="J8" s="122"/>
      <c r="K8" s="121"/>
      <c r="L8" s="122"/>
      <c r="M8" s="121"/>
      <c r="N8" s="122"/>
      <c r="O8" s="121"/>
      <c r="P8" s="122"/>
      <c r="Q8" s="121"/>
      <c r="R8" s="122"/>
      <c r="S8" s="121"/>
      <c r="T8" s="122"/>
      <c r="U8" s="121"/>
      <c r="V8" s="122"/>
      <c r="W8" s="121"/>
      <c r="X8" s="122"/>
      <c r="Y8" s="121"/>
      <c r="Z8" s="122"/>
      <c r="AA8" s="121"/>
      <c r="AB8" s="122"/>
      <c r="AC8" s="121"/>
      <c r="AD8" s="122"/>
      <c r="AE8" s="121"/>
      <c r="AF8" s="122"/>
      <c r="AG8" s="121"/>
      <c r="AH8" s="122"/>
      <c r="AI8" s="121"/>
      <c r="AJ8" s="122"/>
      <c r="AK8" s="121"/>
      <c r="AL8" s="122"/>
      <c r="AM8" s="121"/>
      <c r="AN8" s="122"/>
      <c r="AO8" s="121"/>
      <c r="AP8" s="122"/>
      <c r="AQ8" s="121"/>
      <c r="AR8" s="122"/>
      <c r="AS8" s="121"/>
      <c r="AT8" s="122"/>
      <c r="AU8" s="121"/>
      <c r="AV8" s="122"/>
      <c r="AW8" s="121"/>
      <c r="AX8" s="122"/>
      <c r="AY8" s="121"/>
      <c r="AZ8" s="122"/>
      <c r="BA8" s="121"/>
      <c r="BB8" s="122"/>
      <c r="BC8" s="121"/>
      <c r="BD8" s="122"/>
      <c r="BE8" s="121"/>
      <c r="BF8" s="122"/>
      <c r="BG8" s="121"/>
      <c r="BH8" s="122"/>
      <c r="BI8" s="121"/>
      <c r="BJ8" s="122"/>
      <c r="BK8" s="121"/>
      <c r="BL8" s="122"/>
      <c r="BM8" s="119"/>
    </row>
    <row r="9" spans="1:65" hidden="1" x14ac:dyDescent="0.25">
      <c r="A9" s="119"/>
      <c r="B9" s="120"/>
      <c r="C9" s="120"/>
      <c r="D9" s="121"/>
      <c r="E9" s="121"/>
      <c r="F9" s="137"/>
      <c r="G9" s="121"/>
      <c r="H9" s="122"/>
      <c r="I9" s="121"/>
      <c r="J9" s="122"/>
      <c r="K9" s="121"/>
      <c r="L9" s="122"/>
      <c r="M9" s="121"/>
      <c r="N9" s="122"/>
      <c r="O9" s="121"/>
      <c r="P9" s="122"/>
      <c r="Q9" s="121"/>
      <c r="R9" s="122"/>
      <c r="S9" s="121"/>
      <c r="T9" s="122"/>
      <c r="U9" s="121"/>
      <c r="V9" s="122"/>
      <c r="W9" s="121"/>
      <c r="X9" s="122"/>
      <c r="Y9" s="121"/>
      <c r="Z9" s="122"/>
      <c r="AA9" s="121"/>
      <c r="AB9" s="122"/>
      <c r="AC9" s="121"/>
      <c r="AD9" s="122"/>
      <c r="AE9" s="121"/>
      <c r="AF9" s="122"/>
      <c r="AG9" s="121"/>
      <c r="AH9" s="122"/>
      <c r="AI9" s="121"/>
      <c r="AJ9" s="122"/>
      <c r="AK9" s="121"/>
      <c r="AL9" s="122"/>
      <c r="AM9" s="121"/>
      <c r="AN9" s="122"/>
      <c r="AO9" s="121"/>
      <c r="AP9" s="122"/>
      <c r="AQ9" s="121"/>
      <c r="AR9" s="122"/>
      <c r="AS9" s="121"/>
      <c r="AT9" s="122"/>
      <c r="AU9" s="121"/>
      <c r="AV9" s="122"/>
      <c r="AW9" s="121"/>
      <c r="AX9" s="122"/>
      <c r="AY9" s="121"/>
      <c r="AZ9" s="122"/>
      <c r="BA9" s="121"/>
      <c r="BB9" s="122"/>
      <c r="BC9" s="121"/>
      <c r="BD9" s="122"/>
      <c r="BE9" s="121"/>
      <c r="BF9" s="122"/>
      <c r="BG9" s="121"/>
      <c r="BH9" s="122"/>
      <c r="BI9" s="121"/>
      <c r="BJ9" s="122"/>
      <c r="BK9" s="121"/>
      <c r="BL9" s="122"/>
      <c r="BM9" s="119"/>
    </row>
    <row r="10" spans="1:65" hidden="1" x14ac:dyDescent="0.25">
      <c r="A10" s="119"/>
      <c r="B10" s="120"/>
      <c r="C10" s="120"/>
      <c r="D10" s="121"/>
      <c r="E10" s="121"/>
      <c r="F10" s="119">
        <f>IF(ISBLANK(F7)=1,0,IF(F8="Invalid Start Date",0,IF(F9="Invalid End Date",0,ROUND(DAYS360(F$6,F$7)/30,1))))</f>
        <v>12</v>
      </c>
      <c r="G10" s="121"/>
      <c r="H10" s="119">
        <f>IF(ISBLANK(H7)=1,0,IF(H8="Invalid Start Date",0,IF(H9="Invalid End Date",0,ROUND(DAYS360(H$6,H$7)/30,1))))</f>
        <v>12</v>
      </c>
      <c r="I10" s="119"/>
      <c r="J10" s="119">
        <f t="shared" ref="J10:BL10" si="0">IF(ISBLANK(J7)=1,0,IF(J8="Invalid Start Date",0,IF(J9="Invalid End Date",0,ROUND(DAYS360(J$6,J$7)/30,1))))</f>
        <v>12</v>
      </c>
      <c r="K10" s="119"/>
      <c r="L10" s="119">
        <f t="shared" si="0"/>
        <v>12</v>
      </c>
      <c r="M10" s="119"/>
      <c r="N10" s="119">
        <f t="shared" si="0"/>
        <v>12</v>
      </c>
      <c r="O10" s="119"/>
      <c r="P10" s="119">
        <f t="shared" si="0"/>
        <v>12</v>
      </c>
      <c r="Q10" s="119"/>
      <c r="R10" s="119">
        <f t="shared" si="0"/>
        <v>12</v>
      </c>
      <c r="S10" s="119"/>
      <c r="T10" s="119">
        <f t="shared" si="0"/>
        <v>12</v>
      </c>
      <c r="U10" s="119"/>
      <c r="V10" s="119">
        <f t="shared" si="0"/>
        <v>12</v>
      </c>
      <c r="W10" s="119"/>
      <c r="X10" s="119">
        <f t="shared" si="0"/>
        <v>12</v>
      </c>
      <c r="Y10" s="119"/>
      <c r="Z10" s="119">
        <f t="shared" si="0"/>
        <v>12</v>
      </c>
      <c r="AA10" s="119"/>
      <c r="AB10" s="119">
        <f t="shared" si="0"/>
        <v>12</v>
      </c>
      <c r="AC10" s="119"/>
      <c r="AD10" s="119">
        <f t="shared" si="0"/>
        <v>12</v>
      </c>
      <c r="AE10" s="119"/>
      <c r="AF10" s="119">
        <f t="shared" si="0"/>
        <v>12</v>
      </c>
      <c r="AG10" s="119"/>
      <c r="AH10" s="119">
        <f t="shared" si="0"/>
        <v>12</v>
      </c>
      <c r="AI10" s="119"/>
      <c r="AJ10" s="119">
        <f t="shared" si="0"/>
        <v>0</v>
      </c>
      <c r="AK10" s="119"/>
      <c r="AL10" s="119">
        <f t="shared" si="0"/>
        <v>0</v>
      </c>
      <c r="AM10" s="119"/>
      <c r="AN10" s="119">
        <f t="shared" si="0"/>
        <v>0</v>
      </c>
      <c r="AO10" s="119"/>
      <c r="AP10" s="119">
        <f t="shared" si="0"/>
        <v>0</v>
      </c>
      <c r="AQ10" s="119"/>
      <c r="AR10" s="119">
        <f t="shared" si="0"/>
        <v>0</v>
      </c>
      <c r="AS10" s="119"/>
      <c r="AT10" s="119">
        <f t="shared" si="0"/>
        <v>0</v>
      </c>
      <c r="AU10" s="119"/>
      <c r="AV10" s="119">
        <f t="shared" si="0"/>
        <v>0</v>
      </c>
      <c r="AW10" s="119"/>
      <c r="AX10" s="119">
        <f t="shared" si="0"/>
        <v>0</v>
      </c>
      <c r="AY10" s="119"/>
      <c r="AZ10" s="119">
        <f t="shared" si="0"/>
        <v>0</v>
      </c>
      <c r="BA10" s="119"/>
      <c r="BB10" s="119">
        <f t="shared" si="0"/>
        <v>0</v>
      </c>
      <c r="BC10" s="119"/>
      <c r="BD10" s="119">
        <f t="shared" si="0"/>
        <v>0</v>
      </c>
      <c r="BE10" s="119"/>
      <c r="BF10" s="119">
        <f t="shared" si="0"/>
        <v>0</v>
      </c>
      <c r="BG10" s="119"/>
      <c r="BH10" s="119">
        <f t="shared" si="0"/>
        <v>0</v>
      </c>
      <c r="BI10" s="119"/>
      <c r="BJ10" s="119">
        <f t="shared" si="0"/>
        <v>0</v>
      </c>
      <c r="BK10" s="119"/>
      <c r="BL10" s="119">
        <f t="shared" si="0"/>
        <v>0</v>
      </c>
      <c r="BM10" s="119"/>
    </row>
    <row r="11" spans="1:65" hidden="1" x14ac:dyDescent="0.25">
      <c r="A11" s="119"/>
      <c r="B11" s="120"/>
      <c r="C11" s="120"/>
      <c r="D11" s="121"/>
      <c r="E11" s="121"/>
      <c r="F11" s="144"/>
      <c r="G11" s="121"/>
      <c r="H11" s="119"/>
      <c r="I11" s="121"/>
      <c r="J11" s="119"/>
      <c r="K11" s="121"/>
      <c r="L11" s="119"/>
      <c r="M11" s="121"/>
      <c r="N11" s="119"/>
      <c r="O11" s="121"/>
      <c r="P11" s="119"/>
      <c r="Q11" s="121"/>
      <c r="R11" s="119"/>
      <c r="S11" s="121"/>
      <c r="T11" s="119"/>
      <c r="U11" s="121"/>
      <c r="V11" s="119"/>
      <c r="W11" s="121"/>
      <c r="X11" s="119"/>
      <c r="Y11" s="121"/>
      <c r="Z11" s="119"/>
      <c r="AA11" s="121"/>
      <c r="AB11" s="119"/>
      <c r="AC11" s="121"/>
      <c r="AD11" s="119"/>
      <c r="AE11" s="121"/>
      <c r="AF11" s="119"/>
      <c r="AG11" s="121"/>
      <c r="AH11" s="119"/>
      <c r="AI11" s="121"/>
      <c r="AJ11" s="119"/>
      <c r="AK11" s="121"/>
      <c r="AL11" s="119"/>
      <c r="AM11" s="121"/>
      <c r="AN11" s="119"/>
      <c r="AO11" s="121"/>
      <c r="AP11" s="119"/>
      <c r="AQ11" s="121"/>
      <c r="AR11" s="119"/>
      <c r="AS11" s="121"/>
      <c r="AT11" s="119"/>
      <c r="AU11" s="121"/>
      <c r="AV11" s="119"/>
      <c r="AW11" s="121"/>
      <c r="AX11" s="119"/>
      <c r="AY11" s="121"/>
      <c r="AZ11" s="119"/>
      <c r="BA11" s="121"/>
      <c r="BB11" s="119"/>
      <c r="BC11" s="121"/>
      <c r="BD11" s="119"/>
      <c r="BE11" s="121"/>
      <c r="BF11" s="119"/>
      <c r="BG11" s="121"/>
      <c r="BH11" s="119"/>
      <c r="BI11" s="121"/>
      <c r="BJ11" s="119"/>
      <c r="BK11" s="121"/>
      <c r="BL11" s="119"/>
      <c r="BM11" s="119"/>
    </row>
    <row r="12" spans="1:65" ht="15.75" hidden="1" x14ac:dyDescent="0.25">
      <c r="A12" s="134">
        <f>DATE(YEAR($D$6)-1,MONTH($D$6),DAY($D$6))</f>
        <v>44044</v>
      </c>
      <c r="B12" s="134">
        <f>DATE(YEAR(A12)+1,MONTH(A12),DAY(A12))-1</f>
        <v>44408</v>
      </c>
      <c r="C12" s="154">
        <v>0</v>
      </c>
      <c r="D12" s="123"/>
      <c r="E12" s="124"/>
      <c r="F12" s="153">
        <f>IF(F10=0,0,ROUND(IF(F$6&gt;$B12,0,IF(F$7&lt;$B12,F$10,DAYS360(F$6,$B12)/30)),1))</f>
        <v>12</v>
      </c>
      <c r="G12" s="124"/>
      <c r="H12" s="138">
        <f>IF(H10=0,0,ROUND(IF(H$6&gt;$B12,0,IF(H$7&lt;$B12,H$10,DAYS360(H$6,$B12)/30)),1))</f>
        <v>12</v>
      </c>
      <c r="I12" s="124"/>
      <c r="J12" s="138">
        <f>IF(J10=0,0,ROUND(IF(J$6&gt;$B12,0,IF(J$7&lt;$B12,J$10,DAYS360(J$6,$B12)/30)),1))</f>
        <v>12</v>
      </c>
      <c r="K12" s="124"/>
      <c r="L12" s="138">
        <f>IF(L10=0,0,ROUND(IF(L$6&gt;$B12,0,IF(L$7&lt;$B12,L$10,DAYS360(L$6,$B12)/30)),1))</f>
        <v>12</v>
      </c>
      <c r="M12" s="124"/>
      <c r="N12" s="138">
        <f>IF(N10=0,0,ROUND(IF(N$6&gt;$B12,0,IF(N$7&lt;$B12,N$10,DAYS360(N$6,$B12)/30)),1))</f>
        <v>12</v>
      </c>
      <c r="O12" s="124"/>
      <c r="P12" s="138">
        <f>IF(P10=0,0,ROUND(IF(P$6&gt;$B12,0,IF(P$7&lt;$B12,P$10,DAYS360(P$6,$B12)/30)),1))</f>
        <v>12</v>
      </c>
      <c r="Q12" s="124"/>
      <c r="R12" s="138">
        <f>IF(R10=0,0,ROUND(IF(R$6&gt;$B12,0,IF(R$7&lt;$B12,R$10,DAYS360(R$6,$B12)/30)),1))</f>
        <v>12</v>
      </c>
      <c r="S12" s="124"/>
      <c r="T12" s="138">
        <f>IF(T10=0,0,ROUND(IF(T$6&gt;$B12,0,IF(T$7&lt;$B12,T$10,DAYS360(T$6,$B12)/30)),1))</f>
        <v>12</v>
      </c>
      <c r="U12" s="124"/>
      <c r="V12" s="138">
        <f>IF(V10=0,0,ROUND(IF(V$6&gt;$B12,0,IF(V$7&lt;$B12,V$10,DAYS360(V$6,$B12)/30)),1))</f>
        <v>12</v>
      </c>
      <c r="W12" s="124"/>
      <c r="X12" s="138">
        <f>IF(X10=0,0,ROUND(IF(X$6&gt;$B12,0,IF(X$7&lt;$B12,X$10,DAYS360(X$6,$B12)/30)),1))</f>
        <v>12</v>
      </c>
      <c r="Y12" s="124"/>
      <c r="Z12" s="138">
        <f>IF(Z10=0,0,ROUND(IF(Z$6&gt;$B12,0,IF(Z$7&lt;$B12,Z$10,DAYS360(Z$6,$B12)/30)),1))</f>
        <v>12</v>
      </c>
      <c r="AA12" s="124"/>
      <c r="AB12" s="138">
        <f>IF(AB10=0,0,ROUND(IF(AB$6&gt;$B12,0,IF(AB$7&lt;$B12,AB$10,DAYS360(AB$6,$B12)/30)),1))</f>
        <v>12</v>
      </c>
      <c r="AC12" s="124"/>
      <c r="AD12" s="138">
        <f>IF(AD10=0,0,ROUND(IF(AD$6&gt;$B12,0,IF(AD$7&lt;$B12,AD$10,DAYS360(AD$6,$B12)/30)),1))</f>
        <v>12</v>
      </c>
      <c r="AE12" s="124"/>
      <c r="AF12" s="138">
        <f>IF(AF10=0,0,ROUND(IF(AF$6&gt;$B12,0,IF(AF$7&lt;$B12,AF$10,DAYS360(AF$6,$B12)/30)),1))</f>
        <v>12</v>
      </c>
      <c r="AG12" s="124"/>
      <c r="AH12" s="138">
        <f>IF(AH10=0,0,ROUND(IF(AH$6&gt;$B12,0,IF(AH$7&lt;$B12,AH$10,DAYS360(AH$6,$B12)/30)),1))</f>
        <v>12</v>
      </c>
      <c r="AI12" s="124"/>
      <c r="AJ12" s="138">
        <f>IF(AJ10=0,0,ROUND(IF(AJ$6&gt;$B12,0,IF(AJ$7&lt;$B12,AJ$10,DAYS360(AJ$6,$B12)/30)),1))</f>
        <v>0</v>
      </c>
      <c r="AK12" s="124"/>
      <c r="AL12" s="138">
        <f>IF(AL10=0,0,ROUND(IF(AL$6&gt;$B12,0,IF(AL$7&lt;$B12,AL$10,DAYS360(AL$6,$B12)/30)),1))</f>
        <v>0</v>
      </c>
      <c r="AM12" s="124"/>
      <c r="AN12" s="138">
        <f>IF(AN10=0,0,ROUND(IF(AN$6&gt;$B12,0,IF(AN$7&lt;$B12,AN$10,DAYS360(AN$6,$B12)/30)),1))</f>
        <v>0</v>
      </c>
      <c r="AO12" s="124"/>
      <c r="AP12" s="138">
        <f>IF(AP10=0,0,ROUND(IF(AP$6&gt;$B12,0,IF(AP$7&lt;$B12,AP$10,DAYS360(AP$6,$B12)/30)),1))</f>
        <v>0</v>
      </c>
      <c r="AQ12" s="124"/>
      <c r="AR12" s="138">
        <f>IF(AR10=0,0,ROUND(IF(AR$6&gt;$B12,0,IF(AR$7&lt;$B12,AR$10,DAYS360(AR$6,$B12)/30)),1))</f>
        <v>0</v>
      </c>
      <c r="AS12" s="124"/>
      <c r="AT12" s="138">
        <f>IF(AT10=0,0,ROUND(IF(AT$6&gt;$B12,0,IF(AT$7&lt;$B12,AT$10,DAYS360(AT$6,$B12)/30)),1))</f>
        <v>0</v>
      </c>
      <c r="AU12" s="124"/>
      <c r="AV12" s="138">
        <f>IF(AV10=0,0,ROUND(IF(AV$6&gt;$B12,0,IF(AV$7&lt;$B12,AV$10,DAYS360(AV$6,$B12)/30)),1))</f>
        <v>0</v>
      </c>
      <c r="AW12" s="124"/>
      <c r="AX12" s="138">
        <f>IF(AX10=0,0,ROUND(IF(AX$6&gt;$B12,0,IF(AX$7&lt;$B12,AX$10,DAYS360(AX$6,$B12)/30)),1))</f>
        <v>0</v>
      </c>
      <c r="AY12" s="124"/>
      <c r="AZ12" s="138">
        <f>IF(AZ10=0,0,ROUND(IF(AZ$6&gt;$B12,0,IF(AZ$7&lt;$B12,AZ$10,DAYS360(AZ$6,$B12)/30)),1))</f>
        <v>0</v>
      </c>
      <c r="BA12" s="124"/>
      <c r="BB12" s="138">
        <f>IF(BB10=0,0,ROUND(IF(BB$6&gt;$B12,0,IF(BB$7&lt;$B12,BB$10,DAYS360(BB$6,$B12)/30)),1))</f>
        <v>0</v>
      </c>
      <c r="BC12" s="124"/>
      <c r="BD12" s="138">
        <f>IF(BD10=0,0,ROUND(IF(BD$6&gt;$B12,0,IF(BD$7&lt;$B12,BD$10,DAYS360(BD$6,$B12)/30)),1))</f>
        <v>0</v>
      </c>
      <c r="BE12" s="124"/>
      <c r="BF12" s="138">
        <f>IF(BF10=0,0,ROUND(IF(BF$6&gt;$B12,0,IF(BF$7&lt;$B12,BF$10,DAYS360(BF$6,$B12)/30)),1))</f>
        <v>0</v>
      </c>
      <c r="BG12" s="124"/>
      <c r="BH12" s="138">
        <f>IF(BH10=0,0,ROUND(IF(BH$6&gt;$B12,0,IF(BH$7&lt;$B12,BH$10,DAYS360(BH$6,$B12)/30)),1))</f>
        <v>0</v>
      </c>
      <c r="BI12" s="124"/>
      <c r="BJ12" s="138">
        <f>IF(BJ10=0,0,ROUND(IF(BJ$6&gt;$B12,0,IF(BJ$7&lt;$B12,BJ$10,DAYS360(BJ$6,$B12)/30)),1))</f>
        <v>0</v>
      </c>
      <c r="BK12" s="124"/>
      <c r="BL12" s="138">
        <f>IF(BL10=0,0,ROUND(IF(BL$6&gt;$B12,0,IF(BL$7&lt;$B12,BL$10,DAYS360(BL$6,$B12)/30)),1))</f>
        <v>0</v>
      </c>
      <c r="BM12" s="119"/>
    </row>
    <row r="13" spans="1:65" ht="15.75" hidden="1" x14ac:dyDescent="0.25">
      <c r="A13" s="134">
        <f t="shared" ref="A13:A22" si="1">DATE(YEAR(A12)+1,MONTH(A12),DAY(A12))</f>
        <v>44409</v>
      </c>
      <c r="B13" s="134">
        <f t="shared" ref="B13:B18" si="2">DATE(YEAR(B12)+1,MONTH(B12),DAY(B12))</f>
        <v>44773</v>
      </c>
      <c r="C13" s="155">
        <f>D7</f>
        <v>0.01</v>
      </c>
      <c r="D13" s="125"/>
      <c r="E13" s="124"/>
      <c r="F13" s="153">
        <f>IF(F$10=0,0,ROUND(IF(F$6&gt;$B13,0,IF(F$7&lt;$B13,F$10-SUM(F$12:F12),(DAYS360(F$6,$B13)/30)-SUM(F$12:F12))),1))</f>
        <v>0</v>
      </c>
      <c r="G13" s="124"/>
      <c r="H13" s="138">
        <f>IF(H$10=0,0,ROUND(IF(H$6&gt;$B13,0,IF(H$7&lt;$B13,H$10-SUM(H$12:H12),(DAYS360(H$6,$B13)/30)-SUM(H$12:H12))),1))</f>
        <v>0</v>
      </c>
      <c r="I13" s="124"/>
      <c r="J13" s="138">
        <f>IF(J$10=0,0,ROUND(IF(J$6&gt;$B13,0,IF(J$7&lt;$B13,J$10-SUM(J$12:J12),(DAYS360(J$6,$B13)/30)-SUM(J$12:J12))),1))</f>
        <v>0</v>
      </c>
      <c r="K13" s="124"/>
      <c r="L13" s="138">
        <f>IF(L$10=0,0,ROUND(IF(L$6&gt;$B13,0,IF(L$7&lt;$B13,L$10-SUM(L$12:L12),(DAYS360(L$6,$B13)/30)-SUM(L$12:L12))),1))</f>
        <v>0</v>
      </c>
      <c r="M13" s="124"/>
      <c r="N13" s="138">
        <f>IF(N$10=0,0,ROUND(IF(N$6&gt;$B13,0,IF(N$7&lt;$B13,N$10-SUM(N$12:N12),(DAYS360(N$6,$B13)/30)-SUM(N$12:N12))),1))</f>
        <v>0</v>
      </c>
      <c r="O13" s="124"/>
      <c r="P13" s="138">
        <f>IF(P$10=0,0,ROUND(IF(P$6&gt;$B13,0,IF(P$7&lt;$B13,P$10-SUM(P$12:P12),(DAYS360(P$6,$B13)/30)-SUM(P$12:P12))),1))</f>
        <v>0</v>
      </c>
      <c r="Q13" s="124"/>
      <c r="R13" s="138">
        <f>IF(R$10=0,0,ROUND(IF(R$6&gt;$B13,0,IF(R$7&lt;$B13,R$10-SUM(R$12:R12),(DAYS360(R$6,$B13)/30)-SUM(R$12:R12))),1))</f>
        <v>0</v>
      </c>
      <c r="S13" s="124"/>
      <c r="T13" s="138">
        <f>IF(T$10=0,0,ROUND(IF(T$6&gt;$B13,0,IF(T$7&lt;$B13,T$10-SUM(T$12:T12),(DAYS360(T$6,$B13)/30)-SUM(T$12:T12))),1))</f>
        <v>0</v>
      </c>
      <c r="U13" s="124"/>
      <c r="V13" s="138">
        <f>IF(V$10=0,0,ROUND(IF(V$6&gt;$B13,0,IF(V$7&lt;$B13,V$10-SUM(V$12:V12),(DAYS360(V$6,$B13)/30)-SUM(V$12:V12))),1))</f>
        <v>0</v>
      </c>
      <c r="W13" s="124"/>
      <c r="X13" s="138">
        <f>IF(X$10=0,0,ROUND(IF(X$6&gt;$B13,0,IF(X$7&lt;$B13,X$10-SUM(X$12:X12),(DAYS360(X$6,$B13)/30)-SUM(X$12:X12))),1))</f>
        <v>0</v>
      </c>
      <c r="Y13" s="124"/>
      <c r="Z13" s="138">
        <f>IF(Z$10=0,0,ROUND(IF(Z$6&gt;$B13,0,IF(Z$7&lt;$B13,Z$10-SUM(Z$12:Z12),(DAYS360(Z$6,$B13)/30)-SUM(Z$12:Z12))),1))</f>
        <v>0</v>
      </c>
      <c r="AA13" s="124"/>
      <c r="AB13" s="138">
        <f>IF(AB$10=0,0,ROUND(IF(AB$6&gt;$B13,0,IF(AB$7&lt;$B13,AB$10-SUM(AB$12:AB12),(DAYS360(AB$6,$B13)/30)-SUM(AB$12:AB12))),1))</f>
        <v>0</v>
      </c>
      <c r="AC13" s="124"/>
      <c r="AD13" s="138">
        <f>IF(AD$10=0,0,ROUND(IF(AD$6&gt;$B13,0,IF(AD$7&lt;$B13,AD$10-SUM(AD$12:AD12),(DAYS360(AD$6,$B13)/30)-SUM(AD$12:AD12))),1))</f>
        <v>0</v>
      </c>
      <c r="AE13" s="124"/>
      <c r="AF13" s="138">
        <f>IF(AF$10=0,0,ROUND(IF(AF$6&gt;$B13,0,IF(AF$7&lt;$B13,AF$10-SUM(AF$12:AF12),(DAYS360(AF$6,$B13)/30)-SUM(AF$12:AF12))),1))</f>
        <v>0</v>
      </c>
      <c r="AG13" s="124"/>
      <c r="AH13" s="138">
        <f>IF(AH$10=0,0,ROUND(IF(AH$6&gt;$B13,0,IF(AH$7&lt;$B13,AH$10-SUM(AH$12:AH12),(DAYS360(AH$6,$B13)/30)-SUM(AH$12:AH12))),1))</f>
        <v>0</v>
      </c>
      <c r="AI13" s="124"/>
      <c r="AJ13" s="138">
        <f>IF(AJ$10=0,0,ROUND(IF(AJ$6&gt;$B13,0,IF(AJ$7&lt;$B13,AJ$10-SUM(AJ$12:AJ12),(DAYS360(AJ$6,$B13)/30)-SUM(AJ$12:AJ12))),1))</f>
        <v>0</v>
      </c>
      <c r="AK13" s="124"/>
      <c r="AL13" s="138">
        <f>IF(AL$10=0,0,ROUND(IF(AL$6&gt;$B13,0,IF(AL$7&lt;$B13,AL$10-SUM(AL$12:AL12),(DAYS360(AL$6,$B13)/30)-SUM(AL$12:AL12))),1))</f>
        <v>0</v>
      </c>
      <c r="AM13" s="124"/>
      <c r="AN13" s="138">
        <f>IF(AN$10=0,0,ROUND(IF(AN$6&gt;$B13,0,IF(AN$7&lt;$B13,AN$10-SUM(AN$12:AN12),(DAYS360(AN$6,$B13)/30)-SUM(AN$12:AN12))),1))</f>
        <v>0</v>
      </c>
      <c r="AO13" s="124"/>
      <c r="AP13" s="138">
        <f>IF(AP$10=0,0,ROUND(IF(AP$6&gt;$B13,0,IF(AP$7&lt;$B13,AP$10-SUM(AP$12:AP12),(DAYS360(AP$6,$B13)/30)-SUM(AP$12:AP12))),1))</f>
        <v>0</v>
      </c>
      <c r="AQ13" s="124"/>
      <c r="AR13" s="138">
        <f>IF(AR$10=0,0,ROUND(IF(AR$6&gt;$B13,0,IF(AR$7&lt;$B13,AR$10-SUM(AR$12:AR12),(DAYS360(AR$6,$B13)/30)-SUM(AR$12:AR12))),1))</f>
        <v>0</v>
      </c>
      <c r="AS13" s="124"/>
      <c r="AT13" s="138">
        <f>IF(AT$10=0,0,ROUND(IF(AT$6&gt;$B13,0,IF(AT$7&lt;$B13,AT$10-SUM(AT$12:AT12),(DAYS360(AT$6,$B13)/30)-SUM(AT$12:AT12))),1))</f>
        <v>0</v>
      </c>
      <c r="AU13" s="124"/>
      <c r="AV13" s="138">
        <f>IF(AV$10=0,0,ROUND(IF(AV$6&gt;$B13,0,IF(AV$7&lt;$B13,AV$10-SUM(AV$12:AV12),(DAYS360(AV$6,$B13)/30)-SUM(AV$12:AV12))),1))</f>
        <v>0</v>
      </c>
      <c r="AW13" s="124"/>
      <c r="AX13" s="138">
        <f>IF(AX$10=0,0,ROUND(IF(AX$6&gt;$B13,0,IF(AX$7&lt;$B13,AX$10-SUM(AX$12:AX12),(DAYS360(AX$6,$B13)/30)-SUM(AX$12:AX12))),1))</f>
        <v>0</v>
      </c>
      <c r="AY13" s="124"/>
      <c r="AZ13" s="138">
        <f>IF(AZ$10=0,0,ROUND(IF(AZ$6&gt;$B13,0,IF(AZ$7&lt;$B13,AZ$10-SUM(AZ$12:AZ12),(DAYS360(AZ$6,$B13)/30)-SUM(AZ$12:AZ12))),1))</f>
        <v>0</v>
      </c>
      <c r="BA13" s="124"/>
      <c r="BB13" s="138">
        <f>IF(BB$10=0,0,ROUND(IF(BB$6&gt;$B13,0,IF(BB$7&lt;$B13,BB$10-SUM(BB$12:BB12),(DAYS360(BB$6,$B13)/30)-SUM(BB$12:BB12))),1))</f>
        <v>0</v>
      </c>
      <c r="BC13" s="124"/>
      <c r="BD13" s="138">
        <f>IF(BD$10=0,0,ROUND(IF(BD$6&gt;$B13,0,IF(BD$7&lt;$B13,BD$10-SUM(BD$12:BD12),(DAYS360(BD$6,$B13)/30)-SUM(BD$12:BD12))),1))</f>
        <v>0</v>
      </c>
      <c r="BE13" s="124"/>
      <c r="BF13" s="138">
        <f>IF(BF$10=0,0,ROUND(IF(BF$6&gt;$B13,0,IF(BF$7&lt;$B13,BF$10-SUM(BF$12:BF12),(DAYS360(BF$6,$B13)/30)-SUM(BF$12:BF12))),1))</f>
        <v>0</v>
      </c>
      <c r="BG13" s="124"/>
      <c r="BH13" s="138">
        <f>IF(BH$10=0,0,ROUND(IF(BH$6&gt;$B13,0,IF(BH$7&lt;$B13,BH$10-SUM(BH$12:BH12),(DAYS360(BH$6,$B13)/30)-SUM(BH$12:BH12))),1))</f>
        <v>0</v>
      </c>
      <c r="BI13" s="124"/>
      <c r="BJ13" s="138">
        <f>IF(BJ$10=0,0,ROUND(IF(BJ$6&gt;$B13,0,IF(BJ$7&lt;$B13,BJ$10-SUM(BJ$12:BJ12),(DAYS360(BJ$6,$B13)/30)-SUM(BJ$12:BJ12))),1))</f>
        <v>0</v>
      </c>
      <c r="BK13" s="124"/>
      <c r="BL13" s="138">
        <f>IF(BL$10=0,0,ROUND(IF(BL$6&gt;$B13,0,IF(BL$7&lt;$B13,BL$10-SUM(BL$12:BL12),(DAYS360(BL$6,$B13)/30)-SUM(BL$12:BL12))),1))</f>
        <v>0</v>
      </c>
      <c r="BM13" s="119"/>
    </row>
    <row r="14" spans="1:65" ht="15.75" hidden="1" x14ac:dyDescent="0.25">
      <c r="A14" s="134">
        <f t="shared" si="1"/>
        <v>44774</v>
      </c>
      <c r="B14" s="134">
        <f t="shared" si="2"/>
        <v>45138</v>
      </c>
      <c r="C14" s="154">
        <f>(1+C$13)*(1+C$13)-1</f>
        <v>2.0100000000000007E-2</v>
      </c>
      <c r="D14" s="123"/>
      <c r="E14" s="124"/>
      <c r="F14" s="153">
        <f>IF(F$10=0,0,ROUND(IF(F$6&gt;$B14,0,IF(F$7&lt;$B14,F$10-SUM(F$12:F13),(DAYS360(F$6,$B14)/30)-SUM(F$12:F13))),1))</f>
        <v>0</v>
      </c>
      <c r="G14" s="124"/>
      <c r="H14" s="138">
        <f>IF(H$10=0,0,ROUND(IF(H$6&gt;$B14,0,IF(H$7&lt;$B14,H$10-SUM(H$12:H13),(DAYS360(H$6,$B14)/30)-SUM(H$12:H13))),1))</f>
        <v>0</v>
      </c>
      <c r="I14" s="124"/>
      <c r="J14" s="138">
        <f>IF(J$10=0,0,ROUND(IF(J$6&gt;$B14,0,IF(J$7&lt;$B14,J$10-SUM(J$12:J13),(DAYS360(J$6,$B14)/30)-SUM(J$12:J13))),1))</f>
        <v>0</v>
      </c>
      <c r="K14" s="124"/>
      <c r="L14" s="138">
        <f>IF(L$10=0,0,ROUND(IF(L$6&gt;$B14,0,IF(L$7&lt;$B14,L$10-SUM(L$12:L13),(DAYS360(L$6,$B14)/30)-SUM(L$12:L13))),1))</f>
        <v>0</v>
      </c>
      <c r="M14" s="124"/>
      <c r="N14" s="138">
        <f>IF(N$10=0,0,ROUND(IF(N$6&gt;$B14,0,IF(N$7&lt;$B14,N$10-SUM(N$12:N13),(DAYS360(N$6,$B14)/30)-SUM(N$12:N13))),1))</f>
        <v>0</v>
      </c>
      <c r="O14" s="124"/>
      <c r="P14" s="138">
        <f>IF(P$10=0,0,ROUND(IF(P$6&gt;$B14,0,IF(P$7&lt;$B14,P$10-SUM(P$12:P13),(DAYS360(P$6,$B14)/30)-SUM(P$12:P13))),1))</f>
        <v>0</v>
      </c>
      <c r="Q14" s="124"/>
      <c r="R14" s="138">
        <f>IF(R$10=0,0,ROUND(IF(R$6&gt;$B14,0,IF(R$7&lt;$B14,R$10-SUM(R$12:R13),(DAYS360(R$6,$B14)/30)-SUM(R$12:R13))),1))</f>
        <v>0</v>
      </c>
      <c r="S14" s="124"/>
      <c r="T14" s="138">
        <f>IF(T$10=0,0,ROUND(IF(T$6&gt;$B14,0,IF(T$7&lt;$B14,T$10-SUM(T$12:T13),(DAYS360(T$6,$B14)/30)-SUM(T$12:T13))),1))</f>
        <v>0</v>
      </c>
      <c r="U14" s="124"/>
      <c r="V14" s="138">
        <f>IF(V$10=0,0,ROUND(IF(V$6&gt;$B14,0,IF(V$7&lt;$B14,V$10-SUM(V$12:V13),(DAYS360(V$6,$B14)/30)-SUM(V$12:V13))),1))</f>
        <v>0</v>
      </c>
      <c r="W14" s="124"/>
      <c r="X14" s="138">
        <f>IF(X$10=0,0,ROUND(IF(X$6&gt;$B14,0,IF(X$7&lt;$B14,X$10-SUM(X$12:X13),(DAYS360(X$6,$B14)/30)-SUM(X$12:X13))),1))</f>
        <v>0</v>
      </c>
      <c r="Y14" s="124"/>
      <c r="Z14" s="138">
        <f>IF(Z$10=0,0,ROUND(IF(Z$6&gt;$B14,0,IF(Z$7&lt;$B14,Z$10-SUM(Z$12:Z13),(DAYS360(Z$6,$B14)/30)-SUM(Z$12:Z13))),1))</f>
        <v>0</v>
      </c>
      <c r="AA14" s="124"/>
      <c r="AB14" s="138">
        <f>IF(AB$10=0,0,ROUND(IF(AB$6&gt;$B14,0,IF(AB$7&lt;$B14,AB$10-SUM(AB$12:AB13),(DAYS360(AB$6,$B14)/30)-SUM(AB$12:AB13))),1))</f>
        <v>0</v>
      </c>
      <c r="AC14" s="124"/>
      <c r="AD14" s="138">
        <f>IF(AD$10=0,0,ROUND(IF(AD$6&gt;$B14,0,IF(AD$7&lt;$B14,AD$10-SUM(AD$12:AD13),(DAYS360(AD$6,$B14)/30)-SUM(AD$12:AD13))),1))</f>
        <v>0</v>
      </c>
      <c r="AE14" s="124"/>
      <c r="AF14" s="138">
        <f>IF(AF$10=0,0,ROUND(IF(AF$6&gt;$B14,0,IF(AF$7&lt;$B14,AF$10-SUM(AF$12:AF13),(DAYS360(AF$6,$B14)/30)-SUM(AF$12:AF13))),1))</f>
        <v>0</v>
      </c>
      <c r="AG14" s="124"/>
      <c r="AH14" s="138">
        <f>IF(AH$10=0,0,ROUND(IF(AH$6&gt;$B14,0,IF(AH$7&lt;$B14,AH$10-SUM(AH$12:AH13),(DAYS360(AH$6,$B14)/30)-SUM(AH$12:AH13))),1))</f>
        <v>0</v>
      </c>
      <c r="AI14" s="124"/>
      <c r="AJ14" s="138">
        <f>IF(AJ$10=0,0,ROUND(IF(AJ$6&gt;$B14,0,IF(AJ$7&lt;$B14,AJ$10-SUM(AJ$12:AJ13),(DAYS360(AJ$6,$B14)/30)-SUM(AJ$12:AJ13))),1))</f>
        <v>0</v>
      </c>
      <c r="AK14" s="124"/>
      <c r="AL14" s="138">
        <f>IF(AL$10=0,0,ROUND(IF(AL$6&gt;$B14,0,IF(AL$7&lt;$B14,AL$10-SUM(AL$12:AL13),(DAYS360(AL$6,$B14)/30)-SUM(AL$12:AL13))),1))</f>
        <v>0</v>
      </c>
      <c r="AM14" s="124"/>
      <c r="AN14" s="138">
        <f>IF(AN$10=0,0,ROUND(IF(AN$6&gt;$B14,0,IF(AN$7&lt;$B14,AN$10-SUM(AN$12:AN13),(DAYS360(AN$6,$B14)/30)-SUM(AN$12:AN13))),1))</f>
        <v>0</v>
      </c>
      <c r="AO14" s="124"/>
      <c r="AP14" s="138">
        <f>IF(AP$10=0,0,ROUND(IF(AP$6&gt;$B14,0,IF(AP$7&lt;$B14,AP$10-SUM(AP$12:AP13),(DAYS360(AP$6,$B14)/30)-SUM(AP$12:AP13))),1))</f>
        <v>0</v>
      </c>
      <c r="AQ14" s="124"/>
      <c r="AR14" s="138">
        <f>IF(AR$10=0,0,ROUND(IF(AR$6&gt;$B14,0,IF(AR$7&lt;$B14,AR$10-SUM(AR$12:AR13),(DAYS360(AR$6,$B14)/30)-SUM(AR$12:AR13))),1))</f>
        <v>0</v>
      </c>
      <c r="AS14" s="124"/>
      <c r="AT14" s="138">
        <f>IF(AT$10=0,0,ROUND(IF(AT$6&gt;$B14,0,IF(AT$7&lt;$B14,AT$10-SUM(AT$12:AT13),(DAYS360(AT$6,$B14)/30)-SUM(AT$12:AT13))),1))</f>
        <v>0</v>
      </c>
      <c r="AU14" s="124"/>
      <c r="AV14" s="138">
        <f>IF(AV$10=0,0,ROUND(IF(AV$6&gt;$B14,0,IF(AV$7&lt;$B14,AV$10-SUM(AV$12:AV13),(DAYS360(AV$6,$B14)/30)-SUM(AV$12:AV13))),1))</f>
        <v>0</v>
      </c>
      <c r="AW14" s="124"/>
      <c r="AX14" s="138">
        <f>IF(AX$10=0,0,ROUND(IF(AX$6&gt;$B14,0,IF(AX$7&lt;$B14,AX$10-SUM(AX$12:AX13),(DAYS360(AX$6,$B14)/30)-SUM(AX$12:AX13))),1))</f>
        <v>0</v>
      </c>
      <c r="AY14" s="124"/>
      <c r="AZ14" s="138">
        <f>IF(AZ$10=0,0,ROUND(IF(AZ$6&gt;$B14,0,IF(AZ$7&lt;$B14,AZ$10-SUM(AZ$12:AZ13),(DAYS360(AZ$6,$B14)/30)-SUM(AZ$12:AZ13))),1))</f>
        <v>0</v>
      </c>
      <c r="BA14" s="124"/>
      <c r="BB14" s="138">
        <f>IF(BB$10=0,0,ROUND(IF(BB$6&gt;$B14,0,IF(BB$7&lt;$B14,BB$10-SUM(BB$12:BB13),(DAYS360(BB$6,$B14)/30)-SUM(BB$12:BB13))),1))</f>
        <v>0</v>
      </c>
      <c r="BC14" s="124"/>
      <c r="BD14" s="138">
        <f>IF(BD$10=0,0,ROUND(IF(BD$6&gt;$B14,0,IF(BD$7&lt;$B14,BD$10-SUM(BD$12:BD13),(DAYS360(BD$6,$B14)/30)-SUM(BD$12:BD13))),1))</f>
        <v>0</v>
      </c>
      <c r="BE14" s="124"/>
      <c r="BF14" s="138">
        <f>IF(BF$10=0,0,ROUND(IF(BF$6&gt;$B14,0,IF(BF$7&lt;$B14,BF$10-SUM(BF$12:BF13),(DAYS360(BF$6,$B14)/30)-SUM(BF$12:BF13))),1))</f>
        <v>0</v>
      </c>
      <c r="BG14" s="124"/>
      <c r="BH14" s="138">
        <f>IF(BH$10=0,0,ROUND(IF(BH$6&gt;$B14,0,IF(BH$7&lt;$B14,BH$10-SUM(BH$12:BH13),(DAYS360(BH$6,$B14)/30)-SUM(BH$12:BH13))),1))</f>
        <v>0</v>
      </c>
      <c r="BI14" s="124"/>
      <c r="BJ14" s="138">
        <f>IF(BJ$10=0,0,ROUND(IF(BJ$6&gt;$B14,0,IF(BJ$7&lt;$B14,BJ$10-SUM(BJ$12:BJ13),(DAYS360(BJ$6,$B14)/30)-SUM(BJ$12:BJ13))),1))</f>
        <v>0</v>
      </c>
      <c r="BK14" s="124"/>
      <c r="BL14" s="138">
        <f>IF(BL$10=0,0,ROUND(IF(BL$6&gt;$B14,0,IF(BL$7&lt;$B14,BL$10-SUM(BL$12:BL13),(DAYS360(BL$6,$B14)/30)-SUM(BL$12:BL13))),1))</f>
        <v>0</v>
      </c>
      <c r="BM14" s="119"/>
    </row>
    <row r="15" spans="1:65" ht="15.75" hidden="1" x14ac:dyDescent="0.25">
      <c r="A15" s="134">
        <f t="shared" si="1"/>
        <v>45139</v>
      </c>
      <c r="B15" s="134">
        <f t="shared" si="2"/>
        <v>45504</v>
      </c>
      <c r="C15" s="154">
        <f>(1+C$13)*(1+C$13)^2-1</f>
        <v>3.0300999999999911E-2</v>
      </c>
      <c r="D15" s="123"/>
      <c r="E15" s="124"/>
      <c r="F15" s="153">
        <f>IF(F$10=0,0,ROUND(IF(F$6&gt;$B15,0,IF(F$7&lt;$B15,F$10-SUM(F$12:F14),(DAYS360(F$6,$B15)/30)-SUM(F$12:F14))),1))</f>
        <v>0</v>
      </c>
      <c r="G15" s="124"/>
      <c r="H15" s="138">
        <f>IF(H$10=0,0,ROUND(IF(H$6&gt;$B15,0,IF(H$7&lt;$B15,H$10-SUM(H$12:H14),(DAYS360(H$6,$B15)/30)-SUM(H$12:H14))),1))</f>
        <v>0</v>
      </c>
      <c r="I15" s="124"/>
      <c r="J15" s="138">
        <f>IF(J$10=0,0,ROUND(IF(J$6&gt;$B15,0,IF(J$7&lt;$B15,J$10-SUM(J$12:J14),(DAYS360(J$6,$B15)/30)-SUM(J$12:J14))),1))</f>
        <v>0</v>
      </c>
      <c r="K15" s="124"/>
      <c r="L15" s="138">
        <f>IF(L$10=0,0,ROUND(IF(L$6&gt;$B15,0,IF(L$7&lt;$B15,L$10-SUM(L$12:L14),(DAYS360(L$6,$B15)/30)-SUM(L$12:L14))),1))</f>
        <v>0</v>
      </c>
      <c r="M15" s="124"/>
      <c r="N15" s="138">
        <f>IF(N$10=0,0,ROUND(IF(N$6&gt;$B15,0,IF(N$7&lt;$B15,N$10-SUM(N$12:N14),(DAYS360(N$6,$B15)/30)-SUM(N$12:N14))),1))</f>
        <v>0</v>
      </c>
      <c r="O15" s="124"/>
      <c r="P15" s="138">
        <f>IF(P$10=0,0,ROUND(IF(P$6&gt;$B15,0,IF(P$7&lt;$B15,P$10-SUM(P$12:P14),(DAYS360(P$6,$B15)/30)-SUM(P$12:P14))),1))</f>
        <v>0</v>
      </c>
      <c r="Q15" s="124"/>
      <c r="R15" s="138">
        <f>IF(R$10=0,0,ROUND(IF(R$6&gt;$B15,0,IF(R$7&lt;$B15,R$10-SUM(R$12:R14),(DAYS360(R$6,$B15)/30)-SUM(R$12:R14))),1))</f>
        <v>0</v>
      </c>
      <c r="S15" s="124"/>
      <c r="T15" s="138">
        <f>IF(T$10=0,0,ROUND(IF(T$6&gt;$B15,0,IF(T$7&lt;$B15,T$10-SUM(T$12:T14),(DAYS360(T$6,$B15)/30)-SUM(T$12:T14))),1))</f>
        <v>0</v>
      </c>
      <c r="U15" s="124"/>
      <c r="V15" s="138">
        <f>IF(V$10=0,0,ROUND(IF(V$6&gt;$B15,0,IF(V$7&lt;$B15,V$10-SUM(V$12:V14),(DAYS360(V$6,$B15)/30)-SUM(V$12:V14))),1))</f>
        <v>0</v>
      </c>
      <c r="W15" s="124"/>
      <c r="X15" s="138">
        <f>IF(X$10=0,0,ROUND(IF(X$6&gt;$B15,0,IF(X$7&lt;$B15,X$10-SUM(X$12:X14),(DAYS360(X$6,$B15)/30)-SUM(X$12:X14))),1))</f>
        <v>0</v>
      </c>
      <c r="Y15" s="124"/>
      <c r="Z15" s="138">
        <f>IF(Z$10=0,0,ROUND(IF(Z$6&gt;$B15,0,IF(Z$7&lt;$B15,Z$10-SUM(Z$12:Z14),(DAYS360(Z$6,$B15)/30)-SUM(Z$12:Z14))),1))</f>
        <v>0</v>
      </c>
      <c r="AA15" s="124"/>
      <c r="AB15" s="138">
        <f>IF(AB$10=0,0,ROUND(IF(AB$6&gt;$B15,0,IF(AB$7&lt;$B15,AB$10-SUM(AB$12:AB14),(DAYS360(AB$6,$B15)/30)-SUM(AB$12:AB14))),1))</f>
        <v>0</v>
      </c>
      <c r="AC15" s="124"/>
      <c r="AD15" s="138">
        <f>IF(AD$10=0,0,ROUND(IF(AD$6&gt;$B15,0,IF(AD$7&lt;$B15,AD$10-SUM(AD$12:AD14),(DAYS360(AD$6,$B15)/30)-SUM(AD$12:AD14))),1))</f>
        <v>0</v>
      </c>
      <c r="AE15" s="124"/>
      <c r="AF15" s="138">
        <f>IF(AF$10=0,0,ROUND(IF(AF$6&gt;$B15,0,IF(AF$7&lt;$B15,AF$10-SUM(AF$12:AF14),(DAYS360(AF$6,$B15)/30)-SUM(AF$12:AF14))),1))</f>
        <v>0</v>
      </c>
      <c r="AG15" s="124"/>
      <c r="AH15" s="138">
        <f>IF(AH$10=0,0,ROUND(IF(AH$6&gt;$B15,0,IF(AH$7&lt;$B15,AH$10-SUM(AH$12:AH14),(DAYS360(AH$6,$B15)/30)-SUM(AH$12:AH14))),1))</f>
        <v>0</v>
      </c>
      <c r="AI15" s="124"/>
      <c r="AJ15" s="138">
        <f>IF(AJ$10=0,0,ROUND(IF(AJ$6&gt;$B15,0,IF(AJ$7&lt;$B15,AJ$10-SUM(AJ$12:AJ14),(DAYS360(AJ$6,$B15)/30)-SUM(AJ$12:AJ14))),1))</f>
        <v>0</v>
      </c>
      <c r="AK15" s="124"/>
      <c r="AL15" s="138">
        <f>IF(AL$10=0,0,ROUND(IF(AL$6&gt;$B15,0,IF(AL$7&lt;$B15,AL$10-SUM(AL$12:AL14),(DAYS360(AL$6,$B15)/30)-SUM(AL$12:AL14))),1))</f>
        <v>0</v>
      </c>
      <c r="AM15" s="124"/>
      <c r="AN15" s="138">
        <f>IF(AN$10=0,0,ROUND(IF(AN$6&gt;$B15,0,IF(AN$7&lt;$B15,AN$10-SUM(AN$12:AN14),(DAYS360(AN$6,$B15)/30)-SUM(AN$12:AN14))),1))</f>
        <v>0</v>
      </c>
      <c r="AO15" s="124"/>
      <c r="AP15" s="138">
        <f>IF(AP$10=0,0,ROUND(IF(AP$6&gt;$B15,0,IF(AP$7&lt;$B15,AP$10-SUM(AP$12:AP14),(DAYS360(AP$6,$B15)/30)-SUM(AP$12:AP14))),1))</f>
        <v>0</v>
      </c>
      <c r="AQ15" s="124"/>
      <c r="AR15" s="138">
        <f>IF(AR$10=0,0,ROUND(IF(AR$6&gt;$B15,0,IF(AR$7&lt;$B15,AR$10-SUM(AR$12:AR14),(DAYS360(AR$6,$B15)/30)-SUM(AR$12:AR14))),1))</f>
        <v>0</v>
      </c>
      <c r="AS15" s="124"/>
      <c r="AT15" s="138">
        <f>IF(AT$10=0,0,ROUND(IF(AT$6&gt;$B15,0,IF(AT$7&lt;$B15,AT$10-SUM(AT$12:AT14),(DAYS360(AT$6,$B15)/30)-SUM(AT$12:AT14))),1))</f>
        <v>0</v>
      </c>
      <c r="AU15" s="124"/>
      <c r="AV15" s="138">
        <f>IF(AV$10=0,0,ROUND(IF(AV$6&gt;$B15,0,IF(AV$7&lt;$B15,AV$10-SUM(AV$12:AV14),(DAYS360(AV$6,$B15)/30)-SUM(AV$12:AV14))),1))</f>
        <v>0</v>
      </c>
      <c r="AW15" s="124"/>
      <c r="AX15" s="138">
        <f>IF(AX$10=0,0,ROUND(IF(AX$6&gt;$B15,0,IF(AX$7&lt;$B15,AX$10-SUM(AX$12:AX14),(DAYS360(AX$6,$B15)/30)-SUM(AX$12:AX14))),1))</f>
        <v>0</v>
      </c>
      <c r="AY15" s="124"/>
      <c r="AZ15" s="138">
        <f>IF(AZ$10=0,0,ROUND(IF(AZ$6&gt;$B15,0,IF(AZ$7&lt;$B15,AZ$10-SUM(AZ$12:AZ14),(DAYS360(AZ$6,$B15)/30)-SUM(AZ$12:AZ14))),1))</f>
        <v>0</v>
      </c>
      <c r="BA15" s="124"/>
      <c r="BB15" s="138">
        <f>IF(BB$10=0,0,ROUND(IF(BB$6&gt;$B15,0,IF(BB$7&lt;$B15,BB$10-SUM(BB$12:BB14),(DAYS360(BB$6,$B15)/30)-SUM(BB$12:BB14))),1))</f>
        <v>0</v>
      </c>
      <c r="BC15" s="124"/>
      <c r="BD15" s="138">
        <f>IF(BD$10=0,0,ROUND(IF(BD$6&gt;$B15,0,IF(BD$7&lt;$B15,BD$10-SUM(BD$12:BD14),(DAYS360(BD$6,$B15)/30)-SUM(BD$12:BD14))),1))</f>
        <v>0</v>
      </c>
      <c r="BE15" s="124"/>
      <c r="BF15" s="138">
        <f>IF(BF$10=0,0,ROUND(IF(BF$6&gt;$B15,0,IF(BF$7&lt;$B15,BF$10-SUM(BF$12:BF14),(DAYS360(BF$6,$B15)/30)-SUM(BF$12:BF14))),1))</f>
        <v>0</v>
      </c>
      <c r="BG15" s="124"/>
      <c r="BH15" s="138">
        <f>IF(BH$10=0,0,ROUND(IF(BH$6&gt;$B15,0,IF(BH$7&lt;$B15,BH$10-SUM(BH$12:BH14),(DAYS360(BH$6,$B15)/30)-SUM(BH$12:BH14))),1))</f>
        <v>0</v>
      </c>
      <c r="BI15" s="124"/>
      <c r="BJ15" s="138">
        <f>IF(BJ$10=0,0,ROUND(IF(BJ$6&gt;$B15,0,IF(BJ$7&lt;$B15,BJ$10-SUM(BJ$12:BJ14),(DAYS360(BJ$6,$B15)/30)-SUM(BJ$12:BJ14))),1))</f>
        <v>0</v>
      </c>
      <c r="BK15" s="124"/>
      <c r="BL15" s="138">
        <f>IF(BL$10=0,0,ROUND(IF(BL$6&gt;$B15,0,IF(BL$7&lt;$B15,BL$10-SUM(BL$12:BL14),(DAYS360(BL$6,$B15)/30)-SUM(BL$12:BL14))),1))</f>
        <v>0</v>
      </c>
      <c r="BM15" s="119"/>
    </row>
    <row r="16" spans="1:65" ht="15.75" hidden="1" x14ac:dyDescent="0.25">
      <c r="A16" s="134">
        <f t="shared" si="1"/>
        <v>45505</v>
      </c>
      <c r="B16" s="134">
        <f t="shared" si="2"/>
        <v>45869</v>
      </c>
      <c r="C16" s="154">
        <f>(1+C$13)*(1+C$13)^3-1</f>
        <v>4.0604010000000024E-2</v>
      </c>
      <c r="D16" s="123"/>
      <c r="E16" s="124"/>
      <c r="F16" s="153">
        <f>IF(F$10=0,0,ROUND(IF(F$6&gt;$B16,0,IF(F$7&lt;$B16,F$10-SUM(F$12:F15),(DAYS360(F$6,$B16)/30)-SUM(F$12:F15))),1))</f>
        <v>0</v>
      </c>
      <c r="G16" s="124"/>
      <c r="H16" s="138">
        <f>IF(H$10=0,0,ROUND(IF(H$6&gt;$B16,0,IF(H$7&lt;$B16,H$10-SUM(H$12:H15),(DAYS360(H$6,$B16)/30)-SUM(H$12:H15))),1))</f>
        <v>0</v>
      </c>
      <c r="I16" s="124"/>
      <c r="J16" s="138">
        <f>IF(J$10=0,0,ROUND(IF(J$6&gt;$B16,0,IF(J$7&lt;$B16,J$10-SUM(J$12:J15),(DAYS360(J$6,$B16)/30)-SUM(J$12:J15))),1))</f>
        <v>0</v>
      </c>
      <c r="K16" s="124"/>
      <c r="L16" s="138">
        <f>IF(L$10=0,0,ROUND(IF(L$6&gt;$B16,0,IF(L$7&lt;$B16,L$10-SUM(L$12:L15),(DAYS360(L$6,$B16)/30)-SUM(L$12:L15))),1))</f>
        <v>0</v>
      </c>
      <c r="M16" s="124"/>
      <c r="N16" s="138">
        <f>IF(N$10=0,0,ROUND(IF(N$6&gt;$B16,0,IF(N$7&lt;$B16,N$10-SUM(N$12:N15),(DAYS360(N$6,$B16)/30)-SUM(N$12:N15))),1))</f>
        <v>0</v>
      </c>
      <c r="O16" s="124"/>
      <c r="P16" s="138">
        <f>IF(P$10=0,0,ROUND(IF(P$6&gt;$B16,0,IF(P$7&lt;$B16,P$10-SUM(P$12:P15),(DAYS360(P$6,$B16)/30)-SUM(P$12:P15))),1))</f>
        <v>0</v>
      </c>
      <c r="Q16" s="124"/>
      <c r="R16" s="138">
        <f>IF(R$10=0,0,ROUND(IF(R$6&gt;$B16,0,IF(R$7&lt;$B16,R$10-SUM(R$12:R15),(DAYS360(R$6,$B16)/30)-SUM(R$12:R15))),1))</f>
        <v>0</v>
      </c>
      <c r="S16" s="124"/>
      <c r="T16" s="138">
        <f>IF(T$10=0,0,ROUND(IF(T$6&gt;$B16,0,IF(T$7&lt;$B16,T$10-SUM(T$12:T15),(DAYS360(T$6,$B16)/30)-SUM(T$12:T15))),1))</f>
        <v>0</v>
      </c>
      <c r="U16" s="124"/>
      <c r="V16" s="138">
        <f>IF(V$10=0,0,ROUND(IF(V$6&gt;$B16,0,IF(V$7&lt;$B16,V$10-SUM(V$12:V15),(DAYS360(V$6,$B16)/30)-SUM(V$12:V15))),1))</f>
        <v>0</v>
      </c>
      <c r="W16" s="124"/>
      <c r="X16" s="138">
        <f>IF(X$10=0,0,ROUND(IF(X$6&gt;$B16,0,IF(X$7&lt;$B16,X$10-SUM(X$12:X15),(DAYS360(X$6,$B16)/30)-SUM(X$12:X15))),1))</f>
        <v>0</v>
      </c>
      <c r="Y16" s="124"/>
      <c r="Z16" s="138">
        <f>IF(Z$10=0,0,ROUND(IF(Z$6&gt;$B16,0,IF(Z$7&lt;$B16,Z$10-SUM(Z$12:Z15),(DAYS360(Z$6,$B16)/30)-SUM(Z$12:Z15))),1))</f>
        <v>0</v>
      </c>
      <c r="AA16" s="124"/>
      <c r="AB16" s="138">
        <f>IF(AB$10=0,0,ROUND(IF(AB$6&gt;$B16,0,IF(AB$7&lt;$B16,AB$10-SUM(AB$12:AB15),(DAYS360(AB$6,$B16)/30)-SUM(AB$12:AB15))),1))</f>
        <v>0</v>
      </c>
      <c r="AC16" s="124"/>
      <c r="AD16" s="138">
        <f>IF(AD$10=0,0,ROUND(IF(AD$6&gt;$B16,0,IF(AD$7&lt;$B16,AD$10-SUM(AD$12:AD15),(DAYS360(AD$6,$B16)/30)-SUM(AD$12:AD15))),1))</f>
        <v>0</v>
      </c>
      <c r="AE16" s="124"/>
      <c r="AF16" s="138">
        <f>IF(AF$10=0,0,ROUND(IF(AF$6&gt;$B16,0,IF(AF$7&lt;$B16,AF$10-SUM(AF$12:AF15),(DAYS360(AF$6,$B16)/30)-SUM(AF$12:AF15))),1))</f>
        <v>0</v>
      </c>
      <c r="AG16" s="124"/>
      <c r="AH16" s="138">
        <f>IF(AH$10=0,0,ROUND(IF(AH$6&gt;$B16,0,IF(AH$7&lt;$B16,AH$10-SUM(AH$12:AH15),(DAYS360(AH$6,$B16)/30)-SUM(AH$12:AH15))),1))</f>
        <v>0</v>
      </c>
      <c r="AI16" s="124"/>
      <c r="AJ16" s="138">
        <f>IF(AJ$10=0,0,ROUND(IF(AJ$6&gt;$B16,0,IF(AJ$7&lt;$B16,AJ$10-SUM(AJ$12:AJ15),(DAYS360(AJ$6,$B16)/30)-SUM(AJ$12:AJ15))),1))</f>
        <v>0</v>
      </c>
      <c r="AK16" s="124"/>
      <c r="AL16" s="138">
        <f>IF(AL$10=0,0,ROUND(IF(AL$6&gt;$B16,0,IF(AL$7&lt;$B16,AL$10-SUM(AL$12:AL15),(DAYS360(AL$6,$B16)/30)-SUM(AL$12:AL15))),1))</f>
        <v>0</v>
      </c>
      <c r="AM16" s="124"/>
      <c r="AN16" s="138">
        <f>IF(AN$10=0,0,ROUND(IF(AN$6&gt;$B16,0,IF(AN$7&lt;$B16,AN$10-SUM(AN$12:AN15),(DAYS360(AN$6,$B16)/30)-SUM(AN$12:AN15))),1))</f>
        <v>0</v>
      </c>
      <c r="AO16" s="124"/>
      <c r="AP16" s="138">
        <f>IF(AP$10=0,0,ROUND(IF(AP$6&gt;$B16,0,IF(AP$7&lt;$B16,AP$10-SUM(AP$12:AP15),(DAYS360(AP$6,$B16)/30)-SUM(AP$12:AP15))),1))</f>
        <v>0</v>
      </c>
      <c r="AQ16" s="124"/>
      <c r="AR16" s="138">
        <f>IF(AR$10=0,0,ROUND(IF(AR$6&gt;$B16,0,IF(AR$7&lt;$B16,AR$10-SUM(AR$12:AR15),(DAYS360(AR$6,$B16)/30)-SUM(AR$12:AR15))),1))</f>
        <v>0</v>
      </c>
      <c r="AS16" s="124"/>
      <c r="AT16" s="138">
        <f>IF(AT$10=0,0,ROUND(IF(AT$6&gt;$B16,0,IF(AT$7&lt;$B16,AT$10-SUM(AT$12:AT15),(DAYS360(AT$6,$B16)/30)-SUM(AT$12:AT15))),1))</f>
        <v>0</v>
      </c>
      <c r="AU16" s="124"/>
      <c r="AV16" s="138">
        <f>IF(AV$10=0,0,ROUND(IF(AV$6&gt;$B16,0,IF(AV$7&lt;$B16,AV$10-SUM(AV$12:AV15),(DAYS360(AV$6,$B16)/30)-SUM(AV$12:AV15))),1))</f>
        <v>0</v>
      </c>
      <c r="AW16" s="124"/>
      <c r="AX16" s="138">
        <f>IF(AX$10=0,0,ROUND(IF(AX$6&gt;$B16,0,IF(AX$7&lt;$B16,AX$10-SUM(AX$12:AX15),(DAYS360(AX$6,$B16)/30)-SUM(AX$12:AX15))),1))</f>
        <v>0</v>
      </c>
      <c r="AY16" s="124"/>
      <c r="AZ16" s="138">
        <f>IF(AZ$10=0,0,ROUND(IF(AZ$6&gt;$B16,0,IF(AZ$7&lt;$B16,AZ$10-SUM(AZ$12:AZ15),(DAYS360(AZ$6,$B16)/30)-SUM(AZ$12:AZ15))),1))</f>
        <v>0</v>
      </c>
      <c r="BA16" s="124"/>
      <c r="BB16" s="138">
        <f>IF(BB$10=0,0,ROUND(IF(BB$6&gt;$B16,0,IF(BB$7&lt;$B16,BB$10-SUM(BB$12:BB15),(DAYS360(BB$6,$B16)/30)-SUM(BB$12:BB15))),1))</f>
        <v>0</v>
      </c>
      <c r="BC16" s="124"/>
      <c r="BD16" s="138">
        <f>IF(BD$10=0,0,ROUND(IF(BD$6&gt;$B16,0,IF(BD$7&lt;$B16,BD$10-SUM(BD$12:BD15),(DAYS360(BD$6,$B16)/30)-SUM(BD$12:BD15))),1))</f>
        <v>0</v>
      </c>
      <c r="BE16" s="124"/>
      <c r="BF16" s="138">
        <f>IF(BF$10=0,0,ROUND(IF(BF$6&gt;$B16,0,IF(BF$7&lt;$B16,BF$10-SUM(BF$12:BF15),(DAYS360(BF$6,$B16)/30)-SUM(BF$12:BF15))),1))</f>
        <v>0</v>
      </c>
      <c r="BG16" s="124"/>
      <c r="BH16" s="138">
        <f>IF(BH$10=0,0,ROUND(IF(BH$6&gt;$B16,0,IF(BH$7&lt;$B16,BH$10-SUM(BH$12:BH15),(DAYS360(BH$6,$B16)/30)-SUM(BH$12:BH15))),1))</f>
        <v>0</v>
      </c>
      <c r="BI16" s="124"/>
      <c r="BJ16" s="138">
        <f>IF(BJ$10=0,0,ROUND(IF(BJ$6&gt;$B16,0,IF(BJ$7&lt;$B16,BJ$10-SUM(BJ$12:BJ15),(DAYS360(BJ$6,$B16)/30)-SUM(BJ$12:BJ15))),1))</f>
        <v>0</v>
      </c>
      <c r="BK16" s="124"/>
      <c r="BL16" s="138">
        <f>IF(BL$10=0,0,ROUND(IF(BL$6&gt;$B16,0,IF(BL$7&lt;$B16,BL$10-SUM(BL$12:BL15),(DAYS360(BL$6,$B16)/30)-SUM(BL$12:BL15))),1))</f>
        <v>0</v>
      </c>
      <c r="BM16" s="119"/>
    </row>
    <row r="17" spans="1:66" ht="15.75" hidden="1" x14ac:dyDescent="0.25">
      <c r="A17" s="134">
        <f t="shared" si="1"/>
        <v>45870</v>
      </c>
      <c r="B17" s="134">
        <f t="shared" si="2"/>
        <v>46234</v>
      </c>
      <c r="C17" s="154">
        <f>(1+C$13)*(1+C$13)^4-1</f>
        <v>5.1010050099999926E-2</v>
      </c>
      <c r="D17" s="123"/>
      <c r="E17" s="124"/>
      <c r="F17" s="153">
        <f>IF(F$10=0,0,ROUND(IF(F$6&gt;$B17,0,IF(F$7&lt;$B17,F$10-SUM(F$12:F16),(DAYS360(F$6,$B17)/30)-SUM(F$12:F16))),1))</f>
        <v>0</v>
      </c>
      <c r="G17" s="124"/>
      <c r="H17" s="138">
        <f>IF(H$10=0,0,ROUND(IF(H$6&gt;$B17,0,IF(H$7&lt;$B17,H$10-SUM(H$12:H16),(DAYS360(H$6,$B17)/30)-SUM(H$12:H16))),1))</f>
        <v>0</v>
      </c>
      <c r="I17" s="124"/>
      <c r="J17" s="138">
        <f>IF(J$10=0,0,ROUND(IF(J$6&gt;$B17,0,IF(J$7&lt;$B17,J$10-SUM(J$12:J16),(DAYS360(J$6,$B17)/30)-SUM(J$12:J16))),1))</f>
        <v>0</v>
      </c>
      <c r="K17" s="124"/>
      <c r="L17" s="138">
        <f>IF(L$10=0,0,ROUND(IF(L$6&gt;$B17,0,IF(L$7&lt;$B17,L$10-SUM(L$12:L16),(DAYS360(L$6,$B17)/30)-SUM(L$12:L16))),1))</f>
        <v>0</v>
      </c>
      <c r="M17" s="124"/>
      <c r="N17" s="138">
        <f>IF(N$10=0,0,ROUND(IF(N$6&gt;$B17,0,IF(N$7&lt;$B17,N$10-SUM(N$12:N16),(DAYS360(N$6,$B17)/30)-SUM(N$12:N16))),1))</f>
        <v>0</v>
      </c>
      <c r="O17" s="124"/>
      <c r="P17" s="138">
        <f>IF(P$10=0,0,ROUND(IF(P$6&gt;$B17,0,IF(P$7&lt;$B17,P$10-SUM(P$12:P16),(DAYS360(P$6,$B17)/30)-SUM(P$12:P16))),1))</f>
        <v>0</v>
      </c>
      <c r="Q17" s="124"/>
      <c r="R17" s="138">
        <f>IF(R$10=0,0,ROUND(IF(R$6&gt;$B17,0,IF(R$7&lt;$B17,R$10-SUM(R$12:R16),(DAYS360(R$6,$B17)/30)-SUM(R$12:R16))),1))</f>
        <v>0</v>
      </c>
      <c r="S17" s="124"/>
      <c r="T17" s="138">
        <f>IF(T$10=0,0,ROUND(IF(T$6&gt;$B17,0,IF(T$7&lt;$B17,T$10-SUM(T$12:T16),(DAYS360(T$6,$B17)/30)-SUM(T$12:T16))),1))</f>
        <v>0</v>
      </c>
      <c r="U17" s="124"/>
      <c r="V17" s="138">
        <f>IF(V$10=0,0,ROUND(IF(V$6&gt;$B17,0,IF(V$7&lt;$B17,V$10-SUM(V$12:V16),(DAYS360(V$6,$B17)/30)-SUM(V$12:V16))),1))</f>
        <v>0</v>
      </c>
      <c r="W17" s="124"/>
      <c r="X17" s="138">
        <f>IF(X$10=0,0,ROUND(IF(X$6&gt;$B17,0,IF(X$7&lt;$B17,X$10-SUM(X$12:X16),(DAYS360(X$6,$B17)/30)-SUM(X$12:X16))),1))</f>
        <v>0</v>
      </c>
      <c r="Y17" s="124"/>
      <c r="Z17" s="138">
        <f>IF(Z$10=0,0,ROUND(IF(Z$6&gt;$B17,0,IF(Z$7&lt;$B17,Z$10-SUM(Z$12:Z16),(DAYS360(Z$6,$B17)/30)-SUM(Z$12:Z16))),1))</f>
        <v>0</v>
      </c>
      <c r="AA17" s="124"/>
      <c r="AB17" s="138">
        <f>IF(AB$10=0,0,ROUND(IF(AB$6&gt;$B17,0,IF(AB$7&lt;$B17,AB$10-SUM(AB$12:AB16),(DAYS360(AB$6,$B17)/30)-SUM(AB$12:AB16))),1))</f>
        <v>0</v>
      </c>
      <c r="AC17" s="124"/>
      <c r="AD17" s="138">
        <f>IF(AD$10=0,0,ROUND(IF(AD$6&gt;$B17,0,IF(AD$7&lt;$B17,AD$10-SUM(AD$12:AD16),(DAYS360(AD$6,$B17)/30)-SUM(AD$12:AD16))),1))</f>
        <v>0</v>
      </c>
      <c r="AE17" s="124"/>
      <c r="AF17" s="138">
        <f>IF(AF$10=0,0,ROUND(IF(AF$6&gt;$B17,0,IF(AF$7&lt;$B17,AF$10-SUM(AF$12:AF16),(DAYS360(AF$6,$B17)/30)-SUM(AF$12:AF16))),1))</f>
        <v>0</v>
      </c>
      <c r="AG17" s="124"/>
      <c r="AH17" s="138">
        <f>IF(AH$10=0,0,ROUND(IF(AH$6&gt;$B17,0,IF(AH$7&lt;$B17,AH$10-SUM(AH$12:AH16),(DAYS360(AH$6,$B17)/30)-SUM(AH$12:AH16))),1))</f>
        <v>0</v>
      </c>
      <c r="AI17" s="124"/>
      <c r="AJ17" s="138">
        <f>IF(AJ$10=0,0,ROUND(IF(AJ$6&gt;$B17,0,IF(AJ$7&lt;$B17,AJ$10-SUM(AJ$12:AJ16),(DAYS360(AJ$6,$B17)/30)-SUM(AJ$12:AJ16))),1))</f>
        <v>0</v>
      </c>
      <c r="AK17" s="124"/>
      <c r="AL17" s="138">
        <f>IF(AL$10=0,0,ROUND(IF(AL$6&gt;$B17,0,IF(AL$7&lt;$B17,AL$10-SUM(AL$12:AL16),(DAYS360(AL$6,$B17)/30)-SUM(AL$12:AL16))),1))</f>
        <v>0</v>
      </c>
      <c r="AM17" s="124"/>
      <c r="AN17" s="138">
        <f>IF(AN$10=0,0,ROUND(IF(AN$6&gt;$B17,0,IF(AN$7&lt;$B17,AN$10-SUM(AN$12:AN16),(DAYS360(AN$6,$B17)/30)-SUM(AN$12:AN16))),1))</f>
        <v>0</v>
      </c>
      <c r="AO17" s="124"/>
      <c r="AP17" s="138">
        <f>IF(AP$10=0,0,ROUND(IF(AP$6&gt;$B17,0,IF(AP$7&lt;$B17,AP$10-SUM(AP$12:AP16),(DAYS360(AP$6,$B17)/30)-SUM(AP$12:AP16))),1))</f>
        <v>0</v>
      </c>
      <c r="AQ17" s="124"/>
      <c r="AR17" s="138">
        <f>IF(AR$10=0,0,ROUND(IF(AR$6&gt;$B17,0,IF(AR$7&lt;$B17,AR$10-SUM(AR$12:AR16),(DAYS360(AR$6,$B17)/30)-SUM(AR$12:AR16))),1))</f>
        <v>0</v>
      </c>
      <c r="AS17" s="124"/>
      <c r="AT17" s="138">
        <f>IF(AT$10=0,0,ROUND(IF(AT$6&gt;$B17,0,IF(AT$7&lt;$B17,AT$10-SUM(AT$12:AT16),(DAYS360(AT$6,$B17)/30)-SUM(AT$12:AT16))),1))</f>
        <v>0</v>
      </c>
      <c r="AU17" s="124"/>
      <c r="AV17" s="138">
        <f>IF(AV$10=0,0,ROUND(IF(AV$6&gt;$B17,0,IF(AV$7&lt;$B17,AV$10-SUM(AV$12:AV16),(DAYS360(AV$6,$B17)/30)-SUM(AV$12:AV16))),1))</f>
        <v>0</v>
      </c>
      <c r="AW17" s="124"/>
      <c r="AX17" s="138">
        <f>IF(AX$10=0,0,ROUND(IF(AX$6&gt;$B17,0,IF(AX$7&lt;$B17,AX$10-SUM(AX$12:AX16),(DAYS360(AX$6,$B17)/30)-SUM(AX$12:AX16))),1))</f>
        <v>0</v>
      </c>
      <c r="AY17" s="124"/>
      <c r="AZ17" s="138">
        <f>IF(AZ$10=0,0,ROUND(IF(AZ$6&gt;$B17,0,IF(AZ$7&lt;$B17,AZ$10-SUM(AZ$12:AZ16),(DAYS360(AZ$6,$B17)/30)-SUM(AZ$12:AZ16))),1))</f>
        <v>0</v>
      </c>
      <c r="BA17" s="124"/>
      <c r="BB17" s="138">
        <f>IF(BB$10=0,0,ROUND(IF(BB$6&gt;$B17,0,IF(BB$7&lt;$B17,BB$10-SUM(BB$12:BB16),(DAYS360(BB$6,$B17)/30)-SUM(BB$12:BB16))),1))</f>
        <v>0</v>
      </c>
      <c r="BC17" s="124"/>
      <c r="BD17" s="138">
        <f>IF(BD$10=0,0,ROUND(IF(BD$6&gt;$B17,0,IF(BD$7&lt;$B17,BD$10-SUM(BD$12:BD16),(DAYS360(BD$6,$B17)/30)-SUM(BD$12:BD16))),1))</f>
        <v>0</v>
      </c>
      <c r="BE17" s="124"/>
      <c r="BF17" s="138">
        <f>IF(BF$10=0,0,ROUND(IF(BF$6&gt;$B17,0,IF(BF$7&lt;$B17,BF$10-SUM(BF$12:BF16),(DAYS360(BF$6,$B17)/30)-SUM(BF$12:BF16))),1))</f>
        <v>0</v>
      </c>
      <c r="BG17" s="124"/>
      <c r="BH17" s="138">
        <f>IF(BH$10=0,0,ROUND(IF(BH$6&gt;$B17,0,IF(BH$7&lt;$B17,BH$10-SUM(BH$12:BH16),(DAYS360(BH$6,$B17)/30)-SUM(BH$12:BH16))),1))</f>
        <v>0</v>
      </c>
      <c r="BI17" s="124"/>
      <c r="BJ17" s="138">
        <f>IF(BJ$10=0,0,ROUND(IF(BJ$6&gt;$B17,0,IF(BJ$7&lt;$B17,BJ$10-SUM(BJ$12:BJ16),(DAYS360(BJ$6,$B17)/30)-SUM(BJ$12:BJ16))),1))</f>
        <v>0</v>
      </c>
      <c r="BK17" s="124"/>
      <c r="BL17" s="138">
        <f>IF(BL$10=0,0,ROUND(IF(BL$6&gt;$B17,0,IF(BL$7&lt;$B17,BL$10-SUM(BL$12:BL16),(DAYS360(BL$6,$B17)/30)-SUM(BL$12:BL16))),1))</f>
        <v>0</v>
      </c>
      <c r="BM17" s="119"/>
    </row>
    <row r="18" spans="1:66" ht="15.75" hidden="1" x14ac:dyDescent="0.25">
      <c r="A18" s="134">
        <f t="shared" si="1"/>
        <v>46235</v>
      </c>
      <c r="B18" s="134">
        <f t="shared" si="2"/>
        <v>46599</v>
      </c>
      <c r="C18" s="154">
        <f>(1+C$13)*(1+C$13)^5-1</f>
        <v>6.1520150600999912E-2</v>
      </c>
      <c r="D18" s="123"/>
      <c r="E18" s="124"/>
      <c r="F18" s="153">
        <f>IF(F$10=0,0,ROUND(IF(F$6&gt;$B18,0,IF(F$7&lt;$B18,F$10-SUM(F$12:F17),(DAYS360(F$6,$B18)/30)-SUM(F$12:F17))),1))</f>
        <v>0</v>
      </c>
      <c r="G18" s="124"/>
      <c r="H18" s="138">
        <f>IF(H$10=0,0,ROUND(IF(H$6&gt;$B18,0,IF(H$7&lt;$B18,H$10-SUM(H$12:H17),(DAYS360(H$6,$B18)/30)-SUM(H$12:H17))),1))</f>
        <v>0</v>
      </c>
      <c r="I18" s="124"/>
      <c r="J18" s="138">
        <f>IF(J$10=0,0,ROUND(IF(J$6&gt;$B18,0,IF(J$7&lt;$B18,J$10-SUM(J$12:J17),(DAYS360(J$6,$B18)/30)-SUM(J$12:J17))),1))</f>
        <v>0</v>
      </c>
      <c r="K18" s="124"/>
      <c r="L18" s="138">
        <f>IF(L$10=0,0,ROUND(IF(L$6&gt;$B18,0,IF(L$7&lt;$B18,L$10-SUM(L$12:L17),(DAYS360(L$6,$B18)/30)-SUM(L$12:L17))),1))</f>
        <v>0</v>
      </c>
      <c r="M18" s="124"/>
      <c r="N18" s="138">
        <f>IF(N$10=0,0,ROUND(IF(N$6&gt;$B18,0,IF(N$7&lt;$B18,N$10-SUM(N$12:N17),(DAYS360(N$6,$B18)/30)-SUM(N$12:N17))),1))</f>
        <v>0</v>
      </c>
      <c r="O18" s="124"/>
      <c r="P18" s="138">
        <f>IF(P$10=0,0,ROUND(IF(P$6&gt;$B18,0,IF(P$7&lt;$B18,P$10-SUM(P$12:P17),(DAYS360(P$6,$B18)/30)-SUM(P$12:P17))),1))</f>
        <v>0</v>
      </c>
      <c r="Q18" s="124"/>
      <c r="R18" s="138">
        <f>IF(R$10=0,0,ROUND(IF(R$6&gt;$B18,0,IF(R$7&lt;$B18,R$10-SUM(R$12:R17),(DAYS360(R$6,$B18)/30)-SUM(R$12:R17))),1))</f>
        <v>0</v>
      </c>
      <c r="S18" s="124"/>
      <c r="T18" s="138">
        <f>IF(T$10=0,0,ROUND(IF(T$6&gt;$B18,0,IF(T$7&lt;$B18,T$10-SUM(T$12:T17),(DAYS360(T$6,$B18)/30)-SUM(T$12:T17))),1))</f>
        <v>0</v>
      </c>
      <c r="U18" s="124"/>
      <c r="V18" s="138">
        <f>IF(V$10=0,0,ROUND(IF(V$6&gt;$B18,0,IF(V$7&lt;$B18,V$10-SUM(V$12:V17),(DAYS360(V$6,$B18)/30)-SUM(V$12:V17))),1))</f>
        <v>0</v>
      </c>
      <c r="W18" s="124"/>
      <c r="X18" s="138">
        <f>IF(X$10=0,0,ROUND(IF(X$6&gt;$B18,0,IF(X$7&lt;$B18,X$10-SUM(X$12:X17),(DAYS360(X$6,$B18)/30)-SUM(X$12:X17))),1))</f>
        <v>0</v>
      </c>
      <c r="Y18" s="124"/>
      <c r="Z18" s="138">
        <f>IF(Z$10=0,0,ROUND(IF(Z$6&gt;$B18,0,IF(Z$7&lt;$B18,Z$10-SUM(Z$12:Z17),(DAYS360(Z$6,$B18)/30)-SUM(Z$12:Z17))),1))</f>
        <v>0</v>
      </c>
      <c r="AA18" s="124"/>
      <c r="AB18" s="138">
        <f>IF(AB$10=0,0,ROUND(IF(AB$6&gt;$B18,0,IF(AB$7&lt;$B18,AB$10-SUM(AB$12:AB17),(DAYS360(AB$6,$B18)/30)-SUM(AB$12:AB17))),1))</f>
        <v>0</v>
      </c>
      <c r="AC18" s="124"/>
      <c r="AD18" s="138">
        <f>IF(AD$10=0,0,ROUND(IF(AD$6&gt;$B18,0,IF(AD$7&lt;$B18,AD$10-SUM(AD$12:AD17),(DAYS360(AD$6,$B18)/30)-SUM(AD$12:AD17))),1))</f>
        <v>0</v>
      </c>
      <c r="AE18" s="124"/>
      <c r="AF18" s="138">
        <f>IF(AF$10=0,0,ROUND(IF(AF$6&gt;$B18,0,IF(AF$7&lt;$B18,AF$10-SUM(AF$12:AF17),(DAYS360(AF$6,$B18)/30)-SUM(AF$12:AF17))),1))</f>
        <v>0</v>
      </c>
      <c r="AG18" s="124"/>
      <c r="AH18" s="138">
        <f>IF(AH$10=0,0,ROUND(IF(AH$6&gt;$B18,0,IF(AH$7&lt;$B18,AH$10-SUM(AH$12:AH17),(DAYS360(AH$6,$B18)/30)-SUM(AH$12:AH17))),1))</f>
        <v>0</v>
      </c>
      <c r="AI18" s="124"/>
      <c r="AJ18" s="138">
        <f>IF(AJ$10=0,0,ROUND(IF(AJ$6&gt;$B18,0,IF(AJ$7&lt;$B18,AJ$10-SUM(AJ$12:AJ17),(DAYS360(AJ$6,$B18)/30)-SUM(AJ$12:AJ17))),1))</f>
        <v>0</v>
      </c>
      <c r="AK18" s="124"/>
      <c r="AL18" s="138">
        <f>IF(AL$10=0,0,ROUND(IF(AL$6&gt;$B18,0,IF(AL$7&lt;$B18,AL$10-SUM(AL$12:AL17),(DAYS360(AL$6,$B18)/30)-SUM(AL$12:AL17))),1))</f>
        <v>0</v>
      </c>
      <c r="AM18" s="124"/>
      <c r="AN18" s="138">
        <f>IF(AN$10=0,0,ROUND(IF(AN$6&gt;$B18,0,IF(AN$7&lt;$B18,AN$10-SUM(AN$12:AN17),(DAYS360(AN$6,$B18)/30)-SUM(AN$12:AN17))),1))</f>
        <v>0</v>
      </c>
      <c r="AO18" s="124"/>
      <c r="AP18" s="138">
        <f>IF(AP$10=0,0,ROUND(IF(AP$6&gt;$B18,0,IF(AP$7&lt;$B18,AP$10-SUM(AP$12:AP17),(DAYS360(AP$6,$B18)/30)-SUM(AP$12:AP17))),1))</f>
        <v>0</v>
      </c>
      <c r="AQ18" s="124"/>
      <c r="AR18" s="138">
        <f>IF(AR$10=0,0,ROUND(IF(AR$6&gt;$B18,0,IF(AR$7&lt;$B18,AR$10-SUM(AR$12:AR17),(DAYS360(AR$6,$B18)/30)-SUM(AR$12:AR17))),1))</f>
        <v>0</v>
      </c>
      <c r="AS18" s="124"/>
      <c r="AT18" s="138">
        <f>IF(AT$10=0,0,ROUND(IF(AT$6&gt;$B18,0,IF(AT$7&lt;$B18,AT$10-SUM(AT$12:AT17),(DAYS360(AT$6,$B18)/30)-SUM(AT$12:AT17))),1))</f>
        <v>0</v>
      </c>
      <c r="AU18" s="124"/>
      <c r="AV18" s="138">
        <f>IF(AV$10=0,0,ROUND(IF(AV$6&gt;$B18,0,IF(AV$7&lt;$B18,AV$10-SUM(AV$12:AV17),(DAYS360(AV$6,$B18)/30)-SUM(AV$12:AV17))),1))</f>
        <v>0</v>
      </c>
      <c r="AW18" s="124"/>
      <c r="AX18" s="138">
        <f>IF(AX$10=0,0,ROUND(IF(AX$6&gt;$B18,0,IF(AX$7&lt;$B18,AX$10-SUM(AX$12:AX17),(DAYS360(AX$6,$B18)/30)-SUM(AX$12:AX17))),1))</f>
        <v>0</v>
      </c>
      <c r="AY18" s="124"/>
      <c r="AZ18" s="138">
        <f>IF(AZ$10=0,0,ROUND(IF(AZ$6&gt;$B18,0,IF(AZ$7&lt;$B18,AZ$10-SUM(AZ$12:AZ17),(DAYS360(AZ$6,$B18)/30)-SUM(AZ$12:AZ17))),1))</f>
        <v>0</v>
      </c>
      <c r="BA18" s="124"/>
      <c r="BB18" s="138">
        <f>IF(BB$10=0,0,ROUND(IF(BB$6&gt;$B18,0,IF(BB$7&lt;$B18,BB$10-SUM(BB$12:BB17),(DAYS360(BB$6,$B18)/30)-SUM(BB$12:BB17))),1))</f>
        <v>0</v>
      </c>
      <c r="BC18" s="124"/>
      <c r="BD18" s="138">
        <f>IF(BD$10=0,0,ROUND(IF(BD$6&gt;$B18,0,IF(BD$7&lt;$B18,BD$10-SUM(BD$12:BD17),(DAYS360(BD$6,$B18)/30)-SUM(BD$12:BD17))),1))</f>
        <v>0</v>
      </c>
      <c r="BE18" s="124"/>
      <c r="BF18" s="138">
        <f>IF(BF$10=0,0,ROUND(IF(BF$6&gt;$B18,0,IF(BF$7&lt;$B18,BF$10-SUM(BF$12:BF17),(DAYS360(BF$6,$B18)/30)-SUM(BF$12:BF17))),1))</f>
        <v>0</v>
      </c>
      <c r="BG18" s="124"/>
      <c r="BH18" s="138">
        <f>IF(BH$10=0,0,ROUND(IF(BH$6&gt;$B18,0,IF(BH$7&lt;$B18,BH$10-SUM(BH$12:BH17),(DAYS360(BH$6,$B18)/30)-SUM(BH$12:BH17))),1))</f>
        <v>0</v>
      </c>
      <c r="BI18" s="124"/>
      <c r="BJ18" s="138">
        <f>IF(BJ$10=0,0,ROUND(IF(BJ$6&gt;$B18,0,IF(BJ$7&lt;$B18,BJ$10-SUM(BJ$12:BJ17),(DAYS360(BJ$6,$B18)/30)-SUM(BJ$12:BJ17))),1))</f>
        <v>0</v>
      </c>
      <c r="BK18" s="124"/>
      <c r="BL18" s="138">
        <f>IF(BL$10=0,0,ROUND(IF(BL$6&gt;$B18,0,IF(BL$7&lt;$B18,BL$10-SUM(BL$12:BL17),(DAYS360(BL$6,$B18)/30)-SUM(BL$12:BL17))),1))</f>
        <v>0</v>
      </c>
      <c r="BM18" s="119"/>
    </row>
    <row r="19" spans="1:66" ht="15.75" hidden="1" x14ac:dyDescent="0.25">
      <c r="A19" s="134">
        <f t="shared" si="1"/>
        <v>46600</v>
      </c>
      <c r="B19" s="134">
        <f t="shared" ref="B19:B22" si="3">DATE(YEAR(B18)+1,MONTH(B18),DAY(B18))</f>
        <v>46965</v>
      </c>
      <c r="C19" s="154">
        <f>(1+C$13)*(1+C$13)^6-1</f>
        <v>7.2135352107010053E-2</v>
      </c>
      <c r="D19" s="123"/>
      <c r="E19" s="124"/>
      <c r="F19" s="153">
        <f>IF(F$10=0,0,ROUND(IF(F$6&gt;$B19,0,IF(F$7&lt;$B19,F$10-SUM(F$12:F18),(DAYS360(F$6,$B19)/30)-SUM(F$12:F18))),1))</f>
        <v>0</v>
      </c>
      <c r="G19" s="124"/>
      <c r="H19" s="138">
        <f>IF(H$10=0,0,ROUND(IF(H$6&gt;$B19,0,IF(H$7&lt;$B19,H$10-SUM(H$12:H18),(DAYS360(H$6,$B19)/30)-SUM(H$12:H18))),1))</f>
        <v>0</v>
      </c>
      <c r="I19" s="124"/>
      <c r="J19" s="138">
        <f>IF(J$10=0,0,ROUND(IF(J$6&gt;$B19,0,IF(J$7&lt;$B19,J$10-SUM(J$12:J18),(DAYS360(J$6,$B19)/30)-SUM(J$12:J18))),1))</f>
        <v>0</v>
      </c>
      <c r="K19" s="124"/>
      <c r="L19" s="138">
        <f>IF(L$10=0,0,ROUND(IF(L$6&gt;$B19,0,IF(L$7&lt;$B19,L$10-SUM(L$12:L18),(DAYS360(L$6,$B19)/30)-SUM(L$12:L18))),1))</f>
        <v>0</v>
      </c>
      <c r="M19" s="124"/>
      <c r="N19" s="138">
        <f>IF(N$10=0,0,ROUND(IF(N$6&gt;$B19,0,IF(N$7&lt;$B19,N$10-SUM(N$12:N18),(DAYS360(N$6,$B19)/30)-SUM(N$12:N18))),1))</f>
        <v>0</v>
      </c>
      <c r="O19" s="124"/>
      <c r="P19" s="138">
        <f>IF(P$10=0,0,ROUND(IF(P$6&gt;$B19,0,IF(P$7&lt;$B19,P$10-SUM(P$12:P18),(DAYS360(P$6,$B19)/30)-SUM(P$12:P18))),1))</f>
        <v>0</v>
      </c>
      <c r="Q19" s="124"/>
      <c r="R19" s="138">
        <f>IF(R$10=0,0,ROUND(IF(R$6&gt;$B19,0,IF(R$7&lt;$B19,R$10-SUM(R$12:R18),(DAYS360(R$6,$B19)/30)-SUM(R$12:R18))),1))</f>
        <v>0</v>
      </c>
      <c r="S19" s="124"/>
      <c r="T19" s="138">
        <f>IF(T$10=0,0,ROUND(IF(T$6&gt;$B19,0,IF(T$7&lt;$B19,T$10-SUM(T$12:T18),(DAYS360(T$6,$B19)/30)-SUM(T$12:T18))),1))</f>
        <v>0</v>
      </c>
      <c r="U19" s="124"/>
      <c r="V19" s="138">
        <f>IF(V$10=0,0,ROUND(IF(V$6&gt;$B19,0,IF(V$7&lt;$B19,V$10-SUM(V$12:V18),(DAYS360(V$6,$B19)/30)-SUM(V$12:V18))),1))</f>
        <v>0</v>
      </c>
      <c r="W19" s="124"/>
      <c r="X19" s="138">
        <f>IF(X$10=0,0,ROUND(IF(X$6&gt;$B19,0,IF(X$7&lt;$B19,X$10-SUM(X$12:X18),(DAYS360(X$6,$B19)/30)-SUM(X$12:X18))),1))</f>
        <v>0</v>
      </c>
      <c r="Y19" s="124"/>
      <c r="Z19" s="138">
        <f>IF(Z$10=0,0,ROUND(IF(Z$6&gt;$B19,0,IF(Z$7&lt;$B19,Z$10-SUM(Z$12:Z18),(DAYS360(Z$6,$B19)/30)-SUM(Z$12:Z18))),1))</f>
        <v>0</v>
      </c>
      <c r="AA19" s="124"/>
      <c r="AB19" s="138">
        <f>IF(AB$10=0,0,ROUND(IF(AB$6&gt;$B19,0,IF(AB$7&lt;$B19,AB$10-SUM(AB$12:AB18),(DAYS360(AB$6,$B19)/30)-SUM(AB$12:AB18))),1))</f>
        <v>0</v>
      </c>
      <c r="AC19" s="124"/>
      <c r="AD19" s="138">
        <f>IF(AD$10=0,0,ROUND(IF(AD$6&gt;$B19,0,IF(AD$7&lt;$B19,AD$10-SUM(AD$12:AD18),(DAYS360(AD$6,$B19)/30)-SUM(AD$12:AD18))),1))</f>
        <v>0</v>
      </c>
      <c r="AE19" s="124"/>
      <c r="AF19" s="138">
        <f>IF(AF$10=0,0,ROUND(IF(AF$6&gt;$B19,0,IF(AF$7&lt;$B19,AF$10-SUM(AF$12:AF18),(DAYS360(AF$6,$B19)/30)-SUM(AF$12:AF18))),1))</f>
        <v>0</v>
      </c>
      <c r="AG19" s="124"/>
      <c r="AH19" s="138">
        <f>IF(AH$10=0,0,ROUND(IF(AH$6&gt;$B19,0,IF(AH$7&lt;$B19,AH$10-SUM(AH$12:AH18),(DAYS360(AH$6,$B19)/30)-SUM(AH$12:AH18))),1))</f>
        <v>0</v>
      </c>
      <c r="AI19" s="124"/>
      <c r="AJ19" s="138">
        <f>IF(AJ$10=0,0,ROUND(IF(AJ$6&gt;$B19,0,IF(AJ$7&lt;$B19,AJ$10-SUM(AJ$12:AJ18),(DAYS360(AJ$6,$B19)/30)-SUM(AJ$12:AJ18))),1))</f>
        <v>0</v>
      </c>
      <c r="AK19" s="124"/>
      <c r="AL19" s="138">
        <f>IF(AL$10=0,0,ROUND(IF(AL$6&gt;$B19,0,IF(AL$7&lt;$B19,AL$10-SUM(AL$12:AL18),(DAYS360(AL$6,$B19)/30)-SUM(AL$12:AL18))),1))</f>
        <v>0</v>
      </c>
      <c r="AM19" s="124"/>
      <c r="AN19" s="138">
        <f>IF(AN$10=0,0,ROUND(IF(AN$6&gt;$B19,0,IF(AN$7&lt;$B19,AN$10-SUM(AN$12:AN18),(DAYS360(AN$6,$B19)/30)-SUM(AN$12:AN18))),1))</f>
        <v>0</v>
      </c>
      <c r="AO19" s="124"/>
      <c r="AP19" s="138">
        <f>IF(AP$10=0,0,ROUND(IF(AP$6&gt;$B19,0,IF(AP$7&lt;$B19,AP$10-SUM(AP$12:AP18),(DAYS360(AP$6,$B19)/30)-SUM(AP$12:AP18))),1))</f>
        <v>0</v>
      </c>
      <c r="AQ19" s="124"/>
      <c r="AR19" s="138">
        <f>IF(AR$10=0,0,ROUND(IF(AR$6&gt;$B19,0,IF(AR$7&lt;$B19,AR$10-SUM(AR$12:AR18),(DAYS360(AR$6,$B19)/30)-SUM(AR$12:AR18))),1))</f>
        <v>0</v>
      </c>
      <c r="AS19" s="124"/>
      <c r="AT19" s="138">
        <f>IF(AT$10=0,0,ROUND(IF(AT$6&gt;$B19,0,IF(AT$7&lt;$B19,AT$10-SUM(AT$12:AT18),(DAYS360(AT$6,$B19)/30)-SUM(AT$12:AT18))),1))</f>
        <v>0</v>
      </c>
      <c r="AU19" s="124"/>
      <c r="AV19" s="138">
        <f>IF(AV$10=0,0,ROUND(IF(AV$6&gt;$B19,0,IF(AV$7&lt;$B19,AV$10-SUM(AV$12:AV18),(DAYS360(AV$6,$B19)/30)-SUM(AV$12:AV18))),1))</f>
        <v>0</v>
      </c>
      <c r="AW19" s="124"/>
      <c r="AX19" s="138">
        <f>IF(AX$10=0,0,ROUND(IF(AX$6&gt;$B19,0,IF(AX$7&lt;$B19,AX$10-SUM(AX$12:AX18),(DAYS360(AX$6,$B19)/30)-SUM(AX$12:AX18))),1))</f>
        <v>0</v>
      </c>
      <c r="AY19" s="124"/>
      <c r="AZ19" s="138">
        <f>IF(AZ$10=0,0,ROUND(IF(AZ$6&gt;$B19,0,IF(AZ$7&lt;$B19,AZ$10-SUM(AZ$12:AZ18),(DAYS360(AZ$6,$B19)/30)-SUM(AZ$12:AZ18))),1))</f>
        <v>0</v>
      </c>
      <c r="BA19" s="124"/>
      <c r="BB19" s="138">
        <f>IF(BB$10=0,0,ROUND(IF(BB$6&gt;$B19,0,IF(BB$7&lt;$B19,BB$10-SUM(BB$12:BB18),(DAYS360(BB$6,$B19)/30)-SUM(BB$12:BB18))),1))</f>
        <v>0</v>
      </c>
      <c r="BC19" s="124"/>
      <c r="BD19" s="138">
        <f>IF(BD$10=0,0,ROUND(IF(BD$6&gt;$B19,0,IF(BD$7&lt;$B19,BD$10-SUM(BD$12:BD18),(DAYS360(BD$6,$B19)/30)-SUM(BD$12:BD18))),1))</f>
        <v>0</v>
      </c>
      <c r="BE19" s="124"/>
      <c r="BF19" s="138">
        <f>IF(BF$10=0,0,ROUND(IF(BF$6&gt;$B19,0,IF(BF$7&lt;$B19,BF$10-SUM(BF$12:BF18),(DAYS360(BF$6,$B19)/30)-SUM(BF$12:BF18))),1))</f>
        <v>0</v>
      </c>
      <c r="BG19" s="124"/>
      <c r="BH19" s="138">
        <f>IF(BH$10=0,0,ROUND(IF(BH$6&gt;$B19,0,IF(BH$7&lt;$B19,BH$10-SUM(BH$12:BH18),(DAYS360(BH$6,$B19)/30)-SUM(BH$12:BH18))),1))</f>
        <v>0</v>
      </c>
      <c r="BI19" s="124"/>
      <c r="BJ19" s="138">
        <f>IF(BJ$10=0,0,ROUND(IF(BJ$6&gt;$B19,0,IF(BJ$7&lt;$B19,BJ$10-SUM(BJ$12:BJ18),(DAYS360(BJ$6,$B19)/30)-SUM(BJ$12:BJ18))),1))</f>
        <v>0</v>
      </c>
      <c r="BK19" s="124"/>
      <c r="BL19" s="138">
        <f>IF(BL$10=0,0,ROUND(IF(BL$6&gt;$B19,0,IF(BL$7&lt;$B19,BL$10-SUM(BL$12:BL18),(DAYS360(BL$6,$B19)/30)-SUM(BL$12:BL18))),1))</f>
        <v>0</v>
      </c>
      <c r="BM19" s="119"/>
    </row>
    <row r="20" spans="1:66" ht="15.75" hidden="1" x14ac:dyDescent="0.25">
      <c r="A20" s="134">
        <f t="shared" si="1"/>
        <v>46966</v>
      </c>
      <c r="B20" s="134">
        <f>DATE(YEAR(B19)+1,MONTH(B19),DAY(B19))</f>
        <v>47330</v>
      </c>
      <c r="C20" s="154">
        <f>(1+C$13)*(1+C$13)^7-1</f>
        <v>8.2856705628080007E-2</v>
      </c>
      <c r="D20" s="123"/>
      <c r="E20" s="124"/>
      <c r="F20" s="153">
        <f>IF(F$10=0,0,ROUND(IF(F$6&gt;$B20,0,IF(F$7&lt;$B20,F$10-SUM(F$12:F19),(DAYS360(F$6,$B20)/30)-SUM(F$12:F19))),1))</f>
        <v>0</v>
      </c>
      <c r="G20" s="124"/>
      <c r="H20" s="138">
        <f>IF(H$10=0,0,ROUND(IF(H$6&gt;$B20,0,IF(H$7&lt;$B20,H$10-SUM(H$12:H19),(DAYS360(H$6,$B20)/30)-SUM(H$12:H19))),1))</f>
        <v>0</v>
      </c>
      <c r="I20" s="124"/>
      <c r="J20" s="138">
        <f>IF(J$10=0,0,ROUND(IF(J$6&gt;$B20,0,IF(J$7&lt;$B20,J$10-SUM(J$12:J19),(DAYS360(J$6,$B20)/30)-SUM(J$12:J19))),1))</f>
        <v>0</v>
      </c>
      <c r="K20" s="124"/>
      <c r="L20" s="138">
        <f>IF(L$10=0,0,ROUND(IF(L$6&gt;$B20,0,IF(L$7&lt;$B20,L$10-SUM(L$12:L19),(DAYS360(L$6,$B20)/30)-SUM(L$12:L19))),1))</f>
        <v>0</v>
      </c>
      <c r="M20" s="124"/>
      <c r="N20" s="138">
        <f>IF(N$10=0,0,ROUND(IF(N$6&gt;$B20,0,IF(N$7&lt;$B20,N$10-SUM(N$12:N19),(DAYS360(N$6,$B20)/30)-SUM(N$12:N19))),1))</f>
        <v>0</v>
      </c>
      <c r="O20" s="124"/>
      <c r="P20" s="138">
        <f>IF(P$10=0,0,ROUND(IF(P$6&gt;$B20,0,IF(P$7&lt;$B20,P$10-SUM(P$12:P19),(DAYS360(P$6,$B20)/30)-SUM(P$12:P19))),1))</f>
        <v>0</v>
      </c>
      <c r="Q20" s="124"/>
      <c r="R20" s="138">
        <f>IF(R$10=0,0,ROUND(IF(R$6&gt;$B20,0,IF(R$7&lt;$B20,R$10-SUM(R$12:R19),(DAYS360(R$6,$B20)/30)-SUM(R$12:R19))),1))</f>
        <v>0</v>
      </c>
      <c r="S20" s="124"/>
      <c r="T20" s="138">
        <f>IF(T$10=0,0,ROUND(IF(T$6&gt;$B20,0,IF(T$7&lt;$B20,T$10-SUM(T$12:T19),(DAYS360(T$6,$B20)/30)-SUM(T$12:T19))),1))</f>
        <v>0</v>
      </c>
      <c r="U20" s="124"/>
      <c r="V20" s="138">
        <f>IF(V$10=0,0,ROUND(IF(V$6&gt;$B20,0,IF(V$7&lt;$B20,V$10-SUM(V$12:V19),(DAYS360(V$6,$B20)/30)-SUM(V$12:V19))),1))</f>
        <v>0</v>
      </c>
      <c r="W20" s="124"/>
      <c r="X20" s="138">
        <f>IF(X$10=0,0,ROUND(IF(X$6&gt;$B20,0,IF(X$7&lt;$B20,X$10-SUM(X$12:X19),(DAYS360(X$6,$B20)/30)-SUM(X$12:X19))),1))</f>
        <v>0</v>
      </c>
      <c r="Y20" s="124"/>
      <c r="Z20" s="138">
        <f>IF(Z$10=0,0,ROUND(IF(Z$6&gt;$B20,0,IF(Z$7&lt;$B20,Z$10-SUM(Z$12:Z19),(DAYS360(Z$6,$B20)/30)-SUM(Z$12:Z19))),1))</f>
        <v>0</v>
      </c>
      <c r="AA20" s="124"/>
      <c r="AB20" s="138">
        <f>IF(AB$10=0,0,ROUND(IF(AB$6&gt;$B20,0,IF(AB$7&lt;$B20,AB$10-SUM(AB$12:AB19),(DAYS360(AB$6,$B20)/30)-SUM(AB$12:AB19))),1))</f>
        <v>0</v>
      </c>
      <c r="AC20" s="124"/>
      <c r="AD20" s="138">
        <f>IF(AD$10=0,0,ROUND(IF(AD$6&gt;$B20,0,IF(AD$7&lt;$B20,AD$10-SUM(AD$12:AD19),(DAYS360(AD$6,$B20)/30)-SUM(AD$12:AD19))),1))</f>
        <v>0</v>
      </c>
      <c r="AE20" s="124"/>
      <c r="AF20" s="138">
        <f>IF(AF$10=0,0,ROUND(IF(AF$6&gt;$B20,0,IF(AF$7&lt;$B20,AF$10-SUM(AF$12:AF19),(DAYS360(AF$6,$B20)/30)-SUM(AF$12:AF19))),1))</f>
        <v>0</v>
      </c>
      <c r="AG20" s="124"/>
      <c r="AH20" s="138">
        <f>IF(AH$10=0,0,ROUND(IF(AH$6&gt;$B20,0,IF(AH$7&lt;$B20,AH$10-SUM(AH$12:AH19),(DAYS360(AH$6,$B20)/30)-SUM(AH$12:AH19))),1))</f>
        <v>0</v>
      </c>
      <c r="AI20" s="124"/>
      <c r="AJ20" s="138">
        <f>IF(AJ$10=0,0,ROUND(IF(AJ$6&gt;$B20,0,IF(AJ$7&lt;$B20,AJ$10-SUM(AJ$12:AJ19),(DAYS360(AJ$6,$B20)/30)-SUM(AJ$12:AJ19))),1))</f>
        <v>0</v>
      </c>
      <c r="AK20" s="124"/>
      <c r="AL20" s="138">
        <f>IF(AL$10=0,0,ROUND(IF(AL$6&gt;$B20,0,IF(AL$7&lt;$B20,AL$10-SUM(AL$12:AL19),(DAYS360(AL$6,$B20)/30)-SUM(AL$12:AL19))),1))</f>
        <v>0</v>
      </c>
      <c r="AM20" s="124"/>
      <c r="AN20" s="138">
        <f>IF(AN$10=0,0,ROUND(IF(AN$6&gt;$B20,0,IF(AN$7&lt;$B20,AN$10-SUM(AN$12:AN19),(DAYS360(AN$6,$B20)/30)-SUM(AN$12:AN19))),1))</f>
        <v>0</v>
      </c>
      <c r="AO20" s="124"/>
      <c r="AP20" s="138">
        <f>IF(AP$10=0,0,ROUND(IF(AP$6&gt;$B20,0,IF(AP$7&lt;$B20,AP$10-SUM(AP$12:AP19),(DAYS360(AP$6,$B20)/30)-SUM(AP$12:AP19))),1))</f>
        <v>0</v>
      </c>
      <c r="AQ20" s="124"/>
      <c r="AR20" s="138">
        <f>IF(AR$10=0,0,ROUND(IF(AR$6&gt;$B20,0,IF(AR$7&lt;$B20,AR$10-SUM(AR$12:AR19),(DAYS360(AR$6,$B20)/30)-SUM(AR$12:AR19))),1))</f>
        <v>0</v>
      </c>
      <c r="AS20" s="124"/>
      <c r="AT20" s="138">
        <f>IF(AT$10=0,0,ROUND(IF(AT$6&gt;$B20,0,IF(AT$7&lt;$B20,AT$10-SUM(AT$12:AT19),(DAYS360(AT$6,$B20)/30)-SUM(AT$12:AT19))),1))</f>
        <v>0</v>
      </c>
      <c r="AU20" s="124"/>
      <c r="AV20" s="138">
        <f>IF(AV$10=0,0,ROUND(IF(AV$6&gt;$B20,0,IF(AV$7&lt;$B20,AV$10-SUM(AV$12:AV19),(DAYS360(AV$6,$B20)/30)-SUM(AV$12:AV19))),1))</f>
        <v>0</v>
      </c>
      <c r="AW20" s="124"/>
      <c r="AX20" s="138">
        <f>IF(AX$10=0,0,ROUND(IF(AX$6&gt;$B20,0,IF(AX$7&lt;$B20,AX$10-SUM(AX$12:AX19),(DAYS360(AX$6,$B20)/30)-SUM(AX$12:AX19))),1))</f>
        <v>0</v>
      </c>
      <c r="AY20" s="124"/>
      <c r="AZ20" s="138">
        <f>IF(AZ$10=0,0,ROUND(IF(AZ$6&gt;$B20,0,IF(AZ$7&lt;$B20,AZ$10-SUM(AZ$12:AZ19),(DAYS360(AZ$6,$B20)/30)-SUM(AZ$12:AZ19))),1))</f>
        <v>0</v>
      </c>
      <c r="BA20" s="124"/>
      <c r="BB20" s="138">
        <f>IF(BB$10=0,0,ROUND(IF(BB$6&gt;$B20,0,IF(BB$7&lt;$B20,BB$10-SUM(BB$12:BB19),(DAYS360(BB$6,$B20)/30)-SUM(BB$12:BB19))),1))</f>
        <v>0</v>
      </c>
      <c r="BC20" s="124"/>
      <c r="BD20" s="138">
        <f>IF(BD$10=0,0,ROUND(IF(BD$6&gt;$B20,0,IF(BD$7&lt;$B20,BD$10-SUM(BD$12:BD19),(DAYS360(BD$6,$B20)/30)-SUM(BD$12:BD19))),1))</f>
        <v>0</v>
      </c>
      <c r="BE20" s="124"/>
      <c r="BF20" s="138">
        <f>IF(BF$10=0,0,ROUND(IF(BF$6&gt;$B20,0,IF(BF$7&lt;$B20,BF$10-SUM(BF$12:BF19),(DAYS360(BF$6,$B20)/30)-SUM(BF$12:BF19))),1))</f>
        <v>0</v>
      </c>
      <c r="BG20" s="124"/>
      <c r="BH20" s="138">
        <f>IF(BH$10=0,0,ROUND(IF(BH$6&gt;$B20,0,IF(BH$7&lt;$B20,BH$10-SUM(BH$12:BH19),(DAYS360(BH$6,$B20)/30)-SUM(BH$12:BH19))),1))</f>
        <v>0</v>
      </c>
      <c r="BI20" s="124"/>
      <c r="BJ20" s="138">
        <f>IF(BJ$10=0,0,ROUND(IF(BJ$6&gt;$B20,0,IF(BJ$7&lt;$B20,BJ$10-SUM(BJ$12:BJ19),(DAYS360(BJ$6,$B20)/30)-SUM(BJ$12:BJ19))),1))</f>
        <v>0</v>
      </c>
      <c r="BK20" s="124"/>
      <c r="BL20" s="138">
        <f>IF(BL$10=0,0,ROUND(IF(BL$6&gt;$B20,0,IF(BL$7&lt;$B20,BL$10-SUM(BL$12:BL19),(DAYS360(BL$6,$B20)/30)-SUM(BL$12:BL19))),1))</f>
        <v>0</v>
      </c>
      <c r="BM20" s="119"/>
    </row>
    <row r="21" spans="1:66" ht="15.75" hidden="1" x14ac:dyDescent="0.25">
      <c r="A21" s="134">
        <f t="shared" si="1"/>
        <v>47331</v>
      </c>
      <c r="B21" s="134">
        <f>DATE(YEAR(B20)+1,MONTH(B20),DAY(B20))</f>
        <v>47695</v>
      </c>
      <c r="C21" s="154">
        <f>(1+C$13)*(1+C$13)^8-1</f>
        <v>9.3685272684361109E-2</v>
      </c>
      <c r="D21" s="123"/>
      <c r="E21" s="124"/>
      <c r="F21" s="153">
        <f>IF(F$10=0,0,ROUND(IF(F$6&gt;$B21,0,IF(F$7&lt;$B21,F$10-SUM(F$12:F20),(DAYS360(F$6,$B21)/30)-SUM(F$12:F20))),1))</f>
        <v>0</v>
      </c>
      <c r="G21" s="124"/>
      <c r="H21" s="138">
        <f>IF(H$10=0,0,ROUND(IF(H$6&gt;$B21,0,IF(H$7&lt;$B21,H$10-SUM(H$12:H20),(DAYS360(H$6,$B21)/30)-SUM(H$12:H20))),1))</f>
        <v>0</v>
      </c>
      <c r="I21" s="124"/>
      <c r="J21" s="138">
        <f>IF(J$10=0,0,ROUND(IF(J$6&gt;$B21,0,IF(J$7&lt;$B21,J$10-SUM(J$12:J20),(DAYS360(J$6,$B21)/30)-SUM(J$12:J20))),1))</f>
        <v>0</v>
      </c>
      <c r="K21" s="124"/>
      <c r="L21" s="138">
        <f>IF(L$10=0,0,ROUND(IF(L$6&gt;$B21,0,IF(L$7&lt;$B21,L$10-SUM(L$12:L20),(DAYS360(L$6,$B21)/30)-SUM(L$12:L20))),1))</f>
        <v>0</v>
      </c>
      <c r="M21" s="124"/>
      <c r="N21" s="138">
        <f>IF(N$10=0,0,ROUND(IF(N$6&gt;$B21,0,IF(N$7&lt;$B21,N$10-SUM(N$12:N20),(DAYS360(N$6,$B21)/30)-SUM(N$12:N20))),1))</f>
        <v>0</v>
      </c>
      <c r="O21" s="124"/>
      <c r="P21" s="138">
        <f>IF(P$10=0,0,ROUND(IF(P$6&gt;$B21,0,IF(P$7&lt;$B21,P$10-SUM(P$12:P20),(DAYS360(P$6,$B21)/30)-SUM(P$12:P20))),1))</f>
        <v>0</v>
      </c>
      <c r="Q21" s="124"/>
      <c r="R21" s="138">
        <f>IF(R$10=0,0,ROUND(IF(R$6&gt;$B21,0,IF(R$7&lt;$B21,R$10-SUM(R$12:R20),(DAYS360(R$6,$B21)/30)-SUM(R$12:R20))),1))</f>
        <v>0</v>
      </c>
      <c r="S21" s="124"/>
      <c r="T21" s="138">
        <f>IF(T$10=0,0,ROUND(IF(T$6&gt;$B21,0,IF(T$7&lt;$B21,T$10-SUM(T$12:T20),(DAYS360(T$6,$B21)/30)-SUM(T$12:T20))),1))</f>
        <v>0</v>
      </c>
      <c r="U21" s="124"/>
      <c r="V21" s="138">
        <f>IF(V$10=0,0,ROUND(IF(V$6&gt;$B21,0,IF(V$7&lt;$B21,V$10-SUM(V$12:V20),(DAYS360(V$6,$B21)/30)-SUM(V$12:V20))),1))</f>
        <v>0</v>
      </c>
      <c r="W21" s="124"/>
      <c r="X21" s="138">
        <f>IF(X$10=0,0,ROUND(IF(X$6&gt;$B21,0,IF(X$7&lt;$B21,X$10-SUM(X$12:X20),(DAYS360(X$6,$B21)/30)-SUM(X$12:X20))),1))</f>
        <v>0</v>
      </c>
      <c r="Y21" s="124"/>
      <c r="Z21" s="138">
        <f>IF(Z$10=0,0,ROUND(IF(Z$6&gt;$B21,0,IF(Z$7&lt;$B21,Z$10-SUM(Z$12:Z20),(DAYS360(Z$6,$B21)/30)-SUM(Z$12:Z20))),1))</f>
        <v>0</v>
      </c>
      <c r="AA21" s="124"/>
      <c r="AB21" s="138">
        <f>IF(AB$10=0,0,ROUND(IF(AB$6&gt;$B21,0,IF(AB$7&lt;$B21,AB$10-SUM(AB$12:AB20),(DAYS360(AB$6,$B21)/30)-SUM(AB$12:AB20))),1))</f>
        <v>0</v>
      </c>
      <c r="AC21" s="124"/>
      <c r="AD21" s="138">
        <f>IF(AD$10=0,0,ROUND(IF(AD$6&gt;$B21,0,IF(AD$7&lt;$B21,AD$10-SUM(AD$12:AD20),(DAYS360(AD$6,$B21)/30)-SUM(AD$12:AD20))),1))</f>
        <v>0</v>
      </c>
      <c r="AE21" s="124"/>
      <c r="AF21" s="138">
        <f>IF(AF$10=0,0,ROUND(IF(AF$6&gt;$B21,0,IF(AF$7&lt;$B21,AF$10-SUM(AF$12:AF20),(DAYS360(AF$6,$B21)/30)-SUM(AF$12:AF20))),1))</f>
        <v>0</v>
      </c>
      <c r="AG21" s="124"/>
      <c r="AH21" s="138">
        <f>IF(AH$10=0,0,ROUND(IF(AH$6&gt;$B21,0,IF(AH$7&lt;$B21,AH$10-SUM(AH$12:AH20),(DAYS360(AH$6,$B21)/30)-SUM(AH$12:AH20))),1))</f>
        <v>0</v>
      </c>
      <c r="AI21" s="124"/>
      <c r="AJ21" s="138">
        <f>IF(AJ$10=0,0,ROUND(IF(AJ$6&gt;$B21,0,IF(AJ$7&lt;$B21,AJ$10-SUM(AJ$12:AJ20),(DAYS360(AJ$6,$B21)/30)-SUM(AJ$12:AJ20))),1))</f>
        <v>0</v>
      </c>
      <c r="AK21" s="124"/>
      <c r="AL21" s="138">
        <f>IF(AL$10=0,0,ROUND(IF(AL$6&gt;$B21,0,IF(AL$7&lt;$B21,AL$10-SUM(AL$12:AL20),(DAYS360(AL$6,$B21)/30)-SUM(AL$12:AL20))),1))</f>
        <v>0</v>
      </c>
      <c r="AM21" s="124"/>
      <c r="AN21" s="138">
        <f>IF(AN$10=0,0,ROUND(IF(AN$6&gt;$B21,0,IF(AN$7&lt;$B21,AN$10-SUM(AN$12:AN20),(DAYS360(AN$6,$B21)/30)-SUM(AN$12:AN20))),1))</f>
        <v>0</v>
      </c>
      <c r="AO21" s="124"/>
      <c r="AP21" s="138">
        <f>IF(AP$10=0,0,ROUND(IF(AP$6&gt;$B21,0,IF(AP$7&lt;$B21,AP$10-SUM(AP$12:AP20),(DAYS360(AP$6,$B21)/30)-SUM(AP$12:AP20))),1))</f>
        <v>0</v>
      </c>
      <c r="AQ21" s="124"/>
      <c r="AR21" s="138">
        <f>IF(AR$10=0,0,ROUND(IF(AR$6&gt;$B21,0,IF(AR$7&lt;$B21,AR$10-SUM(AR$12:AR20),(DAYS360(AR$6,$B21)/30)-SUM(AR$12:AR20))),1))</f>
        <v>0</v>
      </c>
      <c r="AS21" s="124"/>
      <c r="AT21" s="138">
        <f>IF(AT$10=0,0,ROUND(IF(AT$6&gt;$B21,0,IF(AT$7&lt;$B21,AT$10-SUM(AT$12:AT20),(DAYS360(AT$6,$B21)/30)-SUM(AT$12:AT20))),1))</f>
        <v>0</v>
      </c>
      <c r="AU21" s="124"/>
      <c r="AV21" s="138">
        <f>IF(AV$10=0,0,ROUND(IF(AV$6&gt;$B21,0,IF(AV$7&lt;$B21,AV$10-SUM(AV$12:AV20),(DAYS360(AV$6,$B21)/30)-SUM(AV$12:AV20))),1))</f>
        <v>0</v>
      </c>
      <c r="AW21" s="124"/>
      <c r="AX21" s="138">
        <f>IF(AX$10=0,0,ROUND(IF(AX$6&gt;$B21,0,IF(AX$7&lt;$B21,AX$10-SUM(AX$12:AX20),(DAYS360(AX$6,$B21)/30)-SUM(AX$12:AX20))),1))</f>
        <v>0</v>
      </c>
      <c r="AY21" s="124"/>
      <c r="AZ21" s="138">
        <f>IF(AZ$10=0,0,ROUND(IF(AZ$6&gt;$B21,0,IF(AZ$7&lt;$B21,AZ$10-SUM(AZ$12:AZ20),(DAYS360(AZ$6,$B21)/30)-SUM(AZ$12:AZ20))),1))</f>
        <v>0</v>
      </c>
      <c r="BA21" s="124"/>
      <c r="BB21" s="138">
        <f>IF(BB$10=0,0,ROUND(IF(BB$6&gt;$B21,0,IF(BB$7&lt;$B21,BB$10-SUM(BB$12:BB20),(DAYS360(BB$6,$B21)/30)-SUM(BB$12:BB20))),1))</f>
        <v>0</v>
      </c>
      <c r="BC21" s="124"/>
      <c r="BD21" s="138">
        <f>IF(BD$10=0,0,ROUND(IF(BD$6&gt;$B21,0,IF(BD$7&lt;$B21,BD$10-SUM(BD$12:BD20),(DAYS360(BD$6,$B21)/30)-SUM(BD$12:BD20))),1))</f>
        <v>0</v>
      </c>
      <c r="BE21" s="124"/>
      <c r="BF21" s="138">
        <f>IF(BF$10=0,0,ROUND(IF(BF$6&gt;$B21,0,IF(BF$7&lt;$B21,BF$10-SUM(BF$12:BF20),(DAYS360(BF$6,$B21)/30)-SUM(BF$12:BF20))),1))</f>
        <v>0</v>
      </c>
      <c r="BG21" s="124"/>
      <c r="BH21" s="138">
        <f>IF(BH$10=0,0,ROUND(IF(BH$6&gt;$B21,0,IF(BH$7&lt;$B21,BH$10-SUM(BH$12:BH20),(DAYS360(BH$6,$B21)/30)-SUM(BH$12:BH20))),1))</f>
        <v>0</v>
      </c>
      <c r="BI21" s="124"/>
      <c r="BJ21" s="138">
        <f>IF(BJ$10=0,0,ROUND(IF(BJ$6&gt;$B21,0,IF(BJ$7&lt;$B21,BJ$10-SUM(BJ$12:BJ20),(DAYS360(BJ$6,$B21)/30)-SUM(BJ$12:BJ20))),1))</f>
        <v>0</v>
      </c>
      <c r="BK21" s="124"/>
      <c r="BL21" s="138">
        <f>IF(BL$10=0,0,ROUND(IF(BL$6&gt;$B21,0,IF(BL$7&lt;$B21,BL$10-SUM(BL$12:BL20),(DAYS360(BL$6,$B21)/30)-SUM(BL$12:BL20))),1))</f>
        <v>0</v>
      </c>
      <c r="BM21" s="119"/>
    </row>
    <row r="22" spans="1:66" ht="15.75" hidden="1" x14ac:dyDescent="0.25">
      <c r="A22" s="134">
        <f t="shared" si="1"/>
        <v>47696</v>
      </c>
      <c r="B22" s="134">
        <f t="shared" si="3"/>
        <v>48060</v>
      </c>
      <c r="C22" s="154">
        <f>(1+C$13)*(1+C$13)^9-1</f>
        <v>0.10462212541120475</v>
      </c>
      <c r="D22" s="123"/>
      <c r="E22" s="124"/>
      <c r="F22" s="153">
        <f>IF(F$10=0,0,ROUND(IF(F$6&gt;$B22,0,IF(F$7&lt;$B22,F$10-SUM(F$12:F21),(DAYS360(F$6,$B22)/30)-SUM(F$12:F21))),1))</f>
        <v>0</v>
      </c>
      <c r="G22" s="124"/>
      <c r="H22" s="138">
        <f>IF(H$10=0,0,ROUND(IF(H$6&gt;$B22,0,IF(H$7&lt;$B22,H$10-SUM(H$12:H21),(DAYS360(H$6,$B22)/30)-SUM(H$12:H21))),1))</f>
        <v>0</v>
      </c>
      <c r="I22" s="124"/>
      <c r="J22" s="138">
        <f>IF(J$10=0,0,ROUND(IF(J$6&gt;$B22,0,IF(J$7&lt;$B22,J$10-SUM(J$12:J21),(DAYS360(J$6,$B22)/30)-SUM(J$12:J21))),1))</f>
        <v>0</v>
      </c>
      <c r="K22" s="124"/>
      <c r="L22" s="138">
        <f>IF(L$10=0,0,ROUND(IF(L$6&gt;$B22,0,IF(L$7&lt;$B22,L$10-SUM(L$12:L21),(DAYS360(L$6,$B22)/30)-SUM(L$12:L21))),1))</f>
        <v>0</v>
      </c>
      <c r="M22" s="124"/>
      <c r="N22" s="138">
        <f>IF(N$10=0,0,ROUND(IF(N$6&gt;$B22,0,IF(N$7&lt;$B22,N$10-SUM(N$12:N21),(DAYS360(N$6,$B22)/30)-SUM(N$12:N21))),1))</f>
        <v>0</v>
      </c>
      <c r="O22" s="124"/>
      <c r="P22" s="138">
        <f>IF(P$10=0,0,ROUND(IF(P$6&gt;$B22,0,IF(P$7&lt;$B22,P$10-SUM(P$12:P21),(DAYS360(P$6,$B22)/30)-SUM(P$12:P21))),1))</f>
        <v>0</v>
      </c>
      <c r="Q22" s="124"/>
      <c r="R22" s="138">
        <f>IF(R$10=0,0,ROUND(IF(R$6&gt;$B22,0,IF(R$7&lt;$B22,R$10-SUM(R$12:R21),(DAYS360(R$6,$B22)/30)-SUM(R$12:R21))),1))</f>
        <v>0</v>
      </c>
      <c r="S22" s="124"/>
      <c r="T22" s="138">
        <f>IF(T$10=0,0,ROUND(IF(T$6&gt;$B22,0,IF(T$7&lt;$B22,T$10-SUM(T$12:T21),(DAYS360(T$6,$B22)/30)-SUM(T$12:T21))),1))</f>
        <v>0</v>
      </c>
      <c r="U22" s="124"/>
      <c r="V22" s="138">
        <f>IF(V$10=0,0,ROUND(IF(V$6&gt;$B22,0,IF(V$7&lt;$B22,V$10-SUM(V$12:V21),(DAYS360(V$6,$B22)/30)-SUM(V$12:V21))),1))</f>
        <v>0</v>
      </c>
      <c r="W22" s="124"/>
      <c r="X22" s="138">
        <f>IF(X$10=0,0,ROUND(IF(X$6&gt;$B22,0,IF(X$7&lt;$B22,X$10-SUM(X$12:X21),(DAYS360(X$6,$B22)/30)-SUM(X$12:X21))),1))</f>
        <v>0</v>
      </c>
      <c r="Y22" s="124"/>
      <c r="Z22" s="138">
        <f>IF(Z$10=0,0,ROUND(IF(Z$6&gt;$B22,0,IF(Z$7&lt;$B22,Z$10-SUM(Z$12:Z21),(DAYS360(Z$6,$B22)/30)-SUM(Z$12:Z21))),1))</f>
        <v>0</v>
      </c>
      <c r="AA22" s="124"/>
      <c r="AB22" s="138">
        <f>IF(AB$10=0,0,ROUND(IF(AB$6&gt;$B22,0,IF(AB$7&lt;$B22,AB$10-SUM(AB$12:AB21),(DAYS360(AB$6,$B22)/30)-SUM(AB$12:AB21))),1))</f>
        <v>0</v>
      </c>
      <c r="AC22" s="124"/>
      <c r="AD22" s="138">
        <f>IF(AD$10=0,0,ROUND(IF(AD$6&gt;$B22,0,IF(AD$7&lt;$B22,AD$10-SUM(AD$12:AD21),(DAYS360(AD$6,$B22)/30)-SUM(AD$12:AD21))),1))</f>
        <v>0</v>
      </c>
      <c r="AE22" s="124"/>
      <c r="AF22" s="138">
        <f>IF(AF$10=0,0,ROUND(IF(AF$6&gt;$B22,0,IF(AF$7&lt;$B22,AF$10-SUM(AF$12:AF21),(DAYS360(AF$6,$B22)/30)-SUM(AF$12:AF21))),1))</f>
        <v>0</v>
      </c>
      <c r="AG22" s="124"/>
      <c r="AH22" s="138">
        <f>IF(AH$10=0,0,ROUND(IF(AH$6&gt;$B22,0,IF(AH$7&lt;$B22,AH$10-SUM(AH$12:AH21),(DAYS360(AH$6,$B22)/30)-SUM(AH$12:AH21))),1))</f>
        <v>0</v>
      </c>
      <c r="AI22" s="124"/>
      <c r="AJ22" s="138">
        <f>IF(AJ$10=0,0,ROUND(IF(AJ$6&gt;$B22,0,IF(AJ$7&lt;$B22,AJ$10-SUM(AJ$12:AJ21),(DAYS360(AJ$6,$B22)/30)-SUM(AJ$12:AJ21))),1))</f>
        <v>0</v>
      </c>
      <c r="AK22" s="124"/>
      <c r="AL22" s="138">
        <f>IF(AL$10=0,0,ROUND(IF(AL$6&gt;$B22,0,IF(AL$7&lt;$B22,AL$10-SUM(AL$12:AL21),(DAYS360(AL$6,$B22)/30)-SUM(AL$12:AL21))),1))</f>
        <v>0</v>
      </c>
      <c r="AM22" s="124"/>
      <c r="AN22" s="138">
        <f>IF(AN$10=0,0,ROUND(IF(AN$6&gt;$B22,0,IF(AN$7&lt;$B22,AN$10-SUM(AN$12:AN21),(DAYS360(AN$6,$B22)/30)-SUM(AN$12:AN21))),1))</f>
        <v>0</v>
      </c>
      <c r="AO22" s="124"/>
      <c r="AP22" s="138">
        <f>IF(AP$10=0,0,ROUND(IF(AP$6&gt;$B22,0,IF(AP$7&lt;$B22,AP$10-SUM(AP$12:AP21),(DAYS360(AP$6,$B22)/30)-SUM(AP$12:AP21))),1))</f>
        <v>0</v>
      </c>
      <c r="AQ22" s="124"/>
      <c r="AR22" s="138">
        <f>IF(AR$10=0,0,ROUND(IF(AR$6&gt;$B22,0,IF(AR$7&lt;$B22,AR$10-SUM(AR$12:AR21),(DAYS360(AR$6,$B22)/30)-SUM(AR$12:AR21))),1))</f>
        <v>0</v>
      </c>
      <c r="AS22" s="124"/>
      <c r="AT22" s="138">
        <f>IF(AT$10=0,0,ROUND(IF(AT$6&gt;$B22,0,IF(AT$7&lt;$B22,AT$10-SUM(AT$12:AT21),(DAYS360(AT$6,$B22)/30)-SUM(AT$12:AT21))),1))</f>
        <v>0</v>
      </c>
      <c r="AU22" s="124"/>
      <c r="AV22" s="138">
        <f>IF(AV$10=0,0,ROUND(IF(AV$6&gt;$B22,0,IF(AV$7&lt;$B22,AV$10-SUM(AV$12:AV21),(DAYS360(AV$6,$B22)/30)-SUM(AV$12:AV21))),1))</f>
        <v>0</v>
      </c>
      <c r="AW22" s="124"/>
      <c r="AX22" s="138">
        <f>IF(AX$10=0,0,ROUND(IF(AX$6&gt;$B22,0,IF(AX$7&lt;$B22,AX$10-SUM(AX$12:AX21),(DAYS360(AX$6,$B22)/30)-SUM(AX$12:AX21))),1))</f>
        <v>0</v>
      </c>
      <c r="AY22" s="124"/>
      <c r="AZ22" s="138">
        <f>IF(AZ$10=0,0,ROUND(IF(AZ$6&gt;$B22,0,IF(AZ$7&lt;$B22,AZ$10-SUM(AZ$12:AZ21),(DAYS360(AZ$6,$B22)/30)-SUM(AZ$12:AZ21))),1))</f>
        <v>0</v>
      </c>
      <c r="BA22" s="124"/>
      <c r="BB22" s="138">
        <f>IF(BB$10=0,0,ROUND(IF(BB$6&gt;$B22,0,IF(BB$7&lt;$B22,BB$10-SUM(BB$12:BB21),(DAYS360(BB$6,$B22)/30)-SUM(BB$12:BB21))),1))</f>
        <v>0</v>
      </c>
      <c r="BC22" s="124"/>
      <c r="BD22" s="138">
        <f>IF(BD$10=0,0,ROUND(IF(BD$6&gt;$B22,0,IF(BD$7&lt;$B22,BD$10-SUM(BD$12:BD21),(DAYS360(BD$6,$B22)/30)-SUM(BD$12:BD21))),1))</f>
        <v>0</v>
      </c>
      <c r="BE22" s="124"/>
      <c r="BF22" s="138">
        <f>IF(BF$10=0,0,ROUND(IF(BF$6&gt;$B22,0,IF(BF$7&lt;$B22,BF$10-SUM(BF$12:BF21),(DAYS360(BF$6,$B22)/30)-SUM(BF$12:BF21))),1))</f>
        <v>0</v>
      </c>
      <c r="BG22" s="124"/>
      <c r="BH22" s="138">
        <f>IF(BH$10=0,0,ROUND(IF(BH$6&gt;$B22,0,IF(BH$7&lt;$B22,BH$10-SUM(BH$12:BH21),(DAYS360(BH$6,$B22)/30)-SUM(BH$12:BH21))),1))</f>
        <v>0</v>
      </c>
      <c r="BI22" s="124"/>
      <c r="BJ22" s="138">
        <f>IF(BJ$10=0,0,ROUND(IF(BJ$6&gt;$B22,0,IF(BJ$7&lt;$B22,BJ$10-SUM(BJ$12:BJ21),(DAYS360(BJ$6,$B22)/30)-SUM(BJ$12:BJ21))),1))</f>
        <v>0</v>
      </c>
      <c r="BK22" s="124"/>
      <c r="BL22" s="138">
        <f>IF(BL$10=0,0,ROUND(IF(BL$6&gt;$B22,0,IF(BL$7&lt;$B22,BL$10-SUM(BL$12:BL21),(DAYS360(BL$6,$B22)/30)-SUM(BL$12:BL21))),1))</f>
        <v>0</v>
      </c>
      <c r="BM22" s="119"/>
    </row>
    <row r="23" spans="1:66" ht="15.75" hidden="1" x14ac:dyDescent="0.25">
      <c r="A23" s="119"/>
      <c r="B23" s="120"/>
      <c r="C23" s="126"/>
      <c r="D23" s="132" t="s">
        <v>131</v>
      </c>
      <c r="E23" s="121"/>
      <c r="F23" s="153">
        <f>SUM(F12:F22)</f>
        <v>12</v>
      </c>
      <c r="G23" s="121"/>
      <c r="H23" s="138">
        <f>SUM(H12:H22)</f>
        <v>12</v>
      </c>
      <c r="I23" s="121"/>
      <c r="J23" s="138">
        <f>SUM(J12:J22)</f>
        <v>12</v>
      </c>
      <c r="K23" s="121"/>
      <c r="L23" s="138">
        <f>SUM(L12:L22)</f>
        <v>12</v>
      </c>
      <c r="M23" s="121"/>
      <c r="N23" s="138">
        <f>SUM(N12:N22)</f>
        <v>12</v>
      </c>
      <c r="O23" s="121"/>
      <c r="P23" s="138">
        <f>SUM(P12:P22)</f>
        <v>12</v>
      </c>
      <c r="Q23" s="121"/>
      <c r="R23" s="138">
        <f>SUM(R12:R22)</f>
        <v>12</v>
      </c>
      <c r="S23" s="121"/>
      <c r="T23" s="138">
        <f>SUM(T12:T22)</f>
        <v>12</v>
      </c>
      <c r="U23" s="121"/>
      <c r="V23" s="138">
        <f>SUM(V12:V22)</f>
        <v>12</v>
      </c>
      <c r="W23" s="121"/>
      <c r="X23" s="138">
        <f>SUM(X12:X22)</f>
        <v>12</v>
      </c>
      <c r="Y23" s="121"/>
      <c r="Z23" s="138">
        <f>SUM(Z12:Z22)</f>
        <v>12</v>
      </c>
      <c r="AA23" s="121"/>
      <c r="AB23" s="138">
        <f>SUM(AB12:AB22)</f>
        <v>12</v>
      </c>
      <c r="AC23" s="121"/>
      <c r="AD23" s="138">
        <f>SUM(AD12:AD22)</f>
        <v>12</v>
      </c>
      <c r="AE23" s="121"/>
      <c r="AF23" s="138">
        <f>SUM(AF12:AF22)</f>
        <v>12</v>
      </c>
      <c r="AG23" s="121"/>
      <c r="AH23" s="138">
        <f>SUM(AH12:AH22)</f>
        <v>12</v>
      </c>
      <c r="AI23" s="121"/>
      <c r="AJ23" s="138">
        <f>SUM(AJ12:AJ22)</f>
        <v>0</v>
      </c>
      <c r="AK23" s="121"/>
      <c r="AL23" s="138">
        <f>SUM(AL12:AL22)</f>
        <v>0</v>
      </c>
      <c r="AM23" s="121"/>
      <c r="AN23" s="138">
        <f>SUM(AN12:AN22)</f>
        <v>0</v>
      </c>
      <c r="AO23" s="121"/>
      <c r="AP23" s="138">
        <f>SUM(AP12:AP22)</f>
        <v>0</v>
      </c>
      <c r="AQ23" s="121"/>
      <c r="AR23" s="138">
        <f>SUM(AR12:AR22)</f>
        <v>0</v>
      </c>
      <c r="AS23" s="121"/>
      <c r="AT23" s="138">
        <f>SUM(AT12:AT22)</f>
        <v>0</v>
      </c>
      <c r="AU23" s="121"/>
      <c r="AV23" s="138">
        <f>SUM(AV12:AV22)</f>
        <v>0</v>
      </c>
      <c r="AW23" s="121"/>
      <c r="AX23" s="138">
        <f>SUM(AX12:AX22)</f>
        <v>0</v>
      </c>
      <c r="AY23" s="121"/>
      <c r="AZ23" s="138">
        <f>SUM(AZ12:AZ22)</f>
        <v>0</v>
      </c>
      <c r="BA23" s="121"/>
      <c r="BB23" s="138">
        <f>SUM(BB12:BB22)</f>
        <v>0</v>
      </c>
      <c r="BC23" s="121"/>
      <c r="BD23" s="138">
        <f>SUM(BD12:BD22)</f>
        <v>0</v>
      </c>
      <c r="BE23" s="121"/>
      <c r="BF23" s="138">
        <f>SUM(BF12:BF22)</f>
        <v>0</v>
      </c>
      <c r="BG23" s="121"/>
      <c r="BH23" s="138">
        <f>SUM(BH12:BH22)</f>
        <v>0</v>
      </c>
      <c r="BI23" s="121"/>
      <c r="BJ23" s="138">
        <f>SUM(BJ12:BJ22)</f>
        <v>0</v>
      </c>
      <c r="BK23" s="121"/>
      <c r="BL23" s="138">
        <f>SUM(BL12:BL22)</f>
        <v>0</v>
      </c>
      <c r="BM23" s="119"/>
    </row>
    <row r="24" spans="1:66" hidden="1" x14ac:dyDescent="0.25">
      <c r="A24" s="119"/>
      <c r="D24" s="132"/>
      <c r="E24" s="121"/>
      <c r="F24" s="119"/>
      <c r="G24" s="121"/>
      <c r="H24" s="119"/>
      <c r="I24" s="121"/>
      <c r="J24" s="119"/>
      <c r="K24" s="121"/>
      <c r="L24" s="119"/>
      <c r="M24" s="121"/>
      <c r="N24" s="119"/>
      <c r="O24" s="121"/>
      <c r="P24" s="119"/>
      <c r="Q24" s="121"/>
      <c r="R24" s="119"/>
      <c r="S24" s="121"/>
      <c r="T24" s="119"/>
      <c r="U24" s="121"/>
      <c r="V24" s="119"/>
      <c r="W24" s="121"/>
      <c r="X24" s="119"/>
      <c r="Y24" s="121"/>
      <c r="Z24" s="119"/>
      <c r="AA24" s="121"/>
      <c r="AB24" s="119"/>
      <c r="AC24" s="121"/>
      <c r="AD24" s="119"/>
      <c r="AE24" s="121"/>
      <c r="AF24" s="119"/>
      <c r="AG24" s="121"/>
      <c r="AH24" s="119"/>
      <c r="AI24" s="121"/>
      <c r="AJ24" s="119"/>
      <c r="AK24" s="121"/>
      <c r="AL24" s="119"/>
      <c r="AM24" s="121"/>
      <c r="AN24" s="119"/>
      <c r="AO24" s="121"/>
      <c r="AP24" s="119"/>
      <c r="AQ24" s="121"/>
      <c r="AR24" s="119"/>
      <c r="AS24" s="121"/>
      <c r="AT24" s="119"/>
      <c r="AU24" s="121"/>
      <c r="AV24" s="119"/>
      <c r="AW24" s="121"/>
      <c r="AX24" s="119"/>
      <c r="AY24" s="121"/>
      <c r="AZ24" s="119"/>
      <c r="BA24" s="121"/>
      <c r="BB24" s="119"/>
      <c r="BC24" s="121"/>
      <c r="BD24" s="119"/>
      <c r="BE24" s="121"/>
      <c r="BF24" s="119"/>
      <c r="BG24" s="121"/>
      <c r="BH24" s="119"/>
      <c r="BI24" s="121"/>
      <c r="BJ24" s="119"/>
      <c r="BK24" s="121"/>
      <c r="BL24" s="119"/>
      <c r="BM24" s="119"/>
    </row>
    <row r="25" spans="1:66" ht="15.75" x14ac:dyDescent="0.25">
      <c r="A25" s="119"/>
      <c r="D25" s="132" t="s">
        <v>134</v>
      </c>
      <c r="E25" s="121"/>
      <c r="F25" s="139">
        <f>IF(F$23=0,0,((F12*$C$12)+(F13*$C$13)+(F14*$C$14)+(F15*$C$15)+(F16*$C$16)+(F17*$C$17)+(F18*$C$18)+(F19*$C$19)+(F20*$C$20)+(F21*$C$21)+(F22*$C$22))/F$23)</f>
        <v>0</v>
      </c>
      <c r="G25" s="133"/>
      <c r="H25" s="139">
        <f>IF(H$23=0,0,((H12*$C$12)+(H13*$C$13)+(H14*$C$14)+(H15*$C$15)+(H16*$C$16)+(H17*$C$17)+(H18*$C$18)+(H19*$C$19)+(H20*$C$20)+(H21*$C$21)+(H22*$C$22))/H$23)</f>
        <v>0</v>
      </c>
      <c r="I25" s="139"/>
      <c r="J25" s="139">
        <f t="shared" ref="J25:BL25" si="4">IF(J$23=0,0,((J12*$C$12)+(J13*$C$13)+J14*$C$14+J15*$C$15+J16*$C$16+J17*$C$17+J18*$C$18+J19*$C$19+J20*$C$20+J21*$C$21+J22*$C$22)/J$23)</f>
        <v>0</v>
      </c>
      <c r="K25" s="139"/>
      <c r="L25" s="139">
        <f>IF(L$23=0,0,((L12*$C$12)+(L13*$C$13)+L14*$C$14+L15*$C$15+L16*$C$16+L17*$C$17+L18*$C$18+L19*$C$19+L20*$C$20+L21*$C$21+L22*$C$22)/L$23)</f>
        <v>0</v>
      </c>
      <c r="M25" s="139"/>
      <c r="N25" s="139">
        <f t="shared" si="4"/>
        <v>0</v>
      </c>
      <c r="O25" s="139"/>
      <c r="P25" s="139">
        <f t="shared" si="4"/>
        <v>0</v>
      </c>
      <c r="Q25" s="139"/>
      <c r="R25" s="139">
        <f t="shared" si="4"/>
        <v>0</v>
      </c>
      <c r="S25" s="139"/>
      <c r="T25" s="139">
        <f t="shared" si="4"/>
        <v>0</v>
      </c>
      <c r="U25" s="139"/>
      <c r="V25" s="139">
        <f t="shared" si="4"/>
        <v>0</v>
      </c>
      <c r="W25" s="139"/>
      <c r="X25" s="139">
        <f t="shared" si="4"/>
        <v>0</v>
      </c>
      <c r="Y25" s="139"/>
      <c r="Z25" s="139">
        <f t="shared" si="4"/>
        <v>0</v>
      </c>
      <c r="AA25" s="139"/>
      <c r="AB25" s="139">
        <f t="shared" si="4"/>
        <v>0</v>
      </c>
      <c r="AC25" s="139"/>
      <c r="AD25" s="139">
        <f t="shared" si="4"/>
        <v>0</v>
      </c>
      <c r="AE25" s="139"/>
      <c r="AF25" s="139">
        <f t="shared" si="4"/>
        <v>0</v>
      </c>
      <c r="AG25" s="139"/>
      <c r="AH25" s="139">
        <f t="shared" si="4"/>
        <v>0</v>
      </c>
      <c r="AI25" s="139"/>
      <c r="AJ25" s="139">
        <f t="shared" si="4"/>
        <v>0</v>
      </c>
      <c r="AK25" s="139"/>
      <c r="AL25" s="139">
        <f t="shared" si="4"/>
        <v>0</v>
      </c>
      <c r="AM25" s="139"/>
      <c r="AN25" s="139">
        <f t="shared" si="4"/>
        <v>0</v>
      </c>
      <c r="AO25" s="139"/>
      <c r="AP25" s="139">
        <f t="shared" si="4"/>
        <v>0</v>
      </c>
      <c r="AQ25" s="139"/>
      <c r="AR25" s="139">
        <f t="shared" si="4"/>
        <v>0</v>
      </c>
      <c r="AS25" s="139"/>
      <c r="AT25" s="139">
        <f t="shared" si="4"/>
        <v>0</v>
      </c>
      <c r="AU25" s="139"/>
      <c r="AV25" s="139">
        <f t="shared" si="4"/>
        <v>0</v>
      </c>
      <c r="AW25" s="139"/>
      <c r="AX25" s="139">
        <f t="shared" si="4"/>
        <v>0</v>
      </c>
      <c r="AY25" s="139"/>
      <c r="AZ25" s="139">
        <f t="shared" si="4"/>
        <v>0</v>
      </c>
      <c r="BA25" s="139"/>
      <c r="BB25" s="139">
        <f t="shared" si="4"/>
        <v>0</v>
      </c>
      <c r="BC25" s="139"/>
      <c r="BD25" s="139">
        <f t="shared" si="4"/>
        <v>0</v>
      </c>
      <c r="BE25" s="139"/>
      <c r="BF25" s="139">
        <f t="shared" si="4"/>
        <v>0</v>
      </c>
      <c r="BG25" s="139"/>
      <c r="BH25" s="139">
        <f t="shared" si="4"/>
        <v>0</v>
      </c>
      <c r="BI25" s="139"/>
      <c r="BJ25" s="139">
        <f t="shared" si="4"/>
        <v>0</v>
      </c>
      <c r="BK25" s="139"/>
      <c r="BL25" s="139">
        <f t="shared" si="4"/>
        <v>0</v>
      </c>
      <c r="BM25" s="119"/>
    </row>
    <row r="26" spans="1:66" x14ac:dyDescent="0.25">
      <c r="A26" s="119"/>
      <c r="D26" s="127"/>
      <c r="E26" s="121"/>
      <c r="F26" s="119"/>
      <c r="G26" s="121"/>
      <c r="H26" s="119"/>
      <c r="I26" s="121"/>
      <c r="J26" s="119"/>
      <c r="K26" s="121"/>
      <c r="L26" s="119"/>
      <c r="M26" s="121"/>
      <c r="N26" s="119"/>
      <c r="O26" s="121"/>
      <c r="P26" s="119"/>
      <c r="Q26" s="121"/>
      <c r="R26" s="119"/>
      <c r="S26" s="121"/>
      <c r="T26" s="119"/>
      <c r="U26" s="121"/>
      <c r="V26" s="119"/>
      <c r="W26" s="121"/>
      <c r="X26" s="119"/>
      <c r="Y26" s="121"/>
      <c r="Z26" s="119"/>
      <c r="AA26" s="121"/>
      <c r="AB26" s="119"/>
      <c r="AC26" s="121"/>
      <c r="AD26" s="119"/>
      <c r="AE26" s="121"/>
      <c r="AF26" s="119"/>
      <c r="AG26" s="121"/>
      <c r="AH26" s="119"/>
      <c r="AI26" s="121"/>
      <c r="AJ26" s="119"/>
      <c r="AK26" s="121"/>
      <c r="AL26" s="119"/>
      <c r="AM26" s="121"/>
      <c r="AN26" s="119"/>
      <c r="AO26" s="121"/>
      <c r="AP26" s="119"/>
      <c r="AQ26" s="121"/>
      <c r="AR26" s="119"/>
      <c r="AS26" s="121"/>
      <c r="AT26" s="119"/>
      <c r="AU26" s="121"/>
      <c r="AV26" s="119"/>
      <c r="AW26" s="121"/>
      <c r="AX26" s="119"/>
      <c r="AY26" s="121"/>
      <c r="AZ26" s="119"/>
      <c r="BA26" s="121"/>
      <c r="BB26" s="119"/>
      <c r="BC26" s="121"/>
      <c r="BD26" s="119"/>
      <c r="BE26" s="121"/>
      <c r="BF26" s="119"/>
      <c r="BG26" s="121"/>
      <c r="BH26" s="119"/>
      <c r="BI26" s="121"/>
      <c r="BJ26" s="119"/>
      <c r="BK26" s="121"/>
      <c r="BL26" s="119"/>
      <c r="BM26" s="119"/>
    </row>
    <row r="27" spans="1:66" ht="15.75" thickBot="1" x14ac:dyDescent="0.3">
      <c r="B27" s="2"/>
      <c r="C27" s="2"/>
      <c r="BM27" s="80"/>
      <c r="BN27" s="80"/>
    </row>
    <row r="28" spans="1:66" ht="15" hidden="1" customHeight="1" thickBot="1" x14ac:dyDescent="0.3">
      <c r="B28" s="2"/>
      <c r="C28" s="2"/>
      <c r="E28" s="1"/>
      <c r="F28" s="1">
        <f>E29</f>
        <v>1</v>
      </c>
      <c r="G28" s="1"/>
      <c r="H28" s="1">
        <f>G29</f>
        <v>1</v>
      </c>
      <c r="I28" s="1"/>
      <c r="J28" s="1">
        <f>I29</f>
        <v>3</v>
      </c>
      <c r="K28" s="1"/>
      <c r="L28" s="1">
        <f>K29</f>
        <v>3</v>
      </c>
      <c r="M28" s="1"/>
      <c r="N28" s="1">
        <f>M29</f>
        <v>3</v>
      </c>
      <c r="O28" s="1"/>
      <c r="P28" s="1">
        <f>O29</f>
        <v>4</v>
      </c>
      <c r="Q28" s="1"/>
      <c r="R28" s="1">
        <f>Q29</f>
        <v>4</v>
      </c>
      <c r="S28" s="1"/>
      <c r="T28" s="1">
        <f>S29</f>
        <v>4</v>
      </c>
      <c r="U28" s="1"/>
      <c r="V28" s="1">
        <f>U29</f>
        <v>4</v>
      </c>
      <c r="W28" s="1"/>
      <c r="X28" s="1">
        <f>W29</f>
        <v>4</v>
      </c>
      <c r="Y28" s="1"/>
      <c r="Z28" s="1">
        <f>Y29</f>
        <v>4</v>
      </c>
      <c r="AA28" s="1"/>
      <c r="AB28" s="1">
        <f>AA29</f>
        <v>4</v>
      </c>
      <c r="AC28" s="1"/>
      <c r="AD28" s="1">
        <f>AC29</f>
        <v>4</v>
      </c>
      <c r="AE28" s="1"/>
      <c r="AF28" s="1">
        <f>AE29</f>
        <v>5</v>
      </c>
      <c r="AG28" s="1"/>
      <c r="AH28" s="1" t="str">
        <f>AG29</f>
        <v>Enter Task # Here</v>
      </c>
      <c r="AJ28" t="str">
        <f>AI29</f>
        <v>Enter Task # Here</v>
      </c>
      <c r="AL28" t="str">
        <f>AK29</f>
        <v>Enter Task # Here</v>
      </c>
      <c r="AN28" t="str">
        <f>AM29</f>
        <v>Enter Task # Here</v>
      </c>
      <c r="AP28" t="str">
        <f>AO29</f>
        <v>Enter Task # Here</v>
      </c>
      <c r="AR28" t="str">
        <f>AQ29</f>
        <v>Enter Task # Here</v>
      </c>
      <c r="AS28" s="1"/>
      <c r="AT28" s="1" t="str">
        <f>AS29</f>
        <v>Enter Task # Here</v>
      </c>
      <c r="AV28" t="str">
        <f>AU29</f>
        <v>Enter Task # Here</v>
      </c>
      <c r="AX28" t="str">
        <f>AW29</f>
        <v>Enter Task # Here</v>
      </c>
      <c r="AZ28" t="str">
        <f>AY29</f>
        <v>Enter Task # Here</v>
      </c>
      <c r="BB28" s="31" t="str">
        <f>BA29</f>
        <v>Enter Task # Here</v>
      </c>
      <c r="BD28" t="str">
        <f>BC29</f>
        <v>Enter Task # Here</v>
      </c>
      <c r="BF28" s="31" t="str">
        <f>BE29</f>
        <v>Enter Task # Here</v>
      </c>
      <c r="BH28" t="str">
        <f>BG29</f>
        <v>Enter Task # Here</v>
      </c>
      <c r="BJ28" t="str">
        <f>BI29</f>
        <v>Enter Task # Here</v>
      </c>
      <c r="BL28" t="str">
        <f>BK29</f>
        <v>Enter Task # Here</v>
      </c>
    </row>
    <row r="29" spans="1:66" ht="15.75" thickBot="1" x14ac:dyDescent="0.3">
      <c r="B29" t="s">
        <v>0</v>
      </c>
      <c r="E29" s="177">
        <v>1</v>
      </c>
      <c r="F29" s="178"/>
      <c r="G29" s="177">
        <v>1</v>
      </c>
      <c r="H29" s="178"/>
      <c r="I29" s="177">
        <v>3</v>
      </c>
      <c r="J29" s="178"/>
      <c r="K29" s="177">
        <v>3</v>
      </c>
      <c r="L29" s="178"/>
      <c r="M29" s="177">
        <v>3</v>
      </c>
      <c r="N29" s="178"/>
      <c r="O29" s="177">
        <v>4</v>
      </c>
      <c r="P29" s="178"/>
      <c r="Q29" s="177">
        <v>4</v>
      </c>
      <c r="R29" s="178"/>
      <c r="S29" s="177">
        <v>4</v>
      </c>
      <c r="T29" s="178"/>
      <c r="U29" s="177">
        <v>4</v>
      </c>
      <c r="V29" s="178"/>
      <c r="W29" s="177">
        <v>4</v>
      </c>
      <c r="X29" s="178"/>
      <c r="Y29" s="177">
        <v>4</v>
      </c>
      <c r="Z29" s="178"/>
      <c r="AA29" s="177">
        <v>4</v>
      </c>
      <c r="AB29" s="178"/>
      <c r="AC29" s="177">
        <v>4</v>
      </c>
      <c r="AD29" s="178"/>
      <c r="AE29" s="177">
        <v>5</v>
      </c>
      <c r="AF29" s="178"/>
      <c r="AG29" s="177" t="s">
        <v>111</v>
      </c>
      <c r="AH29" s="178"/>
      <c r="AI29" s="182" t="s">
        <v>111</v>
      </c>
      <c r="AJ29" s="180"/>
      <c r="AK29" s="179" t="s">
        <v>111</v>
      </c>
      <c r="AL29" s="180"/>
      <c r="AM29" s="179" t="s">
        <v>111</v>
      </c>
      <c r="AN29" s="180"/>
      <c r="AO29" s="179" t="s">
        <v>111</v>
      </c>
      <c r="AP29" s="180"/>
      <c r="AQ29" s="179" t="s">
        <v>111</v>
      </c>
      <c r="AR29" s="180"/>
      <c r="AS29" s="179" t="s">
        <v>111</v>
      </c>
      <c r="AT29" s="180"/>
      <c r="AU29" s="179" t="s">
        <v>111</v>
      </c>
      <c r="AV29" s="180"/>
      <c r="AW29" s="179" t="s">
        <v>111</v>
      </c>
      <c r="AX29" s="180"/>
      <c r="AY29" s="179" t="s">
        <v>111</v>
      </c>
      <c r="AZ29" s="180"/>
      <c r="BA29" s="179" t="s">
        <v>111</v>
      </c>
      <c r="BB29" s="180"/>
      <c r="BC29" s="179" t="s">
        <v>111</v>
      </c>
      <c r="BD29" s="180"/>
      <c r="BE29" s="179" t="s">
        <v>111</v>
      </c>
      <c r="BF29" s="180"/>
      <c r="BG29" s="179" t="s">
        <v>111</v>
      </c>
      <c r="BH29" s="180"/>
      <c r="BI29" s="179" t="s">
        <v>111</v>
      </c>
      <c r="BJ29" s="180"/>
      <c r="BK29" s="179" t="s">
        <v>111</v>
      </c>
      <c r="BL29" s="180"/>
      <c r="BM29" s="140" t="s">
        <v>53</v>
      </c>
      <c r="BN29" s="141" t="s">
        <v>54</v>
      </c>
    </row>
    <row r="30" spans="1:66" x14ac:dyDescent="0.25">
      <c r="B30" t="s">
        <v>41</v>
      </c>
      <c r="E30" s="176">
        <v>1.3</v>
      </c>
      <c r="F30" s="172"/>
      <c r="G30" s="176">
        <v>1.5</v>
      </c>
      <c r="H30" s="172"/>
      <c r="I30" s="176">
        <v>3.3</v>
      </c>
      <c r="J30" s="172"/>
      <c r="K30" s="176" t="s">
        <v>159</v>
      </c>
      <c r="L30" s="172"/>
      <c r="M30" s="176">
        <v>3.8</v>
      </c>
      <c r="N30" s="172"/>
      <c r="O30" s="176">
        <v>4</v>
      </c>
      <c r="P30" s="172"/>
      <c r="Q30" s="176">
        <v>4.0999999999999996</v>
      </c>
      <c r="R30" s="172"/>
      <c r="S30" s="176">
        <v>4.0999999999999996</v>
      </c>
      <c r="T30" s="172"/>
      <c r="U30" s="176">
        <v>4.0999999999999996</v>
      </c>
      <c r="V30" s="172"/>
      <c r="W30" s="176">
        <v>4.2</v>
      </c>
      <c r="X30" s="172"/>
      <c r="Y30" s="176">
        <v>4.4000000000000004</v>
      </c>
      <c r="Z30" s="172"/>
      <c r="AA30" s="176">
        <v>4.5</v>
      </c>
      <c r="AB30" s="172"/>
      <c r="AC30" s="176">
        <v>4.5999999999999996</v>
      </c>
      <c r="AD30" s="172"/>
      <c r="AE30" s="176">
        <v>5</v>
      </c>
      <c r="AF30" s="172"/>
      <c r="AG30" s="176" t="s">
        <v>112</v>
      </c>
      <c r="AH30" s="172"/>
      <c r="AI30" s="171" t="s">
        <v>112</v>
      </c>
      <c r="AJ30" s="172"/>
      <c r="AK30" s="171" t="s">
        <v>112</v>
      </c>
      <c r="AL30" s="172"/>
      <c r="AM30" s="171" t="s">
        <v>112</v>
      </c>
      <c r="AN30" s="172"/>
      <c r="AO30" s="171" t="s">
        <v>112</v>
      </c>
      <c r="AP30" s="172"/>
      <c r="AQ30" s="171" t="s">
        <v>112</v>
      </c>
      <c r="AR30" s="172"/>
      <c r="AS30" s="171" t="s">
        <v>112</v>
      </c>
      <c r="AT30" s="172"/>
      <c r="AU30" s="171" t="s">
        <v>112</v>
      </c>
      <c r="AV30" s="172"/>
      <c r="AW30" s="171" t="s">
        <v>112</v>
      </c>
      <c r="AX30" s="172"/>
      <c r="AY30" s="171" t="s">
        <v>112</v>
      </c>
      <c r="AZ30" s="172"/>
      <c r="BA30" s="171" t="s">
        <v>112</v>
      </c>
      <c r="BB30" s="172"/>
      <c r="BC30" s="171" t="s">
        <v>112</v>
      </c>
      <c r="BD30" s="172"/>
      <c r="BE30" s="171" t="s">
        <v>112</v>
      </c>
      <c r="BF30" s="172"/>
      <c r="BG30" s="171" t="s">
        <v>112</v>
      </c>
      <c r="BH30" s="172"/>
      <c r="BI30" s="171" t="s">
        <v>112</v>
      </c>
      <c r="BJ30" s="172"/>
      <c r="BK30" s="171" t="s">
        <v>112</v>
      </c>
      <c r="BL30" s="172"/>
      <c r="BN30" s="31"/>
    </row>
    <row r="31" spans="1:66" x14ac:dyDescent="0.25">
      <c r="B31" t="s">
        <v>1</v>
      </c>
      <c r="E31" s="181" t="s">
        <v>157</v>
      </c>
      <c r="F31" s="174"/>
      <c r="G31" s="181" t="s">
        <v>158</v>
      </c>
      <c r="H31" s="174"/>
      <c r="I31" s="181" t="s">
        <v>162</v>
      </c>
      <c r="J31" s="174"/>
      <c r="K31" s="181" t="s">
        <v>160</v>
      </c>
      <c r="L31" s="174"/>
      <c r="M31" s="181" t="s">
        <v>161</v>
      </c>
      <c r="N31" s="174"/>
      <c r="O31" s="181" t="s">
        <v>163</v>
      </c>
      <c r="P31" s="174"/>
      <c r="Q31" s="181" t="s">
        <v>164</v>
      </c>
      <c r="R31" s="174"/>
      <c r="S31" s="181" t="s">
        <v>165</v>
      </c>
      <c r="T31" s="174"/>
      <c r="U31" s="181" t="s">
        <v>166</v>
      </c>
      <c r="V31" s="174"/>
      <c r="W31" s="181" t="s">
        <v>169</v>
      </c>
      <c r="X31" s="174"/>
      <c r="Y31" s="181" t="s">
        <v>167</v>
      </c>
      <c r="Z31" s="174"/>
      <c r="AA31" s="181" t="s">
        <v>168</v>
      </c>
      <c r="AB31" s="174"/>
      <c r="AC31" s="181" t="s">
        <v>170</v>
      </c>
      <c r="AD31" s="174"/>
      <c r="AE31" s="181" t="s">
        <v>171</v>
      </c>
      <c r="AF31" s="174"/>
      <c r="AG31" s="181" t="s">
        <v>113</v>
      </c>
      <c r="AH31" s="174"/>
      <c r="AI31" s="173" t="s">
        <v>113</v>
      </c>
      <c r="AJ31" s="174"/>
      <c r="AK31" s="173" t="s">
        <v>113</v>
      </c>
      <c r="AL31" s="174"/>
      <c r="AM31" s="173" t="s">
        <v>113</v>
      </c>
      <c r="AN31" s="174"/>
      <c r="AO31" s="173" t="s">
        <v>113</v>
      </c>
      <c r="AP31" s="174"/>
      <c r="AQ31" s="173" t="s">
        <v>113</v>
      </c>
      <c r="AR31" s="174"/>
      <c r="AS31" s="173" t="s">
        <v>113</v>
      </c>
      <c r="AT31" s="174"/>
      <c r="AU31" s="173" t="s">
        <v>113</v>
      </c>
      <c r="AV31" s="174"/>
      <c r="AW31" s="173" t="s">
        <v>113</v>
      </c>
      <c r="AX31" s="174"/>
      <c r="AY31" s="173" t="s">
        <v>113</v>
      </c>
      <c r="AZ31" s="174"/>
      <c r="BA31" s="173" t="s">
        <v>113</v>
      </c>
      <c r="BB31" s="174"/>
      <c r="BC31" s="173" t="s">
        <v>113</v>
      </c>
      <c r="BD31" s="174"/>
      <c r="BE31" s="173" t="s">
        <v>113</v>
      </c>
      <c r="BF31" s="174"/>
      <c r="BG31" s="173" t="s">
        <v>113</v>
      </c>
      <c r="BH31" s="174"/>
      <c r="BI31" s="173" t="s">
        <v>113</v>
      </c>
      <c r="BJ31" s="174"/>
      <c r="BK31" s="173" t="s">
        <v>113</v>
      </c>
      <c r="BL31" s="174"/>
      <c r="BN31" s="31"/>
    </row>
    <row r="32" spans="1:66" x14ac:dyDescent="0.25">
      <c r="B32" t="s">
        <v>63</v>
      </c>
      <c r="C32" t="s">
        <v>117</v>
      </c>
      <c r="D32" s="1" t="s">
        <v>5</v>
      </c>
      <c r="E32" s="26" t="s">
        <v>6</v>
      </c>
      <c r="F32" s="27" t="s">
        <v>7</v>
      </c>
      <c r="G32" s="26" t="s">
        <v>6</v>
      </c>
      <c r="H32" s="27" t="s">
        <v>7</v>
      </c>
      <c r="I32" s="26" t="s">
        <v>6</v>
      </c>
      <c r="J32" s="27" t="s">
        <v>7</v>
      </c>
      <c r="K32" s="26" t="s">
        <v>6</v>
      </c>
      <c r="L32" s="27" t="s">
        <v>7</v>
      </c>
      <c r="M32" s="26" t="s">
        <v>6</v>
      </c>
      <c r="N32" s="27" t="s">
        <v>7</v>
      </c>
      <c r="O32" s="26" t="s">
        <v>6</v>
      </c>
      <c r="P32" s="27" t="s">
        <v>7</v>
      </c>
      <c r="Q32" s="26" t="s">
        <v>6</v>
      </c>
      <c r="R32" s="27" t="s">
        <v>7</v>
      </c>
      <c r="S32" s="26" t="s">
        <v>6</v>
      </c>
      <c r="T32" s="27" t="s">
        <v>7</v>
      </c>
      <c r="U32" s="26" t="s">
        <v>6</v>
      </c>
      <c r="V32" s="27" t="s">
        <v>7</v>
      </c>
      <c r="W32" s="26" t="s">
        <v>6</v>
      </c>
      <c r="X32" s="27" t="s">
        <v>7</v>
      </c>
      <c r="Y32" s="26" t="s">
        <v>6</v>
      </c>
      <c r="Z32" s="27" t="s">
        <v>7</v>
      </c>
      <c r="AA32" s="26" t="s">
        <v>6</v>
      </c>
      <c r="AB32" s="27" t="s">
        <v>7</v>
      </c>
      <c r="AC32" s="26" t="s">
        <v>6</v>
      </c>
      <c r="AD32" s="27" t="s">
        <v>7</v>
      </c>
      <c r="AE32" s="26" t="s">
        <v>6</v>
      </c>
      <c r="AF32" s="27" t="s">
        <v>7</v>
      </c>
      <c r="AG32" s="26" t="s">
        <v>6</v>
      </c>
      <c r="AH32" s="27" t="s">
        <v>7</v>
      </c>
      <c r="AI32" s="23" t="s">
        <v>6</v>
      </c>
      <c r="AJ32" s="67" t="s">
        <v>7</v>
      </c>
      <c r="AK32" s="23" t="s">
        <v>6</v>
      </c>
      <c r="AL32" s="65" t="s">
        <v>7</v>
      </c>
      <c r="AM32" s="23" t="s">
        <v>6</v>
      </c>
      <c r="AN32" s="65" t="s">
        <v>7</v>
      </c>
      <c r="AO32" s="23" t="s">
        <v>6</v>
      </c>
      <c r="AP32" s="65" t="s">
        <v>7</v>
      </c>
      <c r="AQ32" s="23" t="s">
        <v>6</v>
      </c>
      <c r="AR32" s="65" t="s">
        <v>7</v>
      </c>
      <c r="AS32" s="23" t="s">
        <v>6</v>
      </c>
      <c r="AT32" s="65" t="s">
        <v>7</v>
      </c>
      <c r="AU32" s="23" t="s">
        <v>6</v>
      </c>
      <c r="AV32" s="65" t="s">
        <v>7</v>
      </c>
      <c r="AW32" s="23" t="s">
        <v>6</v>
      </c>
      <c r="AX32" s="65" t="s">
        <v>7</v>
      </c>
      <c r="AY32" s="23" t="s">
        <v>6</v>
      </c>
      <c r="AZ32" s="65" t="s">
        <v>7</v>
      </c>
      <c r="BA32" s="23" t="s">
        <v>6</v>
      </c>
      <c r="BB32" s="65" t="s">
        <v>7</v>
      </c>
      <c r="BC32" s="23" t="s">
        <v>6</v>
      </c>
      <c r="BD32" s="65" t="s">
        <v>7</v>
      </c>
      <c r="BE32" s="23" t="s">
        <v>6</v>
      </c>
      <c r="BF32" s="65" t="s">
        <v>7</v>
      </c>
      <c r="BG32" s="23" t="s">
        <v>6</v>
      </c>
      <c r="BH32" s="65" t="s">
        <v>7</v>
      </c>
      <c r="BI32" s="23" t="s">
        <v>6</v>
      </c>
      <c r="BJ32" s="65" t="s">
        <v>7</v>
      </c>
      <c r="BK32" s="23" t="s">
        <v>6</v>
      </c>
      <c r="BL32" s="65" t="s">
        <v>7</v>
      </c>
      <c r="BN32" s="81"/>
    </row>
    <row r="33" spans="2:66" x14ac:dyDescent="0.25">
      <c r="B33" s="25" t="s">
        <v>4</v>
      </c>
      <c r="C33" s="25" t="s">
        <v>172</v>
      </c>
      <c r="D33" s="61">
        <v>13</v>
      </c>
      <c r="E33" s="28">
        <v>0</v>
      </c>
      <c r="F33" s="62">
        <f>IF(ISERROR(E33*$D33), "$0", E33*$D33)</f>
        <v>0</v>
      </c>
      <c r="G33" s="28">
        <v>1</v>
      </c>
      <c r="H33" s="62">
        <f>IF(ISERROR(G33*$D33), "$0", G33*$D33)</f>
        <v>13</v>
      </c>
      <c r="I33" s="28">
        <v>1</v>
      </c>
      <c r="J33" s="62">
        <f>IF(ISERROR(I33*$D33), "$0", I33*$D33)</f>
        <v>13</v>
      </c>
      <c r="K33" s="28">
        <v>0</v>
      </c>
      <c r="L33" s="62">
        <f>IF(ISERROR(K33*$D33), "$0", K33*$D33)</f>
        <v>0</v>
      </c>
      <c r="M33" s="28">
        <v>1</v>
      </c>
      <c r="N33" s="62">
        <f>IF(ISERROR(M33*$D33), "$0", M33*$D33)</f>
        <v>13</v>
      </c>
      <c r="O33" s="28">
        <v>1</v>
      </c>
      <c r="P33" s="62">
        <f>IF(ISERROR(O33*$D33), "$0", O33*$D33)</f>
        <v>13</v>
      </c>
      <c r="Q33" s="28">
        <v>1</v>
      </c>
      <c r="R33" s="62">
        <f>IF(ISERROR(Q33*$D33), "$0", Q33*$D33)</f>
        <v>13</v>
      </c>
      <c r="S33" s="28">
        <v>1</v>
      </c>
      <c r="T33" s="62">
        <f>IF(ISERROR(S33*$D33), "$0", S33*$D33)</f>
        <v>13</v>
      </c>
      <c r="U33" s="28">
        <v>1</v>
      </c>
      <c r="V33" s="62">
        <f>IF(ISERROR(U33*$D33), "$0", U33*$D33)</f>
        <v>13</v>
      </c>
      <c r="W33" s="28">
        <v>1</v>
      </c>
      <c r="X33" s="62">
        <f>IF(ISERROR(W33*$D33), "$0", W33*$D33)</f>
        <v>13</v>
      </c>
      <c r="Y33" s="28">
        <v>1</v>
      </c>
      <c r="Z33" s="62">
        <f>IF(ISERROR(Y33*$D33), "$0", Y33*$D33)</f>
        <v>13</v>
      </c>
      <c r="AA33" s="28">
        <v>1</v>
      </c>
      <c r="AB33" s="62">
        <f>IF(ISERROR(AA33*$D33), "$0", AA33*$D33)</f>
        <v>13</v>
      </c>
      <c r="AC33" s="30">
        <v>1</v>
      </c>
      <c r="AD33" s="62">
        <f>IF(ISERROR(AC33*$D33), "$0", AC33*$D33)</f>
        <v>13</v>
      </c>
      <c r="AE33" s="30">
        <v>0</v>
      </c>
      <c r="AF33" s="62">
        <f>IF(ISERROR(AE33*$D33), "$0", AE33*$D33)</f>
        <v>0</v>
      </c>
      <c r="AG33" s="30">
        <v>0</v>
      </c>
      <c r="AH33" s="62">
        <f>IF(ISERROR(AG33*$D33), "$0", AG33*$D33)</f>
        <v>0</v>
      </c>
      <c r="AI33" s="64">
        <v>0</v>
      </c>
      <c r="AJ33" s="63">
        <f t="shared" ref="AJ33:AJ48" si="5">IF(ISERROR(AI33*$D33), "$0", AI33*$D33)</f>
        <v>0</v>
      </c>
      <c r="AK33" s="64">
        <v>0</v>
      </c>
      <c r="AL33" s="63">
        <f t="shared" ref="AL33:AL48" si="6">IF(ISERROR(AK33*$D33), "$0", AK33*$D33)</f>
        <v>0</v>
      </c>
      <c r="AM33" s="64">
        <v>0</v>
      </c>
      <c r="AN33" s="63">
        <f t="shared" ref="AN33:AN48" si="7">IF(ISERROR(AM33*$D33), "$0", AM33*$D33)</f>
        <v>0</v>
      </c>
      <c r="AO33" s="64">
        <v>0</v>
      </c>
      <c r="AP33" s="63">
        <f t="shared" ref="AP33:AP48" si="8">IF(ISERROR(AO33*$D33), "$0", AO33*$D33)</f>
        <v>0</v>
      </c>
      <c r="AQ33" s="64">
        <v>0</v>
      </c>
      <c r="AR33" s="63">
        <f t="shared" ref="AR33:AR48" si="9">IF(ISERROR(AQ33*$D33), "$0", AQ33*$D33)</f>
        <v>0</v>
      </c>
      <c r="AS33" s="64">
        <v>0</v>
      </c>
      <c r="AT33" s="63">
        <f t="shared" ref="AT33:AT48" si="10">IF(ISERROR(AS33*$D33), "$0", AS33*$D33)</f>
        <v>0</v>
      </c>
      <c r="AU33" s="64">
        <v>0</v>
      </c>
      <c r="AV33" s="63">
        <f t="shared" ref="AV33:AV48" si="11">IF(ISERROR(AU33*$D33), "$0", AU33*$D33)</f>
        <v>0</v>
      </c>
      <c r="AW33" s="64">
        <v>0</v>
      </c>
      <c r="AX33" s="63">
        <f t="shared" ref="AX33:AX48" si="12">IF(ISERROR(AW33*$D33), "$0", AW33*$D33)</f>
        <v>0</v>
      </c>
      <c r="AY33" s="64">
        <v>0</v>
      </c>
      <c r="AZ33" s="63">
        <f t="shared" ref="AZ33:AZ48" si="13">IF(ISERROR(AY33*$D33), "$0", AY33*$D33)</f>
        <v>0</v>
      </c>
      <c r="BA33" s="64">
        <v>0</v>
      </c>
      <c r="BB33" s="63">
        <f t="shared" ref="BB33:BB48" si="14">IF(ISERROR(BA33*$D33), "$0", BA33*$D33)</f>
        <v>0</v>
      </c>
      <c r="BC33" s="64">
        <v>0</v>
      </c>
      <c r="BD33" s="63">
        <f t="shared" ref="BD33:BD48" si="15">IF(ISERROR(BC33*$D33), "$0", BC33*$D33)</f>
        <v>0</v>
      </c>
      <c r="BE33" s="64">
        <v>0</v>
      </c>
      <c r="BF33" s="63">
        <f t="shared" ref="BF33:BF48" si="16">IF(ISERROR(BE33*$D33), "$0", BE33*$D33)</f>
        <v>0</v>
      </c>
      <c r="BG33" s="64">
        <v>0</v>
      </c>
      <c r="BH33" s="63">
        <f t="shared" ref="BH33:BH48" si="17">IF(ISERROR(BG33*$D33), "$0", BG33*$D33)</f>
        <v>0</v>
      </c>
      <c r="BI33" s="64">
        <v>0</v>
      </c>
      <c r="BJ33" s="63">
        <f t="shared" ref="BJ33:BJ48" si="18">IF(ISERROR(BI33*$D33), "$0", BI33*$D33)</f>
        <v>0</v>
      </c>
      <c r="BK33" s="64">
        <v>0</v>
      </c>
      <c r="BL33" s="29">
        <f t="shared" ref="BL33:BL62" si="19">IF(ISERROR(BK33*$D33), "$0", BK33*$D33)</f>
        <v>0</v>
      </c>
      <c r="BM33" s="82">
        <f>SUMIF(D$32:BO$32,"# Hours",D33:BO33)</f>
        <v>11</v>
      </c>
      <c r="BN33" s="83">
        <f>SUMIF(D$32:BO$32,"Dollar Value",D33:BO33)</f>
        <v>143</v>
      </c>
    </row>
    <row r="34" spans="2:66" x14ac:dyDescent="0.25">
      <c r="B34" s="25" t="s">
        <v>4</v>
      </c>
      <c r="C34" s="25" t="s">
        <v>173</v>
      </c>
      <c r="D34" s="61">
        <v>14</v>
      </c>
      <c r="E34" s="28">
        <v>0</v>
      </c>
      <c r="F34" s="63">
        <f t="shared" ref="F34:H47" si="20">IF(ISERROR(E34*$D34), "$0", E34*$D34)</f>
        <v>0</v>
      </c>
      <c r="G34" s="28">
        <v>1</v>
      </c>
      <c r="H34" s="63">
        <f t="shared" si="20"/>
        <v>14</v>
      </c>
      <c r="I34" s="28">
        <v>1</v>
      </c>
      <c r="J34" s="63">
        <f t="shared" ref="J34:J47" si="21">IF(ISERROR(I34*$D34), "$0", I34*$D34)</f>
        <v>14</v>
      </c>
      <c r="K34" s="28">
        <v>0</v>
      </c>
      <c r="L34" s="63">
        <f t="shared" ref="L34:L47" si="22">IF(ISERROR(K34*$D34), "$0", K34*$D34)</f>
        <v>0</v>
      </c>
      <c r="M34" s="28">
        <v>1</v>
      </c>
      <c r="N34" s="63">
        <f t="shared" ref="N34:N47" si="23">IF(ISERROR(M34*$D34), "$0", M34*$D34)</f>
        <v>14</v>
      </c>
      <c r="O34" s="28">
        <v>1</v>
      </c>
      <c r="P34" s="63">
        <f t="shared" ref="P34:P47" si="24">IF(ISERROR(O34*$D34), "$0", O34*$D34)</f>
        <v>14</v>
      </c>
      <c r="Q34" s="28">
        <v>1</v>
      </c>
      <c r="R34" s="63">
        <f t="shared" ref="R34:R47" si="25">IF(ISERROR(Q34*$D34), "$0", Q34*$D34)</f>
        <v>14</v>
      </c>
      <c r="S34" s="28">
        <v>1</v>
      </c>
      <c r="T34" s="63">
        <f t="shared" ref="T34:T47" si="26">IF(ISERROR(S34*$D34), "$0", S34*$D34)</f>
        <v>14</v>
      </c>
      <c r="U34" s="28">
        <v>1</v>
      </c>
      <c r="V34" s="63">
        <f t="shared" ref="V34:V47" si="27">IF(ISERROR(U34*$D34), "$0", U34*$D34)</f>
        <v>14</v>
      </c>
      <c r="W34" s="28">
        <v>1</v>
      </c>
      <c r="X34" s="63">
        <f t="shared" ref="X34:X47" si="28">IF(ISERROR(W34*$D34), "$0", W34*$D34)</f>
        <v>14</v>
      </c>
      <c r="Y34" s="28">
        <v>1</v>
      </c>
      <c r="Z34" s="63">
        <f t="shared" ref="Z34:Z62" si="29">IF(ISERROR(Y34*$D34), "$0", Y34*$D34)</f>
        <v>14</v>
      </c>
      <c r="AA34" s="28">
        <v>1</v>
      </c>
      <c r="AB34" s="63">
        <f t="shared" ref="AB34:AB62" si="30">IF(ISERROR(AA34*$D34), "$0", AA34*$D34)</f>
        <v>14</v>
      </c>
      <c r="AC34" s="28">
        <v>1</v>
      </c>
      <c r="AD34" s="63">
        <f t="shared" ref="AD34:AD62" si="31">IF(ISERROR(AC34*$D34), "$0", AC34*$D34)</f>
        <v>14</v>
      </c>
      <c r="AE34" s="28">
        <v>0</v>
      </c>
      <c r="AF34" s="63">
        <f t="shared" ref="AF34:AF62" si="32">IF(ISERROR(AE34*$D34), "$0", AE34*$D34)</f>
        <v>0</v>
      </c>
      <c r="AG34" s="28">
        <v>0</v>
      </c>
      <c r="AH34" s="62">
        <f t="shared" ref="AH34:AH37" si="33">IF(ISERROR(AG34*$D34), "$0", AG34*$D34)</f>
        <v>0</v>
      </c>
      <c r="AI34" s="64">
        <v>0</v>
      </c>
      <c r="AJ34" s="63">
        <f t="shared" si="5"/>
        <v>0</v>
      </c>
      <c r="AK34" s="64">
        <v>0</v>
      </c>
      <c r="AL34" s="63">
        <f t="shared" si="6"/>
        <v>0</v>
      </c>
      <c r="AM34" s="64">
        <v>0</v>
      </c>
      <c r="AN34" s="63">
        <f t="shared" si="7"/>
        <v>0</v>
      </c>
      <c r="AO34" s="64">
        <v>0</v>
      </c>
      <c r="AP34" s="63">
        <f t="shared" si="8"/>
        <v>0</v>
      </c>
      <c r="AQ34" s="64">
        <v>0</v>
      </c>
      <c r="AR34" s="63">
        <f t="shared" si="9"/>
        <v>0</v>
      </c>
      <c r="AS34" s="64">
        <v>0</v>
      </c>
      <c r="AT34" s="63">
        <f t="shared" si="10"/>
        <v>0</v>
      </c>
      <c r="AU34" s="64">
        <v>0</v>
      </c>
      <c r="AV34" s="63">
        <f t="shared" si="11"/>
        <v>0</v>
      </c>
      <c r="AW34" s="64">
        <v>0</v>
      </c>
      <c r="AX34" s="63">
        <f t="shared" si="12"/>
        <v>0</v>
      </c>
      <c r="AY34" s="64">
        <v>0</v>
      </c>
      <c r="AZ34" s="63">
        <f t="shared" si="13"/>
        <v>0</v>
      </c>
      <c r="BA34" s="64">
        <v>0</v>
      </c>
      <c r="BB34" s="63">
        <f t="shared" si="14"/>
        <v>0</v>
      </c>
      <c r="BC34" s="64">
        <v>0</v>
      </c>
      <c r="BD34" s="63">
        <f t="shared" si="15"/>
        <v>0</v>
      </c>
      <c r="BE34" s="64">
        <v>0</v>
      </c>
      <c r="BF34" s="63">
        <f t="shared" si="16"/>
        <v>0</v>
      </c>
      <c r="BG34" s="64">
        <v>0</v>
      </c>
      <c r="BH34" s="63">
        <f>IF(ISERROR(BF7*$D34), "$0", BF7*$D34)</f>
        <v>0</v>
      </c>
      <c r="BI34" s="64">
        <v>0</v>
      </c>
      <c r="BJ34" s="63">
        <f t="shared" si="18"/>
        <v>0</v>
      </c>
      <c r="BK34" s="64">
        <v>0</v>
      </c>
      <c r="BL34" s="29">
        <f t="shared" si="19"/>
        <v>0</v>
      </c>
      <c r="BM34" s="82">
        <f t="shared" ref="BM34:BM62" si="34">SUMIF(D$32:BO$32,"# Hours",D34:BO34)</f>
        <v>11</v>
      </c>
      <c r="BN34" s="83">
        <f t="shared" ref="BN34:BN62" si="35">SUMIF(D$32:BO$32,"Dollar Value",D34:BO34)</f>
        <v>154</v>
      </c>
    </row>
    <row r="35" spans="2:66" x14ac:dyDescent="0.25">
      <c r="B35" s="25" t="s">
        <v>4</v>
      </c>
      <c r="C35" s="25" t="s">
        <v>174</v>
      </c>
      <c r="D35" s="61">
        <v>15</v>
      </c>
      <c r="E35" s="28">
        <v>0</v>
      </c>
      <c r="F35" s="63">
        <f t="shared" si="20"/>
        <v>0</v>
      </c>
      <c r="G35" s="28">
        <v>1</v>
      </c>
      <c r="H35" s="63">
        <f t="shared" si="20"/>
        <v>15</v>
      </c>
      <c r="I35" s="28">
        <v>1</v>
      </c>
      <c r="J35" s="63">
        <f t="shared" si="21"/>
        <v>15</v>
      </c>
      <c r="K35" s="28">
        <v>0</v>
      </c>
      <c r="L35" s="63">
        <f t="shared" si="22"/>
        <v>0</v>
      </c>
      <c r="M35" s="28">
        <v>1</v>
      </c>
      <c r="N35" s="63">
        <f t="shared" si="23"/>
        <v>15</v>
      </c>
      <c r="O35" s="28">
        <v>1</v>
      </c>
      <c r="P35" s="63">
        <f t="shared" si="24"/>
        <v>15</v>
      </c>
      <c r="Q35" s="28">
        <v>1</v>
      </c>
      <c r="R35" s="63">
        <f t="shared" si="25"/>
        <v>15</v>
      </c>
      <c r="S35" s="28">
        <v>1</v>
      </c>
      <c r="T35" s="63">
        <f t="shared" si="26"/>
        <v>15</v>
      </c>
      <c r="U35" s="28">
        <v>1</v>
      </c>
      <c r="V35" s="63">
        <f t="shared" si="27"/>
        <v>15</v>
      </c>
      <c r="W35" s="28">
        <v>1</v>
      </c>
      <c r="X35" s="63">
        <f t="shared" si="28"/>
        <v>15</v>
      </c>
      <c r="Y35" s="28">
        <v>1</v>
      </c>
      <c r="Z35" s="63">
        <f t="shared" si="29"/>
        <v>15</v>
      </c>
      <c r="AA35" s="28">
        <v>1</v>
      </c>
      <c r="AB35" s="63">
        <f t="shared" si="30"/>
        <v>15</v>
      </c>
      <c r="AC35" s="28">
        <v>1</v>
      </c>
      <c r="AD35" s="63">
        <f t="shared" si="31"/>
        <v>15</v>
      </c>
      <c r="AE35" s="28">
        <v>0</v>
      </c>
      <c r="AF35" s="63">
        <f t="shared" si="32"/>
        <v>0</v>
      </c>
      <c r="AG35" s="28">
        <v>0</v>
      </c>
      <c r="AH35" s="62">
        <f t="shared" si="33"/>
        <v>0</v>
      </c>
      <c r="AI35" s="64">
        <v>0</v>
      </c>
      <c r="AJ35" s="63">
        <f t="shared" si="5"/>
        <v>0</v>
      </c>
      <c r="AK35" s="64">
        <v>0</v>
      </c>
      <c r="AL35" s="63">
        <f t="shared" si="6"/>
        <v>0</v>
      </c>
      <c r="AM35" s="64">
        <v>0</v>
      </c>
      <c r="AN35" s="63">
        <f t="shared" si="7"/>
        <v>0</v>
      </c>
      <c r="AO35" s="64">
        <v>0</v>
      </c>
      <c r="AP35" s="63">
        <f t="shared" si="8"/>
        <v>0</v>
      </c>
      <c r="AQ35" s="64">
        <v>0</v>
      </c>
      <c r="AR35" s="63">
        <f t="shared" si="9"/>
        <v>0</v>
      </c>
      <c r="AS35" s="64">
        <v>0</v>
      </c>
      <c r="AT35" s="63">
        <f t="shared" si="10"/>
        <v>0</v>
      </c>
      <c r="AU35" s="64">
        <v>0</v>
      </c>
      <c r="AV35" s="63">
        <f t="shared" si="11"/>
        <v>0</v>
      </c>
      <c r="AW35" s="64">
        <v>0</v>
      </c>
      <c r="AX35" s="63">
        <f t="shared" si="12"/>
        <v>0</v>
      </c>
      <c r="AY35" s="64">
        <v>0</v>
      </c>
      <c r="AZ35" s="63">
        <f t="shared" si="13"/>
        <v>0</v>
      </c>
      <c r="BA35" s="64">
        <v>0</v>
      </c>
      <c r="BB35" s="63">
        <f t="shared" si="14"/>
        <v>0</v>
      </c>
      <c r="BC35" s="64">
        <v>0</v>
      </c>
      <c r="BD35" s="63">
        <f t="shared" si="15"/>
        <v>0</v>
      </c>
      <c r="BE35" s="64">
        <v>0</v>
      </c>
      <c r="BF35" s="63">
        <f t="shared" si="16"/>
        <v>0</v>
      </c>
      <c r="BG35" s="64">
        <v>0</v>
      </c>
      <c r="BH35" s="63">
        <f t="shared" si="17"/>
        <v>0</v>
      </c>
      <c r="BI35" s="64">
        <v>0</v>
      </c>
      <c r="BJ35" s="63">
        <f t="shared" si="18"/>
        <v>0</v>
      </c>
      <c r="BK35" s="64">
        <v>0</v>
      </c>
      <c r="BL35" s="63">
        <f t="shared" si="19"/>
        <v>0</v>
      </c>
      <c r="BM35" s="82">
        <f t="shared" si="34"/>
        <v>11</v>
      </c>
      <c r="BN35" s="83">
        <f t="shared" si="35"/>
        <v>165</v>
      </c>
    </row>
    <row r="36" spans="2:66" x14ac:dyDescent="0.25">
      <c r="B36" s="25" t="s">
        <v>4</v>
      </c>
      <c r="C36" s="25" t="s">
        <v>175</v>
      </c>
      <c r="D36" s="61">
        <v>16</v>
      </c>
      <c r="E36" s="28">
        <v>1</v>
      </c>
      <c r="F36" s="63">
        <f t="shared" si="20"/>
        <v>16</v>
      </c>
      <c r="G36" s="28">
        <v>1</v>
      </c>
      <c r="H36" s="63">
        <f t="shared" si="20"/>
        <v>16</v>
      </c>
      <c r="I36" s="28">
        <v>1</v>
      </c>
      <c r="J36" s="63">
        <f t="shared" si="21"/>
        <v>16</v>
      </c>
      <c r="K36" s="28">
        <v>1</v>
      </c>
      <c r="L36" s="63">
        <f t="shared" si="22"/>
        <v>16</v>
      </c>
      <c r="M36" s="28">
        <v>1</v>
      </c>
      <c r="N36" s="63">
        <f t="shared" si="23"/>
        <v>16</v>
      </c>
      <c r="O36" s="28">
        <v>1</v>
      </c>
      <c r="P36" s="63">
        <f t="shared" si="24"/>
        <v>16</v>
      </c>
      <c r="Q36" s="28">
        <v>1</v>
      </c>
      <c r="R36" s="63">
        <f t="shared" si="25"/>
        <v>16</v>
      </c>
      <c r="S36" s="28">
        <v>1</v>
      </c>
      <c r="T36" s="63">
        <f t="shared" si="26"/>
        <v>16</v>
      </c>
      <c r="U36" s="28">
        <v>1</v>
      </c>
      <c r="V36" s="63">
        <f t="shared" si="27"/>
        <v>16</v>
      </c>
      <c r="W36" s="28">
        <v>1</v>
      </c>
      <c r="X36" s="63">
        <f t="shared" si="28"/>
        <v>16</v>
      </c>
      <c r="Y36" s="28">
        <v>1</v>
      </c>
      <c r="Z36" s="63">
        <f t="shared" si="29"/>
        <v>16</v>
      </c>
      <c r="AA36" s="28">
        <v>1</v>
      </c>
      <c r="AB36" s="63">
        <f t="shared" si="30"/>
        <v>16</v>
      </c>
      <c r="AC36" s="28">
        <v>1</v>
      </c>
      <c r="AD36" s="63">
        <f t="shared" si="31"/>
        <v>16</v>
      </c>
      <c r="AE36" s="28">
        <v>0</v>
      </c>
      <c r="AF36" s="63">
        <f t="shared" si="32"/>
        <v>0</v>
      </c>
      <c r="AG36" s="28">
        <v>0</v>
      </c>
      <c r="AH36" s="62">
        <f t="shared" si="33"/>
        <v>0</v>
      </c>
      <c r="AI36" s="64">
        <v>0</v>
      </c>
      <c r="AJ36" s="63">
        <f t="shared" si="5"/>
        <v>0</v>
      </c>
      <c r="AK36" s="64">
        <v>0</v>
      </c>
      <c r="AL36" s="63">
        <f t="shared" si="6"/>
        <v>0</v>
      </c>
      <c r="AM36" s="64">
        <v>0</v>
      </c>
      <c r="AN36" s="63">
        <f t="shared" si="7"/>
        <v>0</v>
      </c>
      <c r="AO36" s="64">
        <v>0</v>
      </c>
      <c r="AP36" s="63">
        <f t="shared" si="8"/>
        <v>0</v>
      </c>
      <c r="AQ36" s="64">
        <v>0</v>
      </c>
      <c r="AR36" s="63">
        <f t="shared" si="9"/>
        <v>0</v>
      </c>
      <c r="AS36" s="64">
        <v>0</v>
      </c>
      <c r="AT36" s="63">
        <f t="shared" si="10"/>
        <v>0</v>
      </c>
      <c r="AU36" s="64">
        <v>0</v>
      </c>
      <c r="AV36" s="63">
        <f t="shared" si="11"/>
        <v>0</v>
      </c>
      <c r="AW36" s="64">
        <v>0</v>
      </c>
      <c r="AX36" s="63">
        <f t="shared" si="12"/>
        <v>0</v>
      </c>
      <c r="AY36" s="64">
        <v>0</v>
      </c>
      <c r="AZ36" s="63">
        <f t="shared" si="13"/>
        <v>0</v>
      </c>
      <c r="BA36" s="64">
        <v>0</v>
      </c>
      <c r="BB36" s="63">
        <f t="shared" si="14"/>
        <v>0</v>
      </c>
      <c r="BC36" s="64">
        <v>0</v>
      </c>
      <c r="BD36" s="63">
        <f t="shared" si="15"/>
        <v>0</v>
      </c>
      <c r="BE36" s="64">
        <v>0</v>
      </c>
      <c r="BF36" s="63">
        <f t="shared" si="16"/>
        <v>0</v>
      </c>
      <c r="BG36" s="64">
        <v>0</v>
      </c>
      <c r="BH36" s="63">
        <f t="shared" si="17"/>
        <v>0</v>
      </c>
      <c r="BI36" s="64">
        <v>0</v>
      </c>
      <c r="BJ36" s="63">
        <f t="shared" si="18"/>
        <v>0</v>
      </c>
      <c r="BK36" s="64">
        <v>0</v>
      </c>
      <c r="BL36" s="63">
        <f t="shared" si="19"/>
        <v>0</v>
      </c>
      <c r="BM36" s="82">
        <f t="shared" si="34"/>
        <v>13</v>
      </c>
      <c r="BN36" s="83">
        <f t="shared" si="35"/>
        <v>208</v>
      </c>
    </row>
    <row r="37" spans="2:66" x14ac:dyDescent="0.25">
      <c r="B37" s="25" t="s">
        <v>4</v>
      </c>
      <c r="C37" s="25" t="s">
        <v>176</v>
      </c>
      <c r="D37" s="61">
        <v>17</v>
      </c>
      <c r="E37" s="28">
        <v>0</v>
      </c>
      <c r="F37" s="63">
        <f t="shared" si="20"/>
        <v>0</v>
      </c>
      <c r="G37" s="28">
        <v>1</v>
      </c>
      <c r="H37" s="63">
        <f t="shared" si="20"/>
        <v>17</v>
      </c>
      <c r="I37" s="28">
        <v>1</v>
      </c>
      <c r="J37" s="63">
        <f t="shared" si="21"/>
        <v>17</v>
      </c>
      <c r="K37" s="28">
        <v>0</v>
      </c>
      <c r="L37" s="63">
        <f t="shared" si="22"/>
        <v>0</v>
      </c>
      <c r="M37" s="28">
        <v>1</v>
      </c>
      <c r="N37" s="63">
        <f t="shared" si="23"/>
        <v>17</v>
      </c>
      <c r="O37" s="28">
        <v>1</v>
      </c>
      <c r="P37" s="63">
        <f t="shared" si="24"/>
        <v>17</v>
      </c>
      <c r="Q37" s="28">
        <v>1</v>
      </c>
      <c r="R37" s="63">
        <f t="shared" si="25"/>
        <v>17</v>
      </c>
      <c r="S37" s="28">
        <v>1</v>
      </c>
      <c r="T37" s="63">
        <f t="shared" si="26"/>
        <v>17</v>
      </c>
      <c r="U37" s="28">
        <v>1</v>
      </c>
      <c r="V37" s="63">
        <f t="shared" si="27"/>
        <v>17</v>
      </c>
      <c r="W37" s="28">
        <v>1</v>
      </c>
      <c r="X37" s="63">
        <f t="shared" si="28"/>
        <v>17</v>
      </c>
      <c r="Y37" s="28">
        <v>1</v>
      </c>
      <c r="Z37" s="63">
        <f t="shared" si="29"/>
        <v>17</v>
      </c>
      <c r="AA37" s="28">
        <v>1</v>
      </c>
      <c r="AB37" s="63">
        <f t="shared" si="30"/>
        <v>17</v>
      </c>
      <c r="AC37" s="28">
        <v>1</v>
      </c>
      <c r="AD37" s="63">
        <f t="shared" si="31"/>
        <v>17</v>
      </c>
      <c r="AE37" s="28">
        <v>0</v>
      </c>
      <c r="AF37" s="63">
        <f t="shared" si="32"/>
        <v>0</v>
      </c>
      <c r="AG37" s="28">
        <v>0</v>
      </c>
      <c r="AH37" s="62">
        <f t="shared" si="33"/>
        <v>0</v>
      </c>
      <c r="AI37" s="64">
        <v>0</v>
      </c>
      <c r="AJ37" s="63">
        <f t="shared" si="5"/>
        <v>0</v>
      </c>
      <c r="AK37" s="64">
        <v>0</v>
      </c>
      <c r="AL37" s="63">
        <f t="shared" si="6"/>
        <v>0</v>
      </c>
      <c r="AM37" s="64">
        <v>0</v>
      </c>
      <c r="AN37" s="63">
        <f t="shared" si="7"/>
        <v>0</v>
      </c>
      <c r="AO37" s="64">
        <v>0</v>
      </c>
      <c r="AP37" s="63">
        <f t="shared" si="8"/>
        <v>0</v>
      </c>
      <c r="AQ37" s="64">
        <v>0</v>
      </c>
      <c r="AR37" s="63">
        <f t="shared" si="9"/>
        <v>0</v>
      </c>
      <c r="AS37" s="64">
        <v>0</v>
      </c>
      <c r="AT37" s="63">
        <f t="shared" si="10"/>
        <v>0</v>
      </c>
      <c r="AU37" s="64">
        <v>0</v>
      </c>
      <c r="AV37" s="63">
        <f t="shared" si="11"/>
        <v>0</v>
      </c>
      <c r="AW37" s="64">
        <v>0</v>
      </c>
      <c r="AX37" s="63">
        <f t="shared" si="12"/>
        <v>0</v>
      </c>
      <c r="AY37" s="64">
        <v>0</v>
      </c>
      <c r="AZ37" s="63">
        <f t="shared" si="13"/>
        <v>0</v>
      </c>
      <c r="BA37" s="64">
        <v>0</v>
      </c>
      <c r="BB37" s="63">
        <f t="shared" si="14"/>
        <v>0</v>
      </c>
      <c r="BC37" s="64">
        <v>0</v>
      </c>
      <c r="BD37" s="63">
        <f t="shared" si="15"/>
        <v>0</v>
      </c>
      <c r="BE37" s="64">
        <v>0</v>
      </c>
      <c r="BF37" s="63">
        <f t="shared" si="16"/>
        <v>0</v>
      </c>
      <c r="BG37" s="64">
        <v>0</v>
      </c>
      <c r="BH37" s="63">
        <f t="shared" si="17"/>
        <v>0</v>
      </c>
      <c r="BI37" s="64">
        <v>0</v>
      </c>
      <c r="BJ37" s="63">
        <f t="shared" si="18"/>
        <v>0</v>
      </c>
      <c r="BK37" s="64">
        <v>0</v>
      </c>
      <c r="BL37" s="63">
        <f t="shared" si="19"/>
        <v>0</v>
      </c>
      <c r="BM37" s="82">
        <f t="shared" si="34"/>
        <v>11</v>
      </c>
      <c r="BN37" s="83">
        <f t="shared" si="35"/>
        <v>187</v>
      </c>
    </row>
    <row r="38" spans="2:66" x14ac:dyDescent="0.25">
      <c r="B38" s="25" t="s">
        <v>4</v>
      </c>
      <c r="C38" s="25" t="s">
        <v>173</v>
      </c>
      <c r="D38" s="61">
        <v>20</v>
      </c>
      <c r="E38" s="28">
        <v>0</v>
      </c>
      <c r="F38" s="63">
        <f t="shared" si="20"/>
        <v>0</v>
      </c>
      <c r="G38" s="28">
        <v>0</v>
      </c>
      <c r="H38" s="63">
        <f t="shared" si="20"/>
        <v>0</v>
      </c>
      <c r="I38" s="28">
        <v>0</v>
      </c>
      <c r="J38" s="63">
        <f t="shared" si="21"/>
        <v>0</v>
      </c>
      <c r="K38" s="28">
        <v>0</v>
      </c>
      <c r="L38" s="63">
        <f t="shared" si="22"/>
        <v>0</v>
      </c>
      <c r="M38" s="28">
        <v>0</v>
      </c>
      <c r="N38" s="63">
        <f t="shared" si="23"/>
        <v>0</v>
      </c>
      <c r="O38" s="28">
        <v>0</v>
      </c>
      <c r="P38" s="63">
        <f t="shared" si="24"/>
        <v>0</v>
      </c>
      <c r="Q38" s="28">
        <v>0</v>
      </c>
      <c r="R38" s="63">
        <f t="shared" si="25"/>
        <v>0</v>
      </c>
      <c r="S38" s="28">
        <v>0</v>
      </c>
      <c r="T38" s="63">
        <f t="shared" si="26"/>
        <v>0</v>
      </c>
      <c r="U38" s="28">
        <v>0</v>
      </c>
      <c r="V38" s="63">
        <f t="shared" si="27"/>
        <v>0</v>
      </c>
      <c r="W38" s="28">
        <v>0</v>
      </c>
      <c r="X38" s="63">
        <f t="shared" si="28"/>
        <v>0</v>
      </c>
      <c r="Y38" s="28">
        <v>0</v>
      </c>
      <c r="Z38" s="63">
        <f t="shared" si="29"/>
        <v>0</v>
      </c>
      <c r="AA38" s="28">
        <v>0</v>
      </c>
      <c r="AB38" s="63">
        <f t="shared" si="30"/>
        <v>0</v>
      </c>
      <c r="AC38" s="28">
        <v>0</v>
      </c>
      <c r="AD38" s="63">
        <f t="shared" si="31"/>
        <v>0</v>
      </c>
      <c r="AE38" s="28">
        <v>0</v>
      </c>
      <c r="AF38" s="63">
        <f t="shared" si="32"/>
        <v>0</v>
      </c>
      <c r="AG38" s="28">
        <v>0</v>
      </c>
      <c r="AH38" s="63">
        <f t="shared" ref="AH38:AH62" si="36">IF(ISERROR(AG38*$D38), "$0", AG38*$D38)</f>
        <v>0</v>
      </c>
      <c r="AI38" s="64">
        <v>0</v>
      </c>
      <c r="AJ38" s="63">
        <f t="shared" si="5"/>
        <v>0</v>
      </c>
      <c r="AK38" s="64">
        <v>0</v>
      </c>
      <c r="AL38" s="63">
        <f t="shared" si="6"/>
        <v>0</v>
      </c>
      <c r="AM38" s="64">
        <v>0</v>
      </c>
      <c r="AN38" s="63">
        <f t="shared" si="7"/>
        <v>0</v>
      </c>
      <c r="AO38" s="64">
        <v>0</v>
      </c>
      <c r="AP38" s="63">
        <f t="shared" si="8"/>
        <v>0</v>
      </c>
      <c r="AQ38" s="64">
        <v>0</v>
      </c>
      <c r="AR38" s="63">
        <f t="shared" si="9"/>
        <v>0</v>
      </c>
      <c r="AS38" s="64">
        <v>0</v>
      </c>
      <c r="AT38" s="63">
        <f t="shared" si="10"/>
        <v>0</v>
      </c>
      <c r="AU38" s="64">
        <v>0</v>
      </c>
      <c r="AV38" s="63">
        <f t="shared" si="11"/>
        <v>0</v>
      </c>
      <c r="AW38" s="64">
        <v>0</v>
      </c>
      <c r="AX38" s="63">
        <f t="shared" si="12"/>
        <v>0</v>
      </c>
      <c r="AY38" s="64">
        <v>0</v>
      </c>
      <c r="AZ38" s="63">
        <f t="shared" si="13"/>
        <v>0</v>
      </c>
      <c r="BA38" s="64">
        <v>0</v>
      </c>
      <c r="BB38" s="63">
        <f t="shared" si="14"/>
        <v>0</v>
      </c>
      <c r="BC38" s="64">
        <v>0</v>
      </c>
      <c r="BD38" s="63">
        <f t="shared" si="15"/>
        <v>0</v>
      </c>
      <c r="BE38" s="64">
        <v>0</v>
      </c>
      <c r="BF38" s="63">
        <f t="shared" si="16"/>
        <v>0</v>
      </c>
      <c r="BG38" s="64">
        <v>0</v>
      </c>
      <c r="BH38" s="63">
        <f t="shared" si="17"/>
        <v>0</v>
      </c>
      <c r="BI38" s="64">
        <v>0</v>
      </c>
      <c r="BJ38" s="63">
        <f t="shared" si="18"/>
        <v>0</v>
      </c>
      <c r="BK38" s="64">
        <v>0</v>
      </c>
      <c r="BL38" s="63">
        <f t="shared" si="19"/>
        <v>0</v>
      </c>
      <c r="BM38" s="82">
        <f t="shared" si="34"/>
        <v>0</v>
      </c>
      <c r="BN38" s="83">
        <f t="shared" si="35"/>
        <v>0</v>
      </c>
    </row>
    <row r="39" spans="2:66" hidden="1" x14ac:dyDescent="0.25">
      <c r="B39" s="25" t="s">
        <v>4</v>
      </c>
      <c r="C39" s="25" t="s">
        <v>118</v>
      </c>
      <c r="D39" s="61">
        <v>0</v>
      </c>
      <c r="E39" s="28">
        <v>0</v>
      </c>
      <c r="F39" s="63">
        <f t="shared" si="20"/>
        <v>0</v>
      </c>
      <c r="G39" s="28">
        <v>0</v>
      </c>
      <c r="H39" s="63">
        <f t="shared" si="20"/>
        <v>0</v>
      </c>
      <c r="I39" s="28">
        <v>0</v>
      </c>
      <c r="J39" s="63">
        <f t="shared" si="21"/>
        <v>0</v>
      </c>
      <c r="K39" s="28">
        <v>0</v>
      </c>
      <c r="L39" s="63">
        <f t="shared" si="22"/>
        <v>0</v>
      </c>
      <c r="M39" s="28">
        <v>0</v>
      </c>
      <c r="N39" s="63">
        <f t="shared" si="23"/>
        <v>0</v>
      </c>
      <c r="O39" s="28">
        <v>0</v>
      </c>
      <c r="P39" s="63">
        <f t="shared" si="24"/>
        <v>0</v>
      </c>
      <c r="Q39" s="28">
        <v>0</v>
      </c>
      <c r="R39" s="63">
        <f t="shared" si="25"/>
        <v>0</v>
      </c>
      <c r="S39" s="28">
        <v>0</v>
      </c>
      <c r="T39" s="63">
        <f t="shared" si="26"/>
        <v>0</v>
      </c>
      <c r="U39" s="28">
        <v>0</v>
      </c>
      <c r="V39" s="63">
        <f t="shared" si="27"/>
        <v>0</v>
      </c>
      <c r="W39" s="28">
        <v>0</v>
      </c>
      <c r="X39" s="63">
        <f t="shared" si="28"/>
        <v>0</v>
      </c>
      <c r="Y39" s="28">
        <v>0</v>
      </c>
      <c r="Z39" s="63">
        <f t="shared" si="29"/>
        <v>0</v>
      </c>
      <c r="AA39" s="28">
        <v>0</v>
      </c>
      <c r="AB39" s="63">
        <f t="shared" si="30"/>
        <v>0</v>
      </c>
      <c r="AC39" s="28">
        <v>0</v>
      </c>
      <c r="AD39" s="63">
        <f t="shared" si="31"/>
        <v>0</v>
      </c>
      <c r="AE39" s="28">
        <v>0</v>
      </c>
      <c r="AF39" s="63">
        <f t="shared" si="32"/>
        <v>0</v>
      </c>
      <c r="AG39" s="28">
        <v>0</v>
      </c>
      <c r="AH39" s="63">
        <f t="shared" si="36"/>
        <v>0</v>
      </c>
      <c r="AI39" s="64">
        <v>0</v>
      </c>
      <c r="AJ39" s="63">
        <f t="shared" si="5"/>
        <v>0</v>
      </c>
      <c r="AK39" s="64">
        <v>0</v>
      </c>
      <c r="AL39" s="63">
        <f t="shared" si="6"/>
        <v>0</v>
      </c>
      <c r="AM39" s="64">
        <v>0</v>
      </c>
      <c r="AN39" s="63">
        <f t="shared" si="7"/>
        <v>0</v>
      </c>
      <c r="AO39" s="64">
        <v>0</v>
      </c>
      <c r="AP39" s="63">
        <f t="shared" si="8"/>
        <v>0</v>
      </c>
      <c r="AQ39" s="64">
        <v>0</v>
      </c>
      <c r="AR39" s="63">
        <f t="shared" si="9"/>
        <v>0</v>
      </c>
      <c r="AS39" s="64">
        <v>0</v>
      </c>
      <c r="AT39" s="63">
        <f t="shared" si="10"/>
        <v>0</v>
      </c>
      <c r="AU39" s="64">
        <v>0</v>
      </c>
      <c r="AV39" s="63">
        <f t="shared" si="11"/>
        <v>0</v>
      </c>
      <c r="AW39" s="64">
        <v>0</v>
      </c>
      <c r="AX39" s="63">
        <f t="shared" si="12"/>
        <v>0</v>
      </c>
      <c r="AY39" s="64">
        <v>0</v>
      </c>
      <c r="AZ39" s="63">
        <f t="shared" si="13"/>
        <v>0</v>
      </c>
      <c r="BA39" s="64">
        <v>0</v>
      </c>
      <c r="BB39" s="63">
        <f t="shared" si="14"/>
        <v>0</v>
      </c>
      <c r="BC39" s="64">
        <v>0</v>
      </c>
      <c r="BD39" s="63">
        <f t="shared" si="15"/>
        <v>0</v>
      </c>
      <c r="BE39" s="64">
        <v>0</v>
      </c>
      <c r="BF39" s="63">
        <f t="shared" si="16"/>
        <v>0</v>
      </c>
      <c r="BG39" s="64">
        <v>0</v>
      </c>
      <c r="BH39" s="63">
        <f t="shared" si="17"/>
        <v>0</v>
      </c>
      <c r="BI39" s="64">
        <v>0</v>
      </c>
      <c r="BJ39" s="63">
        <f t="shared" si="18"/>
        <v>0</v>
      </c>
      <c r="BK39" s="64">
        <v>0</v>
      </c>
      <c r="BL39" s="63">
        <f t="shared" si="19"/>
        <v>0</v>
      </c>
      <c r="BM39" s="82">
        <f t="shared" si="34"/>
        <v>0</v>
      </c>
      <c r="BN39" s="83">
        <f t="shared" si="35"/>
        <v>0</v>
      </c>
    </row>
    <row r="40" spans="2:66" hidden="1" x14ac:dyDescent="0.25">
      <c r="B40" s="25" t="s">
        <v>4</v>
      </c>
      <c r="C40" s="25" t="s">
        <v>118</v>
      </c>
      <c r="D40" s="61">
        <v>0</v>
      </c>
      <c r="E40" s="28">
        <v>0</v>
      </c>
      <c r="F40" s="63">
        <f t="shared" si="20"/>
        <v>0</v>
      </c>
      <c r="G40" s="28">
        <v>0</v>
      </c>
      <c r="H40" s="63">
        <f t="shared" si="20"/>
        <v>0</v>
      </c>
      <c r="I40" s="28">
        <v>0</v>
      </c>
      <c r="J40" s="63">
        <f t="shared" si="21"/>
        <v>0</v>
      </c>
      <c r="K40" s="28">
        <v>0</v>
      </c>
      <c r="L40" s="63">
        <f t="shared" si="22"/>
        <v>0</v>
      </c>
      <c r="M40" s="28">
        <v>0</v>
      </c>
      <c r="N40" s="63">
        <f t="shared" si="23"/>
        <v>0</v>
      </c>
      <c r="O40" s="28">
        <v>0</v>
      </c>
      <c r="P40" s="63">
        <f t="shared" si="24"/>
        <v>0</v>
      </c>
      <c r="Q40" s="28">
        <v>0</v>
      </c>
      <c r="R40" s="63">
        <f t="shared" si="25"/>
        <v>0</v>
      </c>
      <c r="S40" s="28">
        <v>0</v>
      </c>
      <c r="T40" s="63">
        <f t="shared" si="26"/>
        <v>0</v>
      </c>
      <c r="U40" s="28">
        <v>0</v>
      </c>
      <c r="V40" s="63">
        <f t="shared" si="27"/>
        <v>0</v>
      </c>
      <c r="W40" s="28">
        <v>0</v>
      </c>
      <c r="X40" s="63">
        <f t="shared" si="28"/>
        <v>0</v>
      </c>
      <c r="Y40" s="28">
        <v>0</v>
      </c>
      <c r="Z40" s="63">
        <f t="shared" si="29"/>
        <v>0</v>
      </c>
      <c r="AA40" s="28">
        <v>0</v>
      </c>
      <c r="AB40" s="63">
        <f t="shared" si="30"/>
        <v>0</v>
      </c>
      <c r="AC40" s="28">
        <v>0</v>
      </c>
      <c r="AD40" s="63">
        <f t="shared" si="31"/>
        <v>0</v>
      </c>
      <c r="AE40" s="28">
        <v>0</v>
      </c>
      <c r="AF40" s="63">
        <f t="shared" si="32"/>
        <v>0</v>
      </c>
      <c r="AG40" s="28">
        <v>0</v>
      </c>
      <c r="AH40" s="63">
        <f t="shared" si="36"/>
        <v>0</v>
      </c>
      <c r="AI40" s="64">
        <v>0</v>
      </c>
      <c r="AJ40" s="63">
        <f t="shared" si="5"/>
        <v>0</v>
      </c>
      <c r="AK40" s="64">
        <v>0</v>
      </c>
      <c r="AL40" s="63">
        <f t="shared" si="6"/>
        <v>0</v>
      </c>
      <c r="AM40" s="64">
        <v>0</v>
      </c>
      <c r="AN40" s="63">
        <f t="shared" si="7"/>
        <v>0</v>
      </c>
      <c r="AO40" s="64">
        <v>0</v>
      </c>
      <c r="AP40" s="63">
        <f t="shared" si="8"/>
        <v>0</v>
      </c>
      <c r="AQ40" s="64">
        <v>0</v>
      </c>
      <c r="AR40" s="63">
        <f t="shared" si="9"/>
        <v>0</v>
      </c>
      <c r="AS40" s="64">
        <v>0</v>
      </c>
      <c r="AT40" s="63">
        <f t="shared" si="10"/>
        <v>0</v>
      </c>
      <c r="AU40" s="64">
        <v>0</v>
      </c>
      <c r="AV40" s="63">
        <f t="shared" si="11"/>
        <v>0</v>
      </c>
      <c r="AW40" s="64">
        <v>0</v>
      </c>
      <c r="AX40" s="63">
        <f t="shared" si="12"/>
        <v>0</v>
      </c>
      <c r="AY40" s="64">
        <v>0</v>
      </c>
      <c r="AZ40" s="63">
        <f t="shared" si="13"/>
        <v>0</v>
      </c>
      <c r="BA40" s="64">
        <v>0</v>
      </c>
      <c r="BB40" s="63">
        <f t="shared" si="14"/>
        <v>0</v>
      </c>
      <c r="BC40" s="64">
        <v>0</v>
      </c>
      <c r="BD40" s="63">
        <f t="shared" si="15"/>
        <v>0</v>
      </c>
      <c r="BE40" s="64">
        <v>0</v>
      </c>
      <c r="BF40" s="63">
        <f t="shared" si="16"/>
        <v>0</v>
      </c>
      <c r="BG40" s="64">
        <v>0</v>
      </c>
      <c r="BH40" s="63">
        <f t="shared" si="17"/>
        <v>0</v>
      </c>
      <c r="BI40" s="64">
        <v>0</v>
      </c>
      <c r="BJ40" s="63">
        <f t="shared" si="18"/>
        <v>0</v>
      </c>
      <c r="BK40" s="64">
        <v>0</v>
      </c>
      <c r="BL40" s="63">
        <f t="shared" si="19"/>
        <v>0</v>
      </c>
      <c r="BM40" s="82">
        <f t="shared" si="34"/>
        <v>0</v>
      </c>
      <c r="BN40" s="83">
        <f t="shared" si="35"/>
        <v>0</v>
      </c>
    </row>
    <row r="41" spans="2:66" hidden="1" x14ac:dyDescent="0.25">
      <c r="B41" s="25" t="s">
        <v>4</v>
      </c>
      <c r="C41" s="25" t="s">
        <v>118</v>
      </c>
      <c r="D41" s="61">
        <v>0</v>
      </c>
      <c r="E41" s="28">
        <v>0</v>
      </c>
      <c r="F41" s="63">
        <f t="shared" si="20"/>
        <v>0</v>
      </c>
      <c r="G41" s="28">
        <v>0</v>
      </c>
      <c r="H41" s="63">
        <f t="shared" si="20"/>
        <v>0</v>
      </c>
      <c r="I41" s="28">
        <v>0</v>
      </c>
      <c r="J41" s="63">
        <f t="shared" si="21"/>
        <v>0</v>
      </c>
      <c r="K41" s="28">
        <v>0</v>
      </c>
      <c r="L41" s="63">
        <f t="shared" si="22"/>
        <v>0</v>
      </c>
      <c r="M41" s="28">
        <v>0</v>
      </c>
      <c r="N41" s="63">
        <f t="shared" si="23"/>
        <v>0</v>
      </c>
      <c r="O41" s="28">
        <v>0</v>
      </c>
      <c r="P41" s="63">
        <f t="shared" si="24"/>
        <v>0</v>
      </c>
      <c r="Q41" s="28">
        <v>0</v>
      </c>
      <c r="R41" s="63">
        <f t="shared" si="25"/>
        <v>0</v>
      </c>
      <c r="S41" s="28">
        <v>0</v>
      </c>
      <c r="T41" s="63">
        <f t="shared" si="26"/>
        <v>0</v>
      </c>
      <c r="U41" s="28">
        <v>0</v>
      </c>
      <c r="V41" s="63">
        <f t="shared" si="27"/>
        <v>0</v>
      </c>
      <c r="W41" s="28">
        <v>0</v>
      </c>
      <c r="X41" s="63">
        <f t="shared" si="28"/>
        <v>0</v>
      </c>
      <c r="Y41" s="28">
        <v>0</v>
      </c>
      <c r="Z41" s="63">
        <f t="shared" si="29"/>
        <v>0</v>
      </c>
      <c r="AA41" s="28">
        <v>0</v>
      </c>
      <c r="AB41" s="63">
        <f t="shared" si="30"/>
        <v>0</v>
      </c>
      <c r="AC41" s="28">
        <v>0</v>
      </c>
      <c r="AD41" s="63">
        <f t="shared" si="31"/>
        <v>0</v>
      </c>
      <c r="AE41" s="28">
        <v>0</v>
      </c>
      <c r="AF41" s="63">
        <f t="shared" si="32"/>
        <v>0</v>
      </c>
      <c r="AG41" s="28">
        <v>0</v>
      </c>
      <c r="AH41" s="63">
        <f t="shared" si="36"/>
        <v>0</v>
      </c>
      <c r="AI41" s="64">
        <v>0</v>
      </c>
      <c r="AJ41" s="63">
        <f t="shared" si="5"/>
        <v>0</v>
      </c>
      <c r="AK41" s="64">
        <v>0</v>
      </c>
      <c r="AL41" s="63">
        <f t="shared" si="6"/>
        <v>0</v>
      </c>
      <c r="AM41" s="64">
        <v>0</v>
      </c>
      <c r="AN41" s="63">
        <f t="shared" si="7"/>
        <v>0</v>
      </c>
      <c r="AO41" s="64">
        <v>0</v>
      </c>
      <c r="AP41" s="63">
        <f t="shared" si="8"/>
        <v>0</v>
      </c>
      <c r="AQ41" s="64">
        <v>0</v>
      </c>
      <c r="AR41" s="63">
        <f t="shared" si="9"/>
        <v>0</v>
      </c>
      <c r="AS41" s="64">
        <v>0</v>
      </c>
      <c r="AT41" s="63">
        <f t="shared" si="10"/>
        <v>0</v>
      </c>
      <c r="AU41" s="64">
        <v>0</v>
      </c>
      <c r="AV41" s="63">
        <f t="shared" si="11"/>
        <v>0</v>
      </c>
      <c r="AW41" s="64">
        <v>0</v>
      </c>
      <c r="AX41" s="63">
        <f t="shared" si="12"/>
        <v>0</v>
      </c>
      <c r="AY41" s="64">
        <v>0</v>
      </c>
      <c r="AZ41" s="63">
        <f t="shared" si="13"/>
        <v>0</v>
      </c>
      <c r="BA41" s="64">
        <v>0</v>
      </c>
      <c r="BB41" s="63">
        <f t="shared" si="14"/>
        <v>0</v>
      </c>
      <c r="BC41" s="64">
        <v>0</v>
      </c>
      <c r="BD41" s="63">
        <f t="shared" si="15"/>
        <v>0</v>
      </c>
      <c r="BE41" s="64">
        <v>0</v>
      </c>
      <c r="BF41" s="63">
        <f t="shared" si="16"/>
        <v>0</v>
      </c>
      <c r="BG41" s="64">
        <v>0</v>
      </c>
      <c r="BH41" s="63">
        <f t="shared" si="17"/>
        <v>0</v>
      </c>
      <c r="BI41" s="64">
        <v>0</v>
      </c>
      <c r="BJ41" s="63">
        <f t="shared" si="18"/>
        <v>0</v>
      </c>
      <c r="BK41" s="64">
        <v>0</v>
      </c>
      <c r="BL41" s="63">
        <f t="shared" si="19"/>
        <v>0</v>
      </c>
      <c r="BM41" s="82">
        <f t="shared" si="34"/>
        <v>0</v>
      </c>
      <c r="BN41" s="83">
        <f t="shared" si="35"/>
        <v>0</v>
      </c>
    </row>
    <row r="42" spans="2:66" hidden="1" x14ac:dyDescent="0.25">
      <c r="B42" s="25" t="s">
        <v>4</v>
      </c>
      <c r="C42" s="25" t="s">
        <v>118</v>
      </c>
      <c r="D42" s="61">
        <v>0</v>
      </c>
      <c r="E42" s="28">
        <v>0</v>
      </c>
      <c r="F42" s="63">
        <f t="shared" si="20"/>
        <v>0</v>
      </c>
      <c r="G42" s="28">
        <v>0</v>
      </c>
      <c r="H42" s="63">
        <f t="shared" si="20"/>
        <v>0</v>
      </c>
      <c r="I42" s="28">
        <v>0</v>
      </c>
      <c r="J42" s="63">
        <f t="shared" si="21"/>
        <v>0</v>
      </c>
      <c r="K42" s="28">
        <v>0</v>
      </c>
      <c r="L42" s="63">
        <f t="shared" si="22"/>
        <v>0</v>
      </c>
      <c r="M42" s="28">
        <v>0</v>
      </c>
      <c r="N42" s="63">
        <f t="shared" si="23"/>
        <v>0</v>
      </c>
      <c r="O42" s="28">
        <v>0</v>
      </c>
      <c r="P42" s="63">
        <f t="shared" si="24"/>
        <v>0</v>
      </c>
      <c r="Q42" s="28">
        <v>0</v>
      </c>
      <c r="R42" s="63">
        <f t="shared" si="25"/>
        <v>0</v>
      </c>
      <c r="S42" s="28">
        <v>0</v>
      </c>
      <c r="T42" s="63">
        <f t="shared" si="26"/>
        <v>0</v>
      </c>
      <c r="U42" s="28">
        <v>0</v>
      </c>
      <c r="V42" s="63">
        <f t="shared" si="27"/>
        <v>0</v>
      </c>
      <c r="W42" s="28">
        <v>0</v>
      </c>
      <c r="X42" s="63">
        <f t="shared" si="28"/>
        <v>0</v>
      </c>
      <c r="Y42" s="28">
        <v>0</v>
      </c>
      <c r="Z42" s="63">
        <f t="shared" si="29"/>
        <v>0</v>
      </c>
      <c r="AA42" s="28">
        <v>0</v>
      </c>
      <c r="AB42" s="63">
        <f t="shared" si="30"/>
        <v>0</v>
      </c>
      <c r="AC42" s="28">
        <v>0</v>
      </c>
      <c r="AD42" s="63">
        <f t="shared" si="31"/>
        <v>0</v>
      </c>
      <c r="AE42" s="28">
        <v>0</v>
      </c>
      <c r="AF42" s="63">
        <f t="shared" si="32"/>
        <v>0</v>
      </c>
      <c r="AG42" s="28">
        <v>0</v>
      </c>
      <c r="AH42" s="63">
        <f t="shared" si="36"/>
        <v>0</v>
      </c>
      <c r="AI42" s="64">
        <v>0</v>
      </c>
      <c r="AJ42" s="63">
        <f t="shared" si="5"/>
        <v>0</v>
      </c>
      <c r="AK42" s="64">
        <v>0</v>
      </c>
      <c r="AL42" s="63">
        <f t="shared" si="6"/>
        <v>0</v>
      </c>
      <c r="AM42" s="64">
        <v>0</v>
      </c>
      <c r="AN42" s="63">
        <f t="shared" si="7"/>
        <v>0</v>
      </c>
      <c r="AO42" s="64">
        <v>0</v>
      </c>
      <c r="AP42" s="63">
        <f t="shared" si="8"/>
        <v>0</v>
      </c>
      <c r="AQ42" s="64">
        <v>0</v>
      </c>
      <c r="AR42" s="63">
        <f t="shared" si="9"/>
        <v>0</v>
      </c>
      <c r="AS42" s="64">
        <v>0</v>
      </c>
      <c r="AT42" s="63">
        <f t="shared" si="10"/>
        <v>0</v>
      </c>
      <c r="AU42" s="64">
        <v>0</v>
      </c>
      <c r="AV42" s="63">
        <f t="shared" si="11"/>
        <v>0</v>
      </c>
      <c r="AW42" s="64">
        <v>0</v>
      </c>
      <c r="AX42" s="63">
        <f t="shared" si="12"/>
        <v>0</v>
      </c>
      <c r="AY42" s="64">
        <v>0</v>
      </c>
      <c r="AZ42" s="63">
        <f t="shared" si="13"/>
        <v>0</v>
      </c>
      <c r="BA42" s="64">
        <v>0</v>
      </c>
      <c r="BB42" s="63">
        <f t="shared" si="14"/>
        <v>0</v>
      </c>
      <c r="BC42" s="64">
        <v>0</v>
      </c>
      <c r="BD42" s="63">
        <f t="shared" si="15"/>
        <v>0</v>
      </c>
      <c r="BE42" s="64">
        <v>0</v>
      </c>
      <c r="BF42" s="63">
        <f t="shared" si="16"/>
        <v>0</v>
      </c>
      <c r="BG42" s="64">
        <v>0</v>
      </c>
      <c r="BH42" s="63">
        <f t="shared" si="17"/>
        <v>0</v>
      </c>
      <c r="BI42" s="64">
        <v>0</v>
      </c>
      <c r="BJ42" s="63">
        <f t="shared" si="18"/>
        <v>0</v>
      </c>
      <c r="BK42" s="64">
        <v>0</v>
      </c>
      <c r="BL42" s="63">
        <f t="shared" si="19"/>
        <v>0</v>
      </c>
      <c r="BM42" s="82">
        <f t="shared" si="34"/>
        <v>0</v>
      </c>
      <c r="BN42" s="83">
        <f t="shared" si="35"/>
        <v>0</v>
      </c>
    </row>
    <row r="43" spans="2:66" hidden="1" x14ac:dyDescent="0.25">
      <c r="B43" s="25" t="s">
        <v>4</v>
      </c>
      <c r="C43" s="25" t="s">
        <v>118</v>
      </c>
      <c r="D43" s="61">
        <v>0</v>
      </c>
      <c r="E43" s="28">
        <v>0</v>
      </c>
      <c r="F43" s="63">
        <f t="shared" si="20"/>
        <v>0</v>
      </c>
      <c r="G43" s="28">
        <v>0</v>
      </c>
      <c r="H43" s="63">
        <f t="shared" si="20"/>
        <v>0</v>
      </c>
      <c r="I43" s="28">
        <v>0</v>
      </c>
      <c r="J43" s="63">
        <f t="shared" si="21"/>
        <v>0</v>
      </c>
      <c r="K43" s="28">
        <v>0</v>
      </c>
      <c r="L43" s="63">
        <f t="shared" si="22"/>
        <v>0</v>
      </c>
      <c r="M43" s="28">
        <v>0</v>
      </c>
      <c r="N43" s="63">
        <f t="shared" si="23"/>
        <v>0</v>
      </c>
      <c r="O43" s="28">
        <v>0</v>
      </c>
      <c r="P43" s="63">
        <f t="shared" si="24"/>
        <v>0</v>
      </c>
      <c r="Q43" s="28">
        <v>0</v>
      </c>
      <c r="R43" s="63">
        <f t="shared" si="25"/>
        <v>0</v>
      </c>
      <c r="S43" s="28">
        <v>0</v>
      </c>
      <c r="T43" s="63">
        <f t="shared" si="26"/>
        <v>0</v>
      </c>
      <c r="U43" s="28">
        <v>0</v>
      </c>
      <c r="V43" s="63">
        <f t="shared" si="27"/>
        <v>0</v>
      </c>
      <c r="W43" s="28">
        <v>0</v>
      </c>
      <c r="X43" s="63">
        <f t="shared" si="28"/>
        <v>0</v>
      </c>
      <c r="Y43" s="28">
        <v>0</v>
      </c>
      <c r="Z43" s="63">
        <f t="shared" si="29"/>
        <v>0</v>
      </c>
      <c r="AA43" s="28">
        <v>0</v>
      </c>
      <c r="AB43" s="63">
        <f t="shared" si="30"/>
        <v>0</v>
      </c>
      <c r="AC43" s="28">
        <v>0</v>
      </c>
      <c r="AD43" s="63">
        <f t="shared" si="31"/>
        <v>0</v>
      </c>
      <c r="AE43" s="28">
        <v>0</v>
      </c>
      <c r="AF43" s="63">
        <f t="shared" si="32"/>
        <v>0</v>
      </c>
      <c r="AG43" s="28">
        <v>0</v>
      </c>
      <c r="AH43" s="63">
        <f t="shared" si="36"/>
        <v>0</v>
      </c>
      <c r="AI43" s="64">
        <v>0</v>
      </c>
      <c r="AJ43" s="63">
        <f t="shared" si="5"/>
        <v>0</v>
      </c>
      <c r="AK43" s="64">
        <v>0</v>
      </c>
      <c r="AL43" s="63">
        <f t="shared" si="6"/>
        <v>0</v>
      </c>
      <c r="AM43" s="64">
        <v>0</v>
      </c>
      <c r="AN43" s="63">
        <f t="shared" si="7"/>
        <v>0</v>
      </c>
      <c r="AO43" s="64">
        <v>0</v>
      </c>
      <c r="AP43" s="63">
        <f t="shared" si="8"/>
        <v>0</v>
      </c>
      <c r="AQ43" s="64">
        <v>0</v>
      </c>
      <c r="AR43" s="63">
        <f t="shared" si="9"/>
        <v>0</v>
      </c>
      <c r="AS43" s="64">
        <v>0</v>
      </c>
      <c r="AT43" s="63">
        <f t="shared" si="10"/>
        <v>0</v>
      </c>
      <c r="AU43" s="64">
        <v>0</v>
      </c>
      <c r="AV43" s="63">
        <f t="shared" si="11"/>
        <v>0</v>
      </c>
      <c r="AW43" s="64">
        <v>0</v>
      </c>
      <c r="AX43" s="63">
        <f t="shared" si="12"/>
        <v>0</v>
      </c>
      <c r="AY43" s="64">
        <v>0</v>
      </c>
      <c r="AZ43" s="63">
        <f t="shared" si="13"/>
        <v>0</v>
      </c>
      <c r="BA43" s="64">
        <v>0</v>
      </c>
      <c r="BB43" s="63">
        <f t="shared" si="14"/>
        <v>0</v>
      </c>
      <c r="BC43" s="64">
        <v>0</v>
      </c>
      <c r="BD43" s="63">
        <f t="shared" si="15"/>
        <v>0</v>
      </c>
      <c r="BE43" s="64">
        <v>0</v>
      </c>
      <c r="BF43" s="63">
        <f t="shared" si="16"/>
        <v>0</v>
      </c>
      <c r="BG43" s="64">
        <v>0</v>
      </c>
      <c r="BH43" s="63">
        <f t="shared" si="17"/>
        <v>0</v>
      </c>
      <c r="BI43" s="64">
        <v>0</v>
      </c>
      <c r="BJ43" s="63">
        <f t="shared" si="18"/>
        <v>0</v>
      </c>
      <c r="BK43" s="64">
        <v>0</v>
      </c>
      <c r="BL43" s="63">
        <f t="shared" si="19"/>
        <v>0</v>
      </c>
      <c r="BM43" s="82">
        <f t="shared" si="34"/>
        <v>0</v>
      </c>
      <c r="BN43" s="83">
        <f t="shared" si="35"/>
        <v>0</v>
      </c>
    </row>
    <row r="44" spans="2:66" hidden="1" x14ac:dyDescent="0.25">
      <c r="B44" s="25" t="s">
        <v>4</v>
      </c>
      <c r="C44" s="25" t="s">
        <v>118</v>
      </c>
      <c r="D44" s="61">
        <v>0</v>
      </c>
      <c r="E44" s="28">
        <v>0</v>
      </c>
      <c r="F44" s="63">
        <f t="shared" si="20"/>
        <v>0</v>
      </c>
      <c r="G44" s="28">
        <v>0</v>
      </c>
      <c r="H44" s="63">
        <f t="shared" ref="H44:H47" si="37">IF(ISERROR(G44*$D44), "$0", G44*$D44)</f>
        <v>0</v>
      </c>
      <c r="I44" s="28">
        <v>0</v>
      </c>
      <c r="J44" s="63">
        <f t="shared" si="21"/>
        <v>0</v>
      </c>
      <c r="K44" s="28">
        <v>0</v>
      </c>
      <c r="L44" s="63">
        <f t="shared" si="22"/>
        <v>0</v>
      </c>
      <c r="M44" s="28">
        <v>0</v>
      </c>
      <c r="N44" s="63">
        <f t="shared" si="23"/>
        <v>0</v>
      </c>
      <c r="O44" s="28">
        <v>0</v>
      </c>
      <c r="P44" s="63">
        <f t="shared" si="24"/>
        <v>0</v>
      </c>
      <c r="Q44" s="28">
        <v>0</v>
      </c>
      <c r="R44" s="63">
        <f t="shared" si="25"/>
        <v>0</v>
      </c>
      <c r="S44" s="28">
        <v>0</v>
      </c>
      <c r="T44" s="63">
        <f t="shared" si="26"/>
        <v>0</v>
      </c>
      <c r="U44" s="28">
        <v>0</v>
      </c>
      <c r="V44" s="63">
        <f t="shared" si="27"/>
        <v>0</v>
      </c>
      <c r="W44" s="28">
        <v>0</v>
      </c>
      <c r="X44" s="63">
        <f t="shared" si="28"/>
        <v>0</v>
      </c>
      <c r="Y44" s="28">
        <v>0</v>
      </c>
      <c r="Z44" s="63">
        <f t="shared" si="29"/>
        <v>0</v>
      </c>
      <c r="AA44" s="28">
        <v>0</v>
      </c>
      <c r="AB44" s="63">
        <f t="shared" si="30"/>
        <v>0</v>
      </c>
      <c r="AC44" s="28">
        <v>0</v>
      </c>
      <c r="AD44" s="63">
        <f t="shared" si="31"/>
        <v>0</v>
      </c>
      <c r="AE44" s="28">
        <v>0</v>
      </c>
      <c r="AF44" s="63">
        <f t="shared" si="32"/>
        <v>0</v>
      </c>
      <c r="AG44" s="28">
        <v>0</v>
      </c>
      <c r="AH44" s="63">
        <f t="shared" si="36"/>
        <v>0</v>
      </c>
      <c r="AI44" s="64">
        <v>0</v>
      </c>
      <c r="AJ44" s="63">
        <f t="shared" si="5"/>
        <v>0</v>
      </c>
      <c r="AK44" s="64">
        <v>0</v>
      </c>
      <c r="AL44" s="63">
        <f t="shared" si="6"/>
        <v>0</v>
      </c>
      <c r="AM44" s="64">
        <v>0</v>
      </c>
      <c r="AN44" s="63">
        <f t="shared" si="7"/>
        <v>0</v>
      </c>
      <c r="AO44" s="64">
        <v>0</v>
      </c>
      <c r="AP44" s="63">
        <f t="shared" si="8"/>
        <v>0</v>
      </c>
      <c r="AQ44" s="64">
        <v>0</v>
      </c>
      <c r="AR44" s="63">
        <f t="shared" si="9"/>
        <v>0</v>
      </c>
      <c r="AS44" s="64">
        <v>0</v>
      </c>
      <c r="AT44" s="63">
        <f t="shared" si="10"/>
        <v>0</v>
      </c>
      <c r="AU44" s="64">
        <v>0</v>
      </c>
      <c r="AV44" s="63">
        <f t="shared" si="11"/>
        <v>0</v>
      </c>
      <c r="AW44" s="64">
        <v>0</v>
      </c>
      <c r="AX44" s="63">
        <f t="shared" si="12"/>
        <v>0</v>
      </c>
      <c r="AY44" s="64">
        <v>0</v>
      </c>
      <c r="AZ44" s="63">
        <f t="shared" si="13"/>
        <v>0</v>
      </c>
      <c r="BA44" s="64">
        <v>0</v>
      </c>
      <c r="BB44" s="63">
        <f t="shared" si="14"/>
        <v>0</v>
      </c>
      <c r="BC44" s="64">
        <v>0</v>
      </c>
      <c r="BD44" s="63">
        <f t="shared" si="15"/>
        <v>0</v>
      </c>
      <c r="BE44" s="64">
        <v>0</v>
      </c>
      <c r="BF44" s="63">
        <f t="shared" si="16"/>
        <v>0</v>
      </c>
      <c r="BG44" s="64">
        <v>0</v>
      </c>
      <c r="BH44" s="63">
        <f t="shared" si="17"/>
        <v>0</v>
      </c>
      <c r="BI44" s="64">
        <v>0</v>
      </c>
      <c r="BJ44" s="63">
        <f t="shared" si="18"/>
        <v>0</v>
      </c>
      <c r="BK44" s="64">
        <v>0</v>
      </c>
      <c r="BL44" s="63">
        <f t="shared" si="19"/>
        <v>0</v>
      </c>
      <c r="BM44" s="82">
        <f t="shared" si="34"/>
        <v>0</v>
      </c>
      <c r="BN44" s="83">
        <f t="shared" si="35"/>
        <v>0</v>
      </c>
    </row>
    <row r="45" spans="2:66" hidden="1" x14ac:dyDescent="0.25">
      <c r="B45" s="25" t="s">
        <v>4</v>
      </c>
      <c r="C45" s="25" t="s">
        <v>118</v>
      </c>
      <c r="D45" s="61">
        <v>0</v>
      </c>
      <c r="E45" s="28">
        <v>0</v>
      </c>
      <c r="F45" s="63">
        <f t="shared" si="20"/>
        <v>0</v>
      </c>
      <c r="G45" s="28">
        <v>0</v>
      </c>
      <c r="H45" s="63">
        <f t="shared" si="37"/>
        <v>0</v>
      </c>
      <c r="I45" s="28">
        <v>0</v>
      </c>
      <c r="J45" s="63">
        <f t="shared" si="21"/>
        <v>0</v>
      </c>
      <c r="K45" s="28">
        <v>0</v>
      </c>
      <c r="L45" s="63">
        <f t="shared" si="22"/>
        <v>0</v>
      </c>
      <c r="M45" s="28">
        <v>0</v>
      </c>
      <c r="N45" s="63">
        <f t="shared" si="23"/>
        <v>0</v>
      </c>
      <c r="O45" s="28">
        <v>0</v>
      </c>
      <c r="P45" s="63">
        <f t="shared" si="24"/>
        <v>0</v>
      </c>
      <c r="Q45" s="28">
        <v>0</v>
      </c>
      <c r="R45" s="63">
        <f t="shared" si="25"/>
        <v>0</v>
      </c>
      <c r="S45" s="28">
        <v>0</v>
      </c>
      <c r="T45" s="63">
        <f t="shared" si="26"/>
        <v>0</v>
      </c>
      <c r="U45" s="28">
        <v>0</v>
      </c>
      <c r="V45" s="63">
        <f t="shared" si="27"/>
        <v>0</v>
      </c>
      <c r="W45" s="28">
        <v>0</v>
      </c>
      <c r="X45" s="63">
        <f t="shared" si="28"/>
        <v>0</v>
      </c>
      <c r="Y45" s="28">
        <v>0</v>
      </c>
      <c r="Z45" s="63">
        <f t="shared" si="29"/>
        <v>0</v>
      </c>
      <c r="AA45" s="28">
        <v>0</v>
      </c>
      <c r="AB45" s="63">
        <f t="shared" si="30"/>
        <v>0</v>
      </c>
      <c r="AC45" s="28">
        <v>0</v>
      </c>
      <c r="AD45" s="63">
        <f t="shared" si="31"/>
        <v>0</v>
      </c>
      <c r="AE45" s="28">
        <v>0</v>
      </c>
      <c r="AF45" s="63">
        <f t="shared" si="32"/>
        <v>0</v>
      </c>
      <c r="AG45" s="28">
        <v>0</v>
      </c>
      <c r="AH45" s="63">
        <f t="shared" si="36"/>
        <v>0</v>
      </c>
      <c r="AI45" s="64">
        <v>0</v>
      </c>
      <c r="AJ45" s="63">
        <f t="shared" si="5"/>
        <v>0</v>
      </c>
      <c r="AK45" s="64">
        <v>0</v>
      </c>
      <c r="AL45" s="63">
        <f t="shared" si="6"/>
        <v>0</v>
      </c>
      <c r="AM45" s="64">
        <v>0</v>
      </c>
      <c r="AN45" s="63">
        <f t="shared" si="7"/>
        <v>0</v>
      </c>
      <c r="AO45" s="64">
        <v>0</v>
      </c>
      <c r="AP45" s="63">
        <f t="shared" si="8"/>
        <v>0</v>
      </c>
      <c r="AQ45" s="64">
        <v>0</v>
      </c>
      <c r="AR45" s="63">
        <f t="shared" si="9"/>
        <v>0</v>
      </c>
      <c r="AS45" s="64">
        <v>0</v>
      </c>
      <c r="AT45" s="63">
        <f t="shared" si="10"/>
        <v>0</v>
      </c>
      <c r="AU45" s="64">
        <v>0</v>
      </c>
      <c r="AV45" s="63">
        <f t="shared" si="11"/>
        <v>0</v>
      </c>
      <c r="AW45" s="64">
        <v>0</v>
      </c>
      <c r="AX45" s="63">
        <f t="shared" si="12"/>
        <v>0</v>
      </c>
      <c r="AY45" s="64">
        <v>0</v>
      </c>
      <c r="AZ45" s="63">
        <f t="shared" si="13"/>
        <v>0</v>
      </c>
      <c r="BA45" s="64">
        <v>0</v>
      </c>
      <c r="BB45" s="63">
        <f t="shared" si="14"/>
        <v>0</v>
      </c>
      <c r="BC45" s="64">
        <v>0</v>
      </c>
      <c r="BD45" s="63">
        <f t="shared" si="15"/>
        <v>0</v>
      </c>
      <c r="BE45" s="64">
        <v>0</v>
      </c>
      <c r="BF45" s="63">
        <f t="shared" si="16"/>
        <v>0</v>
      </c>
      <c r="BG45" s="64">
        <v>0</v>
      </c>
      <c r="BH45" s="63">
        <f t="shared" si="17"/>
        <v>0</v>
      </c>
      <c r="BI45" s="64">
        <v>0</v>
      </c>
      <c r="BJ45" s="63">
        <f t="shared" si="18"/>
        <v>0</v>
      </c>
      <c r="BK45" s="64">
        <v>0</v>
      </c>
      <c r="BL45" s="63">
        <f t="shared" si="19"/>
        <v>0</v>
      </c>
      <c r="BM45" s="82">
        <f t="shared" si="34"/>
        <v>0</v>
      </c>
      <c r="BN45" s="83">
        <f t="shared" si="35"/>
        <v>0</v>
      </c>
    </row>
    <row r="46" spans="2:66" hidden="1" x14ac:dyDescent="0.25">
      <c r="B46" s="25" t="s">
        <v>4</v>
      </c>
      <c r="C46" s="25" t="s">
        <v>118</v>
      </c>
      <c r="D46" s="61">
        <v>0</v>
      </c>
      <c r="E46" s="28">
        <v>0</v>
      </c>
      <c r="F46" s="63">
        <f t="shared" si="20"/>
        <v>0</v>
      </c>
      <c r="G46" s="28">
        <v>0</v>
      </c>
      <c r="H46" s="63">
        <f t="shared" si="37"/>
        <v>0</v>
      </c>
      <c r="I46" s="28">
        <v>0</v>
      </c>
      <c r="J46" s="63">
        <f t="shared" si="21"/>
        <v>0</v>
      </c>
      <c r="K46" s="28">
        <v>0</v>
      </c>
      <c r="L46" s="63">
        <f t="shared" si="22"/>
        <v>0</v>
      </c>
      <c r="M46" s="28">
        <v>0</v>
      </c>
      <c r="N46" s="63">
        <f t="shared" si="23"/>
        <v>0</v>
      </c>
      <c r="O46" s="28">
        <v>0</v>
      </c>
      <c r="P46" s="63">
        <f t="shared" si="24"/>
        <v>0</v>
      </c>
      <c r="Q46" s="28">
        <v>0</v>
      </c>
      <c r="R46" s="63">
        <f t="shared" si="25"/>
        <v>0</v>
      </c>
      <c r="S46" s="28">
        <v>0</v>
      </c>
      <c r="T46" s="63">
        <f t="shared" si="26"/>
        <v>0</v>
      </c>
      <c r="U46" s="28">
        <v>0</v>
      </c>
      <c r="V46" s="63">
        <f t="shared" si="27"/>
        <v>0</v>
      </c>
      <c r="W46" s="28">
        <v>0</v>
      </c>
      <c r="X46" s="63">
        <f t="shared" si="28"/>
        <v>0</v>
      </c>
      <c r="Y46" s="28">
        <v>0</v>
      </c>
      <c r="Z46" s="63">
        <f t="shared" si="29"/>
        <v>0</v>
      </c>
      <c r="AA46" s="28">
        <v>0</v>
      </c>
      <c r="AB46" s="63">
        <f t="shared" si="30"/>
        <v>0</v>
      </c>
      <c r="AC46" s="28">
        <v>0</v>
      </c>
      <c r="AD46" s="63">
        <f t="shared" si="31"/>
        <v>0</v>
      </c>
      <c r="AE46" s="28">
        <v>0</v>
      </c>
      <c r="AF46" s="63">
        <f t="shared" si="32"/>
        <v>0</v>
      </c>
      <c r="AG46" s="28">
        <v>0</v>
      </c>
      <c r="AH46" s="63">
        <f t="shared" si="36"/>
        <v>0</v>
      </c>
      <c r="AI46" s="64">
        <v>0</v>
      </c>
      <c r="AJ46" s="63">
        <f t="shared" si="5"/>
        <v>0</v>
      </c>
      <c r="AK46" s="64">
        <v>0</v>
      </c>
      <c r="AL46" s="63">
        <f t="shared" si="6"/>
        <v>0</v>
      </c>
      <c r="AM46" s="64">
        <v>0</v>
      </c>
      <c r="AN46" s="63">
        <f t="shared" si="7"/>
        <v>0</v>
      </c>
      <c r="AO46" s="64">
        <v>0</v>
      </c>
      <c r="AP46" s="63">
        <f t="shared" si="8"/>
        <v>0</v>
      </c>
      <c r="AQ46" s="64">
        <v>0</v>
      </c>
      <c r="AR46" s="63">
        <f t="shared" si="9"/>
        <v>0</v>
      </c>
      <c r="AS46" s="64">
        <v>0</v>
      </c>
      <c r="AT46" s="63">
        <f t="shared" si="10"/>
        <v>0</v>
      </c>
      <c r="AU46" s="64">
        <v>0</v>
      </c>
      <c r="AV46" s="63">
        <f t="shared" si="11"/>
        <v>0</v>
      </c>
      <c r="AW46" s="64">
        <v>0</v>
      </c>
      <c r="AX46" s="63">
        <f t="shared" si="12"/>
        <v>0</v>
      </c>
      <c r="AY46" s="64">
        <v>0</v>
      </c>
      <c r="AZ46" s="63">
        <f t="shared" si="13"/>
        <v>0</v>
      </c>
      <c r="BA46" s="64">
        <v>0</v>
      </c>
      <c r="BB46" s="63">
        <f t="shared" si="14"/>
        <v>0</v>
      </c>
      <c r="BC46" s="64">
        <v>0</v>
      </c>
      <c r="BD46" s="63">
        <f t="shared" si="15"/>
        <v>0</v>
      </c>
      <c r="BE46" s="64">
        <v>0</v>
      </c>
      <c r="BF46" s="63">
        <f t="shared" si="16"/>
        <v>0</v>
      </c>
      <c r="BG46" s="64">
        <v>0</v>
      </c>
      <c r="BH46" s="63">
        <f t="shared" si="17"/>
        <v>0</v>
      </c>
      <c r="BI46" s="64">
        <v>0</v>
      </c>
      <c r="BJ46" s="63">
        <f t="shared" si="18"/>
        <v>0</v>
      </c>
      <c r="BK46" s="64">
        <v>0</v>
      </c>
      <c r="BL46" s="63">
        <f t="shared" si="19"/>
        <v>0</v>
      </c>
      <c r="BM46" s="82">
        <f t="shared" si="34"/>
        <v>0</v>
      </c>
      <c r="BN46" s="83">
        <f t="shared" si="35"/>
        <v>0</v>
      </c>
    </row>
    <row r="47" spans="2:66" ht="13.5" hidden="1" customHeight="1" x14ac:dyDescent="0.25">
      <c r="B47" s="25" t="s">
        <v>4</v>
      </c>
      <c r="C47" s="25" t="s">
        <v>118</v>
      </c>
      <c r="D47" s="61">
        <v>0</v>
      </c>
      <c r="E47" s="28">
        <v>0</v>
      </c>
      <c r="F47" s="63">
        <f t="shared" si="20"/>
        <v>0</v>
      </c>
      <c r="G47" s="28">
        <v>0</v>
      </c>
      <c r="H47" s="63">
        <f t="shared" si="37"/>
        <v>0</v>
      </c>
      <c r="I47" s="28">
        <v>0</v>
      </c>
      <c r="J47" s="63">
        <f t="shared" si="21"/>
        <v>0</v>
      </c>
      <c r="K47" s="28">
        <v>0</v>
      </c>
      <c r="L47" s="63">
        <f t="shared" si="22"/>
        <v>0</v>
      </c>
      <c r="M47" s="28">
        <v>0</v>
      </c>
      <c r="N47" s="63">
        <f t="shared" si="23"/>
        <v>0</v>
      </c>
      <c r="O47" s="28">
        <v>0</v>
      </c>
      <c r="P47" s="63">
        <f t="shared" si="24"/>
        <v>0</v>
      </c>
      <c r="Q47" s="28">
        <v>0</v>
      </c>
      <c r="R47" s="63">
        <f t="shared" si="25"/>
        <v>0</v>
      </c>
      <c r="S47" s="28">
        <v>0</v>
      </c>
      <c r="T47" s="63">
        <f t="shared" si="26"/>
        <v>0</v>
      </c>
      <c r="U47" s="28">
        <v>0</v>
      </c>
      <c r="V47" s="63">
        <f t="shared" si="27"/>
        <v>0</v>
      </c>
      <c r="W47" s="28">
        <v>0</v>
      </c>
      <c r="X47" s="63">
        <f t="shared" si="28"/>
        <v>0</v>
      </c>
      <c r="Y47" s="28">
        <v>0</v>
      </c>
      <c r="Z47" s="63">
        <f t="shared" si="29"/>
        <v>0</v>
      </c>
      <c r="AA47" s="28">
        <v>0</v>
      </c>
      <c r="AB47" s="63">
        <f t="shared" si="30"/>
        <v>0</v>
      </c>
      <c r="AC47" s="28">
        <v>0</v>
      </c>
      <c r="AD47" s="63">
        <f t="shared" si="31"/>
        <v>0</v>
      </c>
      <c r="AE47" s="28">
        <v>0</v>
      </c>
      <c r="AF47" s="63">
        <f t="shared" si="32"/>
        <v>0</v>
      </c>
      <c r="AG47" s="28">
        <v>0</v>
      </c>
      <c r="AH47" s="63">
        <f t="shared" si="36"/>
        <v>0</v>
      </c>
      <c r="AI47" s="64">
        <v>0</v>
      </c>
      <c r="AJ47" s="63">
        <f t="shared" si="5"/>
        <v>0</v>
      </c>
      <c r="AK47" s="64">
        <v>0</v>
      </c>
      <c r="AL47" s="63">
        <f t="shared" si="6"/>
        <v>0</v>
      </c>
      <c r="AM47" s="64">
        <v>0</v>
      </c>
      <c r="AN47" s="63">
        <f t="shared" si="7"/>
        <v>0</v>
      </c>
      <c r="AO47" s="64">
        <v>0</v>
      </c>
      <c r="AP47" s="63">
        <f t="shared" si="8"/>
        <v>0</v>
      </c>
      <c r="AQ47" s="64">
        <v>0</v>
      </c>
      <c r="AR47" s="63">
        <f t="shared" si="9"/>
        <v>0</v>
      </c>
      <c r="AS47" s="64">
        <v>0</v>
      </c>
      <c r="AT47" s="63">
        <f t="shared" si="10"/>
        <v>0</v>
      </c>
      <c r="AU47" s="64">
        <v>0</v>
      </c>
      <c r="AV47" s="63">
        <f t="shared" si="11"/>
        <v>0</v>
      </c>
      <c r="AW47" s="64">
        <v>0</v>
      </c>
      <c r="AX47" s="63">
        <f t="shared" si="12"/>
        <v>0</v>
      </c>
      <c r="AY47" s="64">
        <v>0</v>
      </c>
      <c r="AZ47" s="63">
        <f t="shared" si="13"/>
        <v>0</v>
      </c>
      <c r="BA47" s="64">
        <v>0</v>
      </c>
      <c r="BB47" s="63">
        <f t="shared" si="14"/>
        <v>0</v>
      </c>
      <c r="BC47" s="64">
        <v>0</v>
      </c>
      <c r="BD47" s="63">
        <f t="shared" si="15"/>
        <v>0</v>
      </c>
      <c r="BE47" s="64">
        <v>0</v>
      </c>
      <c r="BF47" s="63">
        <f t="shared" si="16"/>
        <v>0</v>
      </c>
      <c r="BG47" s="64">
        <v>0</v>
      </c>
      <c r="BH47" s="63">
        <f t="shared" si="17"/>
        <v>0</v>
      </c>
      <c r="BI47" s="64">
        <v>0</v>
      </c>
      <c r="BJ47" s="63">
        <f t="shared" si="18"/>
        <v>0</v>
      </c>
      <c r="BK47" s="64">
        <v>0</v>
      </c>
      <c r="BL47" s="63">
        <f t="shared" si="19"/>
        <v>0</v>
      </c>
      <c r="BM47" s="82">
        <f t="shared" si="34"/>
        <v>0</v>
      </c>
      <c r="BN47" s="83">
        <f t="shared" si="35"/>
        <v>0</v>
      </c>
    </row>
    <row r="48" spans="2:66" hidden="1" x14ac:dyDescent="0.25">
      <c r="B48" s="25" t="s">
        <v>4</v>
      </c>
      <c r="C48" s="25" t="s">
        <v>118</v>
      </c>
      <c r="D48" s="61">
        <v>0</v>
      </c>
      <c r="E48" s="28">
        <v>0</v>
      </c>
      <c r="F48" s="63">
        <f t="shared" ref="F48:F62" si="38">IF(ISERROR(E48*$D48), "$0", E48*$D48)</f>
        <v>0</v>
      </c>
      <c r="G48" s="28">
        <v>0</v>
      </c>
      <c r="H48" s="63">
        <f t="shared" ref="H48:H62" si="39">IF(ISERROR(G48*$D48), "$0", G48*$D48)</f>
        <v>0</v>
      </c>
      <c r="I48" s="28">
        <v>0</v>
      </c>
      <c r="J48" s="63">
        <f t="shared" ref="J48:J62" si="40">IF(ISERROR(I48*$D48), "$0", I48*$D48)</f>
        <v>0</v>
      </c>
      <c r="K48" s="28">
        <v>0</v>
      </c>
      <c r="L48" s="63">
        <f t="shared" ref="L48:L62" si="41">IF(ISERROR(K48*$D48), "$0", K48*$D48)</f>
        <v>0</v>
      </c>
      <c r="M48" s="28">
        <v>0</v>
      </c>
      <c r="N48" s="63">
        <f t="shared" ref="N48:N62" si="42">IF(ISERROR(M48*$D48), "$0", M48*$D48)</f>
        <v>0</v>
      </c>
      <c r="O48" s="28">
        <v>0</v>
      </c>
      <c r="P48" s="63">
        <f t="shared" ref="P48:P62" si="43">IF(ISERROR(O48*$D48), "$0", O48*$D48)</f>
        <v>0</v>
      </c>
      <c r="Q48" s="28">
        <v>0</v>
      </c>
      <c r="R48" s="63">
        <f t="shared" ref="R48:R62" si="44">IF(ISERROR(Q48*$D48), "$0", Q48*$D48)</f>
        <v>0</v>
      </c>
      <c r="S48" s="28">
        <v>0</v>
      </c>
      <c r="T48" s="63">
        <f t="shared" ref="T48:T62" si="45">IF(ISERROR(S48*$D48), "$0", S48*$D48)</f>
        <v>0</v>
      </c>
      <c r="U48" s="28">
        <v>0</v>
      </c>
      <c r="V48" s="63">
        <f t="shared" ref="V48:V62" si="46">IF(ISERROR(U48*$D48), "$0", U48*$D48)</f>
        <v>0</v>
      </c>
      <c r="W48" s="28">
        <v>0</v>
      </c>
      <c r="X48" s="63">
        <f t="shared" ref="X48:X62" si="47">IF(ISERROR(W48*$D48), "$0", W48*$D48)</f>
        <v>0</v>
      </c>
      <c r="Y48" s="28">
        <v>0</v>
      </c>
      <c r="Z48" s="63">
        <f t="shared" si="29"/>
        <v>0</v>
      </c>
      <c r="AA48" s="28">
        <v>0</v>
      </c>
      <c r="AB48" s="63">
        <f t="shared" si="30"/>
        <v>0</v>
      </c>
      <c r="AC48" s="28">
        <v>0</v>
      </c>
      <c r="AD48" s="63">
        <f t="shared" si="31"/>
        <v>0</v>
      </c>
      <c r="AE48" s="28">
        <v>0</v>
      </c>
      <c r="AF48" s="63">
        <f t="shared" si="32"/>
        <v>0</v>
      </c>
      <c r="AG48" s="28">
        <v>0</v>
      </c>
      <c r="AH48" s="63">
        <f t="shared" si="36"/>
        <v>0</v>
      </c>
      <c r="AI48" s="64">
        <v>0</v>
      </c>
      <c r="AJ48" s="63">
        <f t="shared" si="5"/>
        <v>0</v>
      </c>
      <c r="AK48" s="64">
        <v>0</v>
      </c>
      <c r="AL48" s="63">
        <f t="shared" si="6"/>
        <v>0</v>
      </c>
      <c r="AM48" s="64">
        <v>0</v>
      </c>
      <c r="AN48" s="63">
        <f t="shared" si="7"/>
        <v>0</v>
      </c>
      <c r="AO48" s="64">
        <v>0</v>
      </c>
      <c r="AP48" s="63">
        <f t="shared" si="8"/>
        <v>0</v>
      </c>
      <c r="AQ48" s="64">
        <v>0</v>
      </c>
      <c r="AR48" s="63">
        <f t="shared" si="9"/>
        <v>0</v>
      </c>
      <c r="AS48" s="64">
        <v>0</v>
      </c>
      <c r="AT48" s="63">
        <f t="shared" si="10"/>
        <v>0</v>
      </c>
      <c r="AU48" s="64">
        <v>0</v>
      </c>
      <c r="AV48" s="63">
        <f t="shared" si="11"/>
        <v>0</v>
      </c>
      <c r="AW48" s="64">
        <v>0</v>
      </c>
      <c r="AX48" s="63">
        <f t="shared" si="12"/>
        <v>0</v>
      </c>
      <c r="AY48" s="64">
        <v>0</v>
      </c>
      <c r="AZ48" s="63">
        <f t="shared" si="13"/>
        <v>0</v>
      </c>
      <c r="BA48" s="64">
        <v>0</v>
      </c>
      <c r="BB48" s="63">
        <f t="shared" si="14"/>
        <v>0</v>
      </c>
      <c r="BC48" s="64">
        <v>0</v>
      </c>
      <c r="BD48" s="63">
        <f t="shared" si="15"/>
        <v>0</v>
      </c>
      <c r="BE48" s="64">
        <v>0</v>
      </c>
      <c r="BF48" s="63">
        <f t="shared" si="16"/>
        <v>0</v>
      </c>
      <c r="BG48" s="64">
        <v>0</v>
      </c>
      <c r="BH48" s="63">
        <f t="shared" si="17"/>
        <v>0</v>
      </c>
      <c r="BI48" s="64">
        <v>0</v>
      </c>
      <c r="BJ48" s="63">
        <f t="shared" si="18"/>
        <v>0</v>
      </c>
      <c r="BK48" s="64">
        <v>0</v>
      </c>
      <c r="BL48" s="63">
        <f t="shared" si="19"/>
        <v>0</v>
      </c>
      <c r="BM48" s="82">
        <f t="shared" si="34"/>
        <v>0</v>
      </c>
      <c r="BN48" s="83">
        <f t="shared" si="35"/>
        <v>0</v>
      </c>
    </row>
    <row r="49" spans="2:66" hidden="1" x14ac:dyDescent="0.25">
      <c r="B49" s="25" t="s">
        <v>4</v>
      </c>
      <c r="C49" s="25" t="s">
        <v>118</v>
      </c>
      <c r="D49" s="61">
        <v>0</v>
      </c>
      <c r="E49" s="28">
        <v>0</v>
      </c>
      <c r="F49" s="63">
        <f t="shared" si="38"/>
        <v>0</v>
      </c>
      <c r="G49" s="28">
        <v>0</v>
      </c>
      <c r="H49" s="63">
        <f t="shared" si="39"/>
        <v>0</v>
      </c>
      <c r="I49" s="28">
        <v>0</v>
      </c>
      <c r="J49" s="63">
        <f t="shared" si="40"/>
        <v>0</v>
      </c>
      <c r="K49" s="28">
        <v>0</v>
      </c>
      <c r="L49" s="63">
        <f t="shared" si="41"/>
        <v>0</v>
      </c>
      <c r="M49" s="28">
        <v>0</v>
      </c>
      <c r="N49" s="63">
        <f t="shared" si="42"/>
        <v>0</v>
      </c>
      <c r="O49" s="28">
        <v>0</v>
      </c>
      <c r="P49" s="63">
        <f t="shared" si="43"/>
        <v>0</v>
      </c>
      <c r="Q49" s="28">
        <v>0</v>
      </c>
      <c r="R49" s="63">
        <f t="shared" si="44"/>
        <v>0</v>
      </c>
      <c r="S49" s="28">
        <v>0</v>
      </c>
      <c r="T49" s="63">
        <f t="shared" si="45"/>
        <v>0</v>
      </c>
      <c r="U49" s="28">
        <v>0</v>
      </c>
      <c r="V49" s="63">
        <f t="shared" si="46"/>
        <v>0</v>
      </c>
      <c r="W49" s="28">
        <v>0</v>
      </c>
      <c r="X49" s="63">
        <f t="shared" si="47"/>
        <v>0</v>
      </c>
      <c r="Y49" s="28">
        <v>0</v>
      </c>
      <c r="Z49" s="63">
        <f t="shared" si="29"/>
        <v>0</v>
      </c>
      <c r="AA49" s="28">
        <v>0</v>
      </c>
      <c r="AB49" s="63">
        <f t="shared" si="30"/>
        <v>0</v>
      </c>
      <c r="AC49" s="28">
        <v>0</v>
      </c>
      <c r="AD49" s="63">
        <f t="shared" si="31"/>
        <v>0</v>
      </c>
      <c r="AE49" s="28">
        <v>0</v>
      </c>
      <c r="AF49" s="63">
        <f t="shared" si="32"/>
        <v>0</v>
      </c>
      <c r="AG49" s="28">
        <v>0</v>
      </c>
      <c r="AH49" s="63">
        <f t="shared" si="36"/>
        <v>0</v>
      </c>
      <c r="AI49" s="64">
        <v>0</v>
      </c>
      <c r="AJ49" s="63">
        <f t="shared" ref="AJ49:AJ62" si="48">IF(ISERROR(AI49*$D49), "$0", AI49*$D49)</f>
        <v>0</v>
      </c>
      <c r="AK49" s="64">
        <v>0</v>
      </c>
      <c r="AL49" s="63">
        <f t="shared" ref="AL49:AL62" si="49">IF(ISERROR(AK49*$D49), "$0", AK49*$D49)</f>
        <v>0</v>
      </c>
      <c r="AM49" s="64">
        <v>0</v>
      </c>
      <c r="AN49" s="63">
        <f t="shared" ref="AN49:AN62" si="50">IF(ISERROR(AM49*$D49), "$0", AM49*$D49)</f>
        <v>0</v>
      </c>
      <c r="AO49" s="64">
        <v>0</v>
      </c>
      <c r="AP49" s="63">
        <f t="shared" ref="AP49:AP62" si="51">IF(ISERROR(AO49*$D49), "$0", AO49*$D49)</f>
        <v>0</v>
      </c>
      <c r="AQ49" s="64">
        <v>0</v>
      </c>
      <c r="AR49" s="63">
        <f t="shared" ref="AR49:AR62" si="52">IF(ISERROR(AQ49*$D49), "$0", AQ49*$D49)</f>
        <v>0</v>
      </c>
      <c r="AS49" s="64">
        <v>0</v>
      </c>
      <c r="AT49" s="63">
        <f t="shared" ref="AT49:AT62" si="53">IF(ISERROR(AS49*$D49), "$0", AS49*$D49)</f>
        <v>0</v>
      </c>
      <c r="AU49" s="64">
        <v>0</v>
      </c>
      <c r="AV49" s="63">
        <f t="shared" ref="AV49:AV62" si="54">IF(ISERROR(AU49*$D49), "$0", AU49*$D49)</f>
        <v>0</v>
      </c>
      <c r="AW49" s="64">
        <v>0</v>
      </c>
      <c r="AX49" s="63">
        <f t="shared" ref="AX49:AX62" si="55">IF(ISERROR(AW49*$D49), "$0", AW49*$D49)</f>
        <v>0</v>
      </c>
      <c r="AY49" s="64">
        <v>0</v>
      </c>
      <c r="AZ49" s="63">
        <f t="shared" ref="AZ49:AZ62" si="56">IF(ISERROR(AY49*$D49), "$0", AY49*$D49)</f>
        <v>0</v>
      </c>
      <c r="BA49" s="64">
        <v>0</v>
      </c>
      <c r="BB49" s="63">
        <f t="shared" ref="BB49:BB62" si="57">IF(ISERROR(BA49*$D49), "$0", BA49*$D49)</f>
        <v>0</v>
      </c>
      <c r="BC49" s="64">
        <v>0</v>
      </c>
      <c r="BD49" s="63">
        <f t="shared" ref="BD49:BD62" si="58">IF(ISERROR(BC49*$D49), "$0", BC49*$D49)</f>
        <v>0</v>
      </c>
      <c r="BE49" s="64">
        <v>0</v>
      </c>
      <c r="BF49" s="63">
        <f t="shared" ref="BF49:BF62" si="59">IF(ISERROR(BE49*$D49), "$0", BE49*$D49)</f>
        <v>0</v>
      </c>
      <c r="BG49" s="64">
        <v>0</v>
      </c>
      <c r="BH49" s="63">
        <f t="shared" ref="BH49:BH62" si="60">IF(ISERROR(BG49*$D49), "$0", BG49*$D49)</f>
        <v>0</v>
      </c>
      <c r="BI49" s="64">
        <v>0</v>
      </c>
      <c r="BJ49" s="63">
        <f t="shared" ref="BJ49:BJ62" si="61">IF(ISERROR(BI49*$D49), "$0", BI49*$D49)</f>
        <v>0</v>
      </c>
      <c r="BK49" s="64">
        <v>0</v>
      </c>
      <c r="BL49" s="63">
        <f t="shared" si="19"/>
        <v>0</v>
      </c>
      <c r="BM49" s="82">
        <f t="shared" si="34"/>
        <v>0</v>
      </c>
      <c r="BN49" s="83">
        <f t="shared" si="35"/>
        <v>0</v>
      </c>
    </row>
    <row r="50" spans="2:66" hidden="1" x14ac:dyDescent="0.25">
      <c r="B50" s="25" t="s">
        <v>4</v>
      </c>
      <c r="C50" s="25" t="s">
        <v>118</v>
      </c>
      <c r="D50" s="61">
        <v>0</v>
      </c>
      <c r="E50" s="28">
        <v>0</v>
      </c>
      <c r="F50" s="63">
        <f t="shared" si="38"/>
        <v>0</v>
      </c>
      <c r="G50" s="28">
        <v>0</v>
      </c>
      <c r="H50" s="63">
        <f t="shared" si="39"/>
        <v>0</v>
      </c>
      <c r="I50" s="28">
        <v>0</v>
      </c>
      <c r="J50" s="63">
        <f t="shared" si="40"/>
        <v>0</v>
      </c>
      <c r="K50" s="28">
        <v>0</v>
      </c>
      <c r="L50" s="63">
        <f t="shared" si="41"/>
        <v>0</v>
      </c>
      <c r="M50" s="28">
        <v>0</v>
      </c>
      <c r="N50" s="63">
        <f t="shared" si="42"/>
        <v>0</v>
      </c>
      <c r="O50" s="28">
        <v>0</v>
      </c>
      <c r="P50" s="63">
        <f t="shared" si="43"/>
        <v>0</v>
      </c>
      <c r="Q50" s="28">
        <v>0</v>
      </c>
      <c r="R50" s="63">
        <f t="shared" si="44"/>
        <v>0</v>
      </c>
      <c r="S50" s="28">
        <v>0</v>
      </c>
      <c r="T50" s="63">
        <f t="shared" si="45"/>
        <v>0</v>
      </c>
      <c r="U50" s="28">
        <v>0</v>
      </c>
      <c r="V50" s="63">
        <f t="shared" si="46"/>
        <v>0</v>
      </c>
      <c r="W50" s="28">
        <v>0</v>
      </c>
      <c r="X50" s="63">
        <f t="shared" si="47"/>
        <v>0</v>
      </c>
      <c r="Y50" s="28">
        <v>0</v>
      </c>
      <c r="Z50" s="63">
        <f t="shared" si="29"/>
        <v>0</v>
      </c>
      <c r="AA50" s="28">
        <v>0</v>
      </c>
      <c r="AB50" s="63">
        <f t="shared" si="30"/>
        <v>0</v>
      </c>
      <c r="AC50" s="28">
        <v>0</v>
      </c>
      <c r="AD50" s="63">
        <f t="shared" si="31"/>
        <v>0</v>
      </c>
      <c r="AE50" s="28">
        <v>0</v>
      </c>
      <c r="AF50" s="63">
        <f t="shared" si="32"/>
        <v>0</v>
      </c>
      <c r="AG50" s="28">
        <v>0</v>
      </c>
      <c r="AH50" s="63">
        <f t="shared" si="36"/>
        <v>0</v>
      </c>
      <c r="AI50" s="64">
        <v>0</v>
      </c>
      <c r="AJ50" s="63">
        <f t="shared" si="48"/>
        <v>0</v>
      </c>
      <c r="AK50" s="64">
        <v>0</v>
      </c>
      <c r="AL50" s="63">
        <f t="shared" si="49"/>
        <v>0</v>
      </c>
      <c r="AM50" s="64">
        <v>0</v>
      </c>
      <c r="AN50" s="63">
        <f t="shared" si="50"/>
        <v>0</v>
      </c>
      <c r="AO50" s="64">
        <v>0</v>
      </c>
      <c r="AP50" s="63">
        <f t="shared" si="51"/>
        <v>0</v>
      </c>
      <c r="AQ50" s="64">
        <v>0</v>
      </c>
      <c r="AR50" s="63">
        <f t="shared" si="52"/>
        <v>0</v>
      </c>
      <c r="AS50" s="64">
        <v>0</v>
      </c>
      <c r="AT50" s="63">
        <f t="shared" si="53"/>
        <v>0</v>
      </c>
      <c r="AU50" s="64">
        <v>0</v>
      </c>
      <c r="AV50" s="63">
        <f t="shared" si="54"/>
        <v>0</v>
      </c>
      <c r="AW50" s="64">
        <v>0</v>
      </c>
      <c r="AX50" s="63">
        <f t="shared" si="55"/>
        <v>0</v>
      </c>
      <c r="AY50" s="64">
        <v>0</v>
      </c>
      <c r="AZ50" s="63">
        <f t="shared" si="56"/>
        <v>0</v>
      </c>
      <c r="BA50" s="64">
        <v>0</v>
      </c>
      <c r="BB50" s="63">
        <f t="shared" si="57"/>
        <v>0</v>
      </c>
      <c r="BC50" s="64">
        <v>0</v>
      </c>
      <c r="BD50" s="63">
        <f t="shared" si="58"/>
        <v>0</v>
      </c>
      <c r="BE50" s="64">
        <v>0</v>
      </c>
      <c r="BF50" s="63">
        <f t="shared" si="59"/>
        <v>0</v>
      </c>
      <c r="BG50" s="64">
        <v>0</v>
      </c>
      <c r="BH50" s="63">
        <f t="shared" si="60"/>
        <v>0</v>
      </c>
      <c r="BI50" s="64">
        <v>0</v>
      </c>
      <c r="BJ50" s="63">
        <f t="shared" si="61"/>
        <v>0</v>
      </c>
      <c r="BK50" s="64">
        <v>0</v>
      </c>
      <c r="BL50" s="63">
        <f t="shared" si="19"/>
        <v>0</v>
      </c>
      <c r="BM50" s="82">
        <f t="shared" si="34"/>
        <v>0</v>
      </c>
      <c r="BN50" s="83">
        <f t="shared" si="35"/>
        <v>0</v>
      </c>
    </row>
    <row r="51" spans="2:66" hidden="1" x14ac:dyDescent="0.25">
      <c r="B51" s="25" t="s">
        <v>4</v>
      </c>
      <c r="C51" s="25" t="s">
        <v>118</v>
      </c>
      <c r="D51" s="61">
        <v>0</v>
      </c>
      <c r="E51" s="28">
        <v>0</v>
      </c>
      <c r="F51" s="63">
        <f t="shared" si="38"/>
        <v>0</v>
      </c>
      <c r="G51" s="28">
        <v>0</v>
      </c>
      <c r="H51" s="63">
        <f t="shared" si="39"/>
        <v>0</v>
      </c>
      <c r="I51" s="28">
        <v>0</v>
      </c>
      <c r="J51" s="63">
        <f t="shared" si="40"/>
        <v>0</v>
      </c>
      <c r="K51" s="28">
        <v>0</v>
      </c>
      <c r="L51" s="63">
        <f t="shared" si="41"/>
        <v>0</v>
      </c>
      <c r="M51" s="28">
        <v>0</v>
      </c>
      <c r="N51" s="63">
        <f t="shared" si="42"/>
        <v>0</v>
      </c>
      <c r="O51" s="28">
        <v>0</v>
      </c>
      <c r="P51" s="63">
        <f t="shared" si="43"/>
        <v>0</v>
      </c>
      <c r="Q51" s="28">
        <v>0</v>
      </c>
      <c r="R51" s="63">
        <f t="shared" si="44"/>
        <v>0</v>
      </c>
      <c r="S51" s="28">
        <v>0</v>
      </c>
      <c r="T51" s="63">
        <f t="shared" si="45"/>
        <v>0</v>
      </c>
      <c r="U51" s="28">
        <v>0</v>
      </c>
      <c r="V51" s="63">
        <f t="shared" si="46"/>
        <v>0</v>
      </c>
      <c r="W51" s="28">
        <v>0</v>
      </c>
      <c r="X51" s="63">
        <f t="shared" si="47"/>
        <v>0</v>
      </c>
      <c r="Y51" s="28">
        <v>0</v>
      </c>
      <c r="Z51" s="63">
        <f t="shared" si="29"/>
        <v>0</v>
      </c>
      <c r="AA51" s="28">
        <v>0</v>
      </c>
      <c r="AB51" s="63">
        <f t="shared" si="30"/>
        <v>0</v>
      </c>
      <c r="AC51" s="28">
        <v>0</v>
      </c>
      <c r="AD51" s="63">
        <f t="shared" si="31"/>
        <v>0</v>
      </c>
      <c r="AE51" s="28">
        <v>0</v>
      </c>
      <c r="AF51" s="63">
        <f t="shared" si="32"/>
        <v>0</v>
      </c>
      <c r="AG51" s="28">
        <v>0</v>
      </c>
      <c r="AH51" s="63">
        <f t="shared" si="36"/>
        <v>0</v>
      </c>
      <c r="AI51" s="64">
        <v>0</v>
      </c>
      <c r="AJ51" s="63">
        <f t="shared" si="48"/>
        <v>0</v>
      </c>
      <c r="AK51" s="64">
        <v>0</v>
      </c>
      <c r="AL51" s="63">
        <f t="shared" si="49"/>
        <v>0</v>
      </c>
      <c r="AM51" s="64">
        <v>0</v>
      </c>
      <c r="AN51" s="63">
        <f t="shared" si="50"/>
        <v>0</v>
      </c>
      <c r="AO51" s="64">
        <v>0</v>
      </c>
      <c r="AP51" s="63">
        <f t="shared" si="51"/>
        <v>0</v>
      </c>
      <c r="AQ51" s="64">
        <v>0</v>
      </c>
      <c r="AR51" s="63">
        <f t="shared" si="52"/>
        <v>0</v>
      </c>
      <c r="AS51" s="64">
        <v>0</v>
      </c>
      <c r="AT51" s="63">
        <f t="shared" si="53"/>
        <v>0</v>
      </c>
      <c r="AU51" s="64">
        <v>0</v>
      </c>
      <c r="AV51" s="63">
        <f t="shared" si="54"/>
        <v>0</v>
      </c>
      <c r="AW51" s="64">
        <v>0</v>
      </c>
      <c r="AX51" s="63">
        <f t="shared" si="55"/>
        <v>0</v>
      </c>
      <c r="AY51" s="64">
        <v>0</v>
      </c>
      <c r="AZ51" s="63">
        <f t="shared" si="56"/>
        <v>0</v>
      </c>
      <c r="BA51" s="64">
        <v>0</v>
      </c>
      <c r="BB51" s="63">
        <f t="shared" si="57"/>
        <v>0</v>
      </c>
      <c r="BC51" s="64">
        <v>0</v>
      </c>
      <c r="BD51" s="63">
        <f t="shared" si="58"/>
        <v>0</v>
      </c>
      <c r="BE51" s="64">
        <v>0</v>
      </c>
      <c r="BF51" s="63">
        <f t="shared" si="59"/>
        <v>0</v>
      </c>
      <c r="BG51" s="64">
        <v>0</v>
      </c>
      <c r="BH51" s="63">
        <f t="shared" si="60"/>
        <v>0</v>
      </c>
      <c r="BI51" s="64">
        <v>0</v>
      </c>
      <c r="BJ51" s="63">
        <f t="shared" si="61"/>
        <v>0</v>
      </c>
      <c r="BK51" s="64">
        <v>0</v>
      </c>
      <c r="BL51" s="63">
        <f t="shared" si="19"/>
        <v>0</v>
      </c>
      <c r="BM51" s="82">
        <f t="shared" si="34"/>
        <v>0</v>
      </c>
      <c r="BN51" s="83">
        <f t="shared" si="35"/>
        <v>0</v>
      </c>
    </row>
    <row r="52" spans="2:66" hidden="1" x14ac:dyDescent="0.25">
      <c r="B52" s="25" t="s">
        <v>4</v>
      </c>
      <c r="C52" s="25" t="s">
        <v>118</v>
      </c>
      <c r="D52" s="61">
        <v>0</v>
      </c>
      <c r="E52" s="28">
        <v>0</v>
      </c>
      <c r="F52" s="63">
        <f>IF(ISERROR(E52*$D52), "$0", E52*$D52)</f>
        <v>0</v>
      </c>
      <c r="G52" s="28">
        <v>0</v>
      </c>
      <c r="H52" s="63">
        <f t="shared" si="39"/>
        <v>0</v>
      </c>
      <c r="I52" s="28">
        <v>0</v>
      </c>
      <c r="J52" s="63">
        <f t="shared" si="40"/>
        <v>0</v>
      </c>
      <c r="K52" s="28">
        <v>0</v>
      </c>
      <c r="L52" s="63">
        <f t="shared" si="41"/>
        <v>0</v>
      </c>
      <c r="M52" s="28">
        <v>0</v>
      </c>
      <c r="N52" s="63">
        <f t="shared" si="42"/>
        <v>0</v>
      </c>
      <c r="O52" s="28">
        <v>0</v>
      </c>
      <c r="P52" s="63">
        <f t="shared" si="43"/>
        <v>0</v>
      </c>
      <c r="Q52" s="28">
        <v>0</v>
      </c>
      <c r="R52" s="63">
        <f t="shared" si="44"/>
        <v>0</v>
      </c>
      <c r="S52" s="28">
        <v>0</v>
      </c>
      <c r="T52" s="63">
        <f t="shared" si="45"/>
        <v>0</v>
      </c>
      <c r="U52" s="28">
        <v>0</v>
      </c>
      <c r="V52" s="63">
        <f t="shared" si="46"/>
        <v>0</v>
      </c>
      <c r="W52" s="28">
        <v>0</v>
      </c>
      <c r="X52" s="63">
        <f t="shared" si="47"/>
        <v>0</v>
      </c>
      <c r="Y52" s="28">
        <v>0</v>
      </c>
      <c r="Z52" s="63">
        <f t="shared" si="29"/>
        <v>0</v>
      </c>
      <c r="AA52" s="28">
        <v>0</v>
      </c>
      <c r="AB52" s="63">
        <f t="shared" si="30"/>
        <v>0</v>
      </c>
      <c r="AC52" s="28">
        <v>0</v>
      </c>
      <c r="AD52" s="63">
        <f t="shared" si="31"/>
        <v>0</v>
      </c>
      <c r="AE52" s="28">
        <v>0</v>
      </c>
      <c r="AF52" s="63">
        <f t="shared" si="32"/>
        <v>0</v>
      </c>
      <c r="AG52" s="28">
        <v>0</v>
      </c>
      <c r="AH52" s="63">
        <f t="shared" si="36"/>
        <v>0</v>
      </c>
      <c r="AI52" s="64">
        <v>0</v>
      </c>
      <c r="AJ52" s="63">
        <f t="shared" si="48"/>
        <v>0</v>
      </c>
      <c r="AK52" s="64">
        <v>0</v>
      </c>
      <c r="AL52" s="63">
        <f t="shared" si="49"/>
        <v>0</v>
      </c>
      <c r="AM52" s="64">
        <v>0</v>
      </c>
      <c r="AN52" s="63">
        <f t="shared" si="50"/>
        <v>0</v>
      </c>
      <c r="AO52" s="64">
        <v>0</v>
      </c>
      <c r="AP52" s="63">
        <f t="shared" si="51"/>
        <v>0</v>
      </c>
      <c r="AQ52" s="64">
        <v>0</v>
      </c>
      <c r="AR52" s="63">
        <f t="shared" si="52"/>
        <v>0</v>
      </c>
      <c r="AS52" s="64">
        <v>0</v>
      </c>
      <c r="AT52" s="63">
        <f t="shared" si="53"/>
        <v>0</v>
      </c>
      <c r="AU52" s="64">
        <v>0</v>
      </c>
      <c r="AV52" s="63">
        <f t="shared" si="54"/>
        <v>0</v>
      </c>
      <c r="AW52" s="64">
        <v>0</v>
      </c>
      <c r="AX52" s="63">
        <f t="shared" si="55"/>
        <v>0</v>
      </c>
      <c r="AY52" s="64">
        <v>0</v>
      </c>
      <c r="AZ52" s="63">
        <f t="shared" si="56"/>
        <v>0</v>
      </c>
      <c r="BA52" s="64">
        <v>0</v>
      </c>
      <c r="BB52" s="63">
        <f t="shared" si="57"/>
        <v>0</v>
      </c>
      <c r="BC52" s="64">
        <v>0</v>
      </c>
      <c r="BD52" s="63">
        <f t="shared" si="58"/>
        <v>0</v>
      </c>
      <c r="BE52" s="64">
        <v>0</v>
      </c>
      <c r="BF52" s="63">
        <f t="shared" si="59"/>
        <v>0</v>
      </c>
      <c r="BG52" s="64">
        <v>0</v>
      </c>
      <c r="BH52" s="63">
        <f t="shared" si="60"/>
        <v>0</v>
      </c>
      <c r="BI52" s="64">
        <v>0</v>
      </c>
      <c r="BJ52" s="63">
        <f t="shared" si="61"/>
        <v>0</v>
      </c>
      <c r="BK52" s="64">
        <v>0</v>
      </c>
      <c r="BL52" s="63">
        <f t="shared" si="19"/>
        <v>0</v>
      </c>
      <c r="BM52" s="82">
        <f t="shared" si="34"/>
        <v>0</v>
      </c>
      <c r="BN52" s="83">
        <f t="shared" si="35"/>
        <v>0</v>
      </c>
    </row>
    <row r="53" spans="2:66" ht="14.45" hidden="1" customHeight="1" x14ac:dyDescent="0.25">
      <c r="B53" s="25" t="s">
        <v>4</v>
      </c>
      <c r="C53" s="25" t="s">
        <v>118</v>
      </c>
      <c r="D53" s="61">
        <v>0</v>
      </c>
      <c r="E53" s="28">
        <v>0</v>
      </c>
      <c r="F53" s="63">
        <f t="shared" si="38"/>
        <v>0</v>
      </c>
      <c r="G53" s="28">
        <v>0</v>
      </c>
      <c r="H53" s="63">
        <f t="shared" si="39"/>
        <v>0</v>
      </c>
      <c r="I53" s="28">
        <v>0</v>
      </c>
      <c r="J53" s="63">
        <f t="shared" si="40"/>
        <v>0</v>
      </c>
      <c r="K53" s="28">
        <v>0</v>
      </c>
      <c r="L53" s="63">
        <f t="shared" si="41"/>
        <v>0</v>
      </c>
      <c r="M53" s="28">
        <v>0</v>
      </c>
      <c r="N53" s="63">
        <f t="shared" si="42"/>
        <v>0</v>
      </c>
      <c r="O53" s="28">
        <v>0</v>
      </c>
      <c r="P53" s="63">
        <f t="shared" si="43"/>
        <v>0</v>
      </c>
      <c r="Q53" s="28">
        <v>0</v>
      </c>
      <c r="R53" s="63">
        <f t="shared" si="44"/>
        <v>0</v>
      </c>
      <c r="S53" s="28">
        <v>0</v>
      </c>
      <c r="T53" s="63">
        <f t="shared" si="45"/>
        <v>0</v>
      </c>
      <c r="U53" s="28">
        <v>0</v>
      </c>
      <c r="V53" s="63">
        <f t="shared" si="46"/>
        <v>0</v>
      </c>
      <c r="W53" s="28">
        <v>0</v>
      </c>
      <c r="X53" s="63">
        <f t="shared" si="47"/>
        <v>0</v>
      </c>
      <c r="Y53" s="28">
        <v>0</v>
      </c>
      <c r="Z53" s="63">
        <f t="shared" si="29"/>
        <v>0</v>
      </c>
      <c r="AA53" s="28">
        <v>0</v>
      </c>
      <c r="AB53" s="63">
        <f t="shared" si="30"/>
        <v>0</v>
      </c>
      <c r="AC53" s="28">
        <v>0</v>
      </c>
      <c r="AD53" s="63">
        <f t="shared" si="31"/>
        <v>0</v>
      </c>
      <c r="AE53" s="28">
        <v>0</v>
      </c>
      <c r="AF53" s="63">
        <f t="shared" si="32"/>
        <v>0</v>
      </c>
      <c r="AG53" s="28">
        <v>0</v>
      </c>
      <c r="AH53" s="63">
        <f t="shared" si="36"/>
        <v>0</v>
      </c>
      <c r="AI53" s="64">
        <v>0</v>
      </c>
      <c r="AJ53" s="63">
        <f t="shared" si="48"/>
        <v>0</v>
      </c>
      <c r="AK53" s="64">
        <v>0</v>
      </c>
      <c r="AL53" s="63">
        <f t="shared" si="49"/>
        <v>0</v>
      </c>
      <c r="AM53" s="64">
        <v>0</v>
      </c>
      <c r="AN53" s="63">
        <f t="shared" si="50"/>
        <v>0</v>
      </c>
      <c r="AO53" s="64">
        <v>0</v>
      </c>
      <c r="AP53" s="63">
        <f t="shared" si="51"/>
        <v>0</v>
      </c>
      <c r="AQ53" s="64">
        <v>0</v>
      </c>
      <c r="AR53" s="63">
        <f t="shared" si="52"/>
        <v>0</v>
      </c>
      <c r="AS53" s="64">
        <v>0</v>
      </c>
      <c r="AT53" s="63">
        <f t="shared" si="53"/>
        <v>0</v>
      </c>
      <c r="AU53" s="64">
        <v>0</v>
      </c>
      <c r="AV53" s="63">
        <f t="shared" si="54"/>
        <v>0</v>
      </c>
      <c r="AW53" s="64">
        <v>0</v>
      </c>
      <c r="AX53" s="63">
        <f t="shared" si="55"/>
        <v>0</v>
      </c>
      <c r="AY53" s="64">
        <v>0</v>
      </c>
      <c r="AZ53" s="63">
        <f t="shared" si="56"/>
        <v>0</v>
      </c>
      <c r="BA53" s="64">
        <v>0</v>
      </c>
      <c r="BB53" s="63">
        <f t="shared" si="57"/>
        <v>0</v>
      </c>
      <c r="BC53" s="64">
        <v>0</v>
      </c>
      <c r="BD53" s="63">
        <f t="shared" si="58"/>
        <v>0</v>
      </c>
      <c r="BE53" s="64">
        <v>0</v>
      </c>
      <c r="BF53" s="63">
        <f t="shared" si="59"/>
        <v>0</v>
      </c>
      <c r="BG53" s="64">
        <v>0</v>
      </c>
      <c r="BH53" s="63">
        <f t="shared" si="60"/>
        <v>0</v>
      </c>
      <c r="BI53" s="64">
        <v>0</v>
      </c>
      <c r="BJ53" s="63">
        <f t="shared" si="61"/>
        <v>0</v>
      </c>
      <c r="BK53" s="64">
        <v>0</v>
      </c>
      <c r="BL53" s="63">
        <f t="shared" si="19"/>
        <v>0</v>
      </c>
      <c r="BM53" s="82">
        <f t="shared" si="34"/>
        <v>0</v>
      </c>
      <c r="BN53" s="83">
        <f t="shared" si="35"/>
        <v>0</v>
      </c>
    </row>
    <row r="54" spans="2:66" ht="14.45" hidden="1" customHeight="1" x14ac:dyDescent="0.25">
      <c r="B54" s="25" t="s">
        <v>4</v>
      </c>
      <c r="C54" s="25" t="s">
        <v>118</v>
      </c>
      <c r="D54" s="61">
        <v>0</v>
      </c>
      <c r="E54" s="28">
        <v>0</v>
      </c>
      <c r="F54" s="63">
        <f t="shared" si="38"/>
        <v>0</v>
      </c>
      <c r="G54" s="28">
        <v>0</v>
      </c>
      <c r="H54" s="63">
        <f t="shared" si="39"/>
        <v>0</v>
      </c>
      <c r="I54" s="28">
        <v>0</v>
      </c>
      <c r="J54" s="63">
        <f t="shared" si="40"/>
        <v>0</v>
      </c>
      <c r="K54" s="28">
        <v>0</v>
      </c>
      <c r="L54" s="63">
        <f t="shared" si="41"/>
        <v>0</v>
      </c>
      <c r="M54" s="28">
        <v>0</v>
      </c>
      <c r="N54" s="63">
        <f t="shared" si="42"/>
        <v>0</v>
      </c>
      <c r="O54" s="28">
        <v>0</v>
      </c>
      <c r="P54" s="63">
        <f t="shared" si="43"/>
        <v>0</v>
      </c>
      <c r="Q54" s="28">
        <v>0</v>
      </c>
      <c r="R54" s="63">
        <f t="shared" si="44"/>
        <v>0</v>
      </c>
      <c r="S54" s="28">
        <v>0</v>
      </c>
      <c r="T54" s="63">
        <f t="shared" si="45"/>
        <v>0</v>
      </c>
      <c r="U54" s="28">
        <v>0</v>
      </c>
      <c r="V54" s="63">
        <f t="shared" si="46"/>
        <v>0</v>
      </c>
      <c r="W54" s="28">
        <v>0</v>
      </c>
      <c r="X54" s="63">
        <f t="shared" si="47"/>
        <v>0</v>
      </c>
      <c r="Y54" s="28">
        <v>0</v>
      </c>
      <c r="Z54" s="63">
        <f t="shared" si="29"/>
        <v>0</v>
      </c>
      <c r="AA54" s="28">
        <v>0</v>
      </c>
      <c r="AB54" s="63">
        <f t="shared" si="30"/>
        <v>0</v>
      </c>
      <c r="AC54" s="28">
        <v>0</v>
      </c>
      <c r="AD54" s="63">
        <f t="shared" si="31"/>
        <v>0</v>
      </c>
      <c r="AE54" s="28">
        <v>0</v>
      </c>
      <c r="AF54" s="63">
        <f t="shared" si="32"/>
        <v>0</v>
      </c>
      <c r="AG54" s="28">
        <v>0</v>
      </c>
      <c r="AH54" s="63">
        <f t="shared" si="36"/>
        <v>0</v>
      </c>
      <c r="AI54" s="64">
        <v>0</v>
      </c>
      <c r="AJ54" s="63">
        <f t="shared" si="48"/>
        <v>0</v>
      </c>
      <c r="AK54" s="64">
        <v>0</v>
      </c>
      <c r="AL54" s="63">
        <f t="shared" si="49"/>
        <v>0</v>
      </c>
      <c r="AM54" s="64">
        <v>0</v>
      </c>
      <c r="AN54" s="63">
        <f t="shared" si="50"/>
        <v>0</v>
      </c>
      <c r="AO54" s="64">
        <v>0</v>
      </c>
      <c r="AP54" s="63">
        <f t="shared" si="51"/>
        <v>0</v>
      </c>
      <c r="AQ54" s="64">
        <v>0</v>
      </c>
      <c r="AR54" s="63">
        <f t="shared" si="52"/>
        <v>0</v>
      </c>
      <c r="AS54" s="64">
        <v>0</v>
      </c>
      <c r="AT54" s="63">
        <f t="shared" si="53"/>
        <v>0</v>
      </c>
      <c r="AU54" s="64">
        <v>0</v>
      </c>
      <c r="AV54" s="63">
        <f t="shared" si="54"/>
        <v>0</v>
      </c>
      <c r="AW54" s="64">
        <v>0</v>
      </c>
      <c r="AX54" s="63">
        <f t="shared" si="55"/>
        <v>0</v>
      </c>
      <c r="AY54" s="64">
        <v>0</v>
      </c>
      <c r="AZ54" s="63">
        <f t="shared" si="56"/>
        <v>0</v>
      </c>
      <c r="BA54" s="64">
        <v>0</v>
      </c>
      <c r="BB54" s="63">
        <f t="shared" si="57"/>
        <v>0</v>
      </c>
      <c r="BC54" s="64">
        <v>0</v>
      </c>
      <c r="BD54" s="63">
        <f t="shared" si="58"/>
        <v>0</v>
      </c>
      <c r="BE54" s="64">
        <v>0</v>
      </c>
      <c r="BF54" s="63">
        <f t="shared" si="59"/>
        <v>0</v>
      </c>
      <c r="BG54" s="64">
        <v>0</v>
      </c>
      <c r="BH54" s="63">
        <f t="shared" si="60"/>
        <v>0</v>
      </c>
      <c r="BI54" s="64">
        <v>0</v>
      </c>
      <c r="BJ54" s="63">
        <f t="shared" si="61"/>
        <v>0</v>
      </c>
      <c r="BK54" s="64">
        <v>0</v>
      </c>
      <c r="BL54" s="63">
        <f t="shared" si="19"/>
        <v>0</v>
      </c>
      <c r="BM54" s="82">
        <f t="shared" si="34"/>
        <v>0</v>
      </c>
      <c r="BN54" s="83">
        <f t="shared" si="35"/>
        <v>0</v>
      </c>
    </row>
    <row r="55" spans="2:66" ht="14.45" hidden="1" customHeight="1" x14ac:dyDescent="0.25">
      <c r="B55" s="25" t="s">
        <v>4</v>
      </c>
      <c r="C55" s="25" t="s">
        <v>118</v>
      </c>
      <c r="D55" s="61">
        <v>0</v>
      </c>
      <c r="E55" s="28">
        <v>0</v>
      </c>
      <c r="F55" s="63">
        <f t="shared" si="38"/>
        <v>0</v>
      </c>
      <c r="G55" s="28">
        <v>0</v>
      </c>
      <c r="H55" s="63">
        <f t="shared" si="39"/>
        <v>0</v>
      </c>
      <c r="I55" s="28">
        <v>0</v>
      </c>
      <c r="J55" s="63">
        <f t="shared" si="40"/>
        <v>0</v>
      </c>
      <c r="K55" s="28">
        <v>0</v>
      </c>
      <c r="L55" s="63">
        <f t="shared" si="41"/>
        <v>0</v>
      </c>
      <c r="M55" s="28">
        <v>0</v>
      </c>
      <c r="N55" s="63">
        <f t="shared" si="42"/>
        <v>0</v>
      </c>
      <c r="O55" s="28">
        <v>0</v>
      </c>
      <c r="P55" s="63">
        <f t="shared" si="43"/>
        <v>0</v>
      </c>
      <c r="Q55" s="28">
        <v>0</v>
      </c>
      <c r="R55" s="63">
        <f t="shared" si="44"/>
        <v>0</v>
      </c>
      <c r="S55" s="28">
        <v>0</v>
      </c>
      <c r="T55" s="63">
        <f t="shared" si="45"/>
        <v>0</v>
      </c>
      <c r="U55" s="28">
        <v>0</v>
      </c>
      <c r="V55" s="63">
        <f t="shared" si="46"/>
        <v>0</v>
      </c>
      <c r="W55" s="28">
        <v>0</v>
      </c>
      <c r="X55" s="63">
        <f t="shared" si="47"/>
        <v>0</v>
      </c>
      <c r="Y55" s="28">
        <v>0</v>
      </c>
      <c r="Z55" s="63">
        <f t="shared" si="29"/>
        <v>0</v>
      </c>
      <c r="AA55" s="28">
        <v>0</v>
      </c>
      <c r="AB55" s="63">
        <f t="shared" si="30"/>
        <v>0</v>
      </c>
      <c r="AC55" s="28">
        <v>0</v>
      </c>
      <c r="AD55" s="63">
        <f t="shared" si="31"/>
        <v>0</v>
      </c>
      <c r="AE55" s="28">
        <v>0</v>
      </c>
      <c r="AF55" s="63">
        <f t="shared" si="32"/>
        <v>0</v>
      </c>
      <c r="AG55" s="28">
        <v>0</v>
      </c>
      <c r="AH55" s="63">
        <f t="shared" si="36"/>
        <v>0</v>
      </c>
      <c r="AI55" s="64">
        <v>0</v>
      </c>
      <c r="AJ55" s="63">
        <f t="shared" si="48"/>
        <v>0</v>
      </c>
      <c r="AK55" s="64">
        <v>0</v>
      </c>
      <c r="AL55" s="63">
        <f t="shared" si="49"/>
        <v>0</v>
      </c>
      <c r="AM55" s="64">
        <v>0</v>
      </c>
      <c r="AN55" s="63">
        <f t="shared" si="50"/>
        <v>0</v>
      </c>
      <c r="AO55" s="64">
        <v>0</v>
      </c>
      <c r="AP55" s="63">
        <f t="shared" si="51"/>
        <v>0</v>
      </c>
      <c r="AQ55" s="64">
        <v>0</v>
      </c>
      <c r="AR55" s="63">
        <f t="shared" si="52"/>
        <v>0</v>
      </c>
      <c r="AS55" s="64">
        <v>0</v>
      </c>
      <c r="AT55" s="63">
        <f t="shared" si="53"/>
        <v>0</v>
      </c>
      <c r="AU55" s="64">
        <v>0</v>
      </c>
      <c r="AV55" s="63">
        <f t="shared" si="54"/>
        <v>0</v>
      </c>
      <c r="AW55" s="64">
        <v>0</v>
      </c>
      <c r="AX55" s="63">
        <f t="shared" si="55"/>
        <v>0</v>
      </c>
      <c r="AY55" s="64">
        <v>0</v>
      </c>
      <c r="AZ55" s="63">
        <f t="shared" si="56"/>
        <v>0</v>
      </c>
      <c r="BA55" s="64">
        <v>0</v>
      </c>
      <c r="BB55" s="63">
        <f t="shared" si="57"/>
        <v>0</v>
      </c>
      <c r="BC55" s="64">
        <v>0</v>
      </c>
      <c r="BD55" s="63">
        <f t="shared" si="58"/>
        <v>0</v>
      </c>
      <c r="BE55" s="64">
        <v>0</v>
      </c>
      <c r="BF55" s="63">
        <f t="shared" si="59"/>
        <v>0</v>
      </c>
      <c r="BG55" s="64">
        <v>0</v>
      </c>
      <c r="BH55" s="63">
        <f t="shared" si="60"/>
        <v>0</v>
      </c>
      <c r="BI55" s="64">
        <v>0</v>
      </c>
      <c r="BJ55" s="63">
        <f t="shared" si="61"/>
        <v>0</v>
      </c>
      <c r="BK55" s="64">
        <v>0</v>
      </c>
      <c r="BL55" s="63">
        <f t="shared" si="19"/>
        <v>0</v>
      </c>
      <c r="BM55" s="82">
        <f t="shared" si="34"/>
        <v>0</v>
      </c>
      <c r="BN55" s="83">
        <f t="shared" si="35"/>
        <v>0</v>
      </c>
    </row>
    <row r="56" spans="2:66" ht="14.45" hidden="1" customHeight="1" x14ac:dyDescent="0.25">
      <c r="B56" s="25" t="s">
        <v>4</v>
      </c>
      <c r="C56" s="25" t="s">
        <v>118</v>
      </c>
      <c r="D56" s="61">
        <v>0</v>
      </c>
      <c r="E56" s="28">
        <v>0</v>
      </c>
      <c r="F56" s="63">
        <f t="shared" si="38"/>
        <v>0</v>
      </c>
      <c r="G56" s="28">
        <v>0</v>
      </c>
      <c r="H56" s="63">
        <f t="shared" si="39"/>
        <v>0</v>
      </c>
      <c r="I56" s="28">
        <v>0</v>
      </c>
      <c r="J56" s="63">
        <f t="shared" si="40"/>
        <v>0</v>
      </c>
      <c r="K56" s="28">
        <v>0</v>
      </c>
      <c r="L56" s="63">
        <f t="shared" si="41"/>
        <v>0</v>
      </c>
      <c r="M56" s="28">
        <v>0</v>
      </c>
      <c r="N56" s="63">
        <f t="shared" si="42"/>
        <v>0</v>
      </c>
      <c r="O56" s="28">
        <v>0</v>
      </c>
      <c r="P56" s="63">
        <f t="shared" si="43"/>
        <v>0</v>
      </c>
      <c r="Q56" s="28">
        <v>0</v>
      </c>
      <c r="R56" s="63">
        <f t="shared" si="44"/>
        <v>0</v>
      </c>
      <c r="S56" s="28">
        <v>0</v>
      </c>
      <c r="T56" s="63">
        <f t="shared" si="45"/>
        <v>0</v>
      </c>
      <c r="U56" s="28">
        <v>0</v>
      </c>
      <c r="V56" s="63">
        <f t="shared" si="46"/>
        <v>0</v>
      </c>
      <c r="W56" s="28">
        <v>0</v>
      </c>
      <c r="X56" s="63">
        <f t="shared" si="47"/>
        <v>0</v>
      </c>
      <c r="Y56" s="28">
        <v>0</v>
      </c>
      <c r="Z56" s="63">
        <f t="shared" si="29"/>
        <v>0</v>
      </c>
      <c r="AA56" s="28">
        <v>0</v>
      </c>
      <c r="AB56" s="63">
        <f t="shared" si="30"/>
        <v>0</v>
      </c>
      <c r="AC56" s="28">
        <v>0</v>
      </c>
      <c r="AD56" s="63">
        <f t="shared" si="31"/>
        <v>0</v>
      </c>
      <c r="AE56" s="28">
        <v>0</v>
      </c>
      <c r="AF56" s="63">
        <f t="shared" si="32"/>
        <v>0</v>
      </c>
      <c r="AG56" s="28">
        <v>0</v>
      </c>
      <c r="AH56" s="63">
        <f t="shared" si="36"/>
        <v>0</v>
      </c>
      <c r="AI56" s="64">
        <v>0</v>
      </c>
      <c r="AJ56" s="63">
        <f t="shared" si="48"/>
        <v>0</v>
      </c>
      <c r="AK56" s="64">
        <v>0</v>
      </c>
      <c r="AL56" s="63">
        <f t="shared" si="49"/>
        <v>0</v>
      </c>
      <c r="AM56" s="64">
        <v>0</v>
      </c>
      <c r="AN56" s="63">
        <f t="shared" si="50"/>
        <v>0</v>
      </c>
      <c r="AO56" s="64">
        <v>0</v>
      </c>
      <c r="AP56" s="63">
        <f t="shared" si="51"/>
        <v>0</v>
      </c>
      <c r="AQ56" s="64">
        <v>0</v>
      </c>
      <c r="AR56" s="63">
        <f t="shared" si="52"/>
        <v>0</v>
      </c>
      <c r="AS56" s="64">
        <v>0</v>
      </c>
      <c r="AT56" s="63">
        <f t="shared" si="53"/>
        <v>0</v>
      </c>
      <c r="AU56" s="64">
        <v>0</v>
      </c>
      <c r="AV56" s="63">
        <f t="shared" si="54"/>
        <v>0</v>
      </c>
      <c r="AW56" s="64">
        <v>0</v>
      </c>
      <c r="AX56" s="63">
        <f t="shared" si="55"/>
        <v>0</v>
      </c>
      <c r="AY56" s="64">
        <v>0</v>
      </c>
      <c r="AZ56" s="63">
        <f t="shared" si="56"/>
        <v>0</v>
      </c>
      <c r="BA56" s="64">
        <v>0</v>
      </c>
      <c r="BB56" s="63">
        <f t="shared" si="57"/>
        <v>0</v>
      </c>
      <c r="BC56" s="64">
        <v>0</v>
      </c>
      <c r="BD56" s="63">
        <f t="shared" si="58"/>
        <v>0</v>
      </c>
      <c r="BE56" s="64">
        <v>0</v>
      </c>
      <c r="BF56" s="63">
        <f t="shared" si="59"/>
        <v>0</v>
      </c>
      <c r="BG56" s="64">
        <v>0</v>
      </c>
      <c r="BH56" s="63">
        <f t="shared" si="60"/>
        <v>0</v>
      </c>
      <c r="BI56" s="64">
        <v>0</v>
      </c>
      <c r="BJ56" s="63">
        <f t="shared" si="61"/>
        <v>0</v>
      </c>
      <c r="BK56" s="64">
        <v>0</v>
      </c>
      <c r="BL56" s="63">
        <f t="shared" si="19"/>
        <v>0</v>
      </c>
      <c r="BM56" s="82">
        <f t="shared" si="34"/>
        <v>0</v>
      </c>
      <c r="BN56" s="83">
        <f t="shared" si="35"/>
        <v>0</v>
      </c>
    </row>
    <row r="57" spans="2:66" ht="14.45" hidden="1" customHeight="1" x14ac:dyDescent="0.25">
      <c r="B57" s="25" t="s">
        <v>4</v>
      </c>
      <c r="C57" s="25" t="s">
        <v>118</v>
      </c>
      <c r="D57" s="61">
        <v>0</v>
      </c>
      <c r="E57" s="28">
        <v>0</v>
      </c>
      <c r="F57" s="63">
        <f t="shared" si="38"/>
        <v>0</v>
      </c>
      <c r="G57" s="28">
        <v>0</v>
      </c>
      <c r="H57" s="63">
        <f t="shared" si="39"/>
        <v>0</v>
      </c>
      <c r="I57" s="28">
        <v>0</v>
      </c>
      <c r="J57" s="63">
        <f t="shared" si="40"/>
        <v>0</v>
      </c>
      <c r="K57" s="28">
        <v>0</v>
      </c>
      <c r="L57" s="63">
        <f t="shared" si="41"/>
        <v>0</v>
      </c>
      <c r="M57" s="28">
        <v>0</v>
      </c>
      <c r="N57" s="63">
        <f t="shared" si="42"/>
        <v>0</v>
      </c>
      <c r="O57" s="28">
        <v>0</v>
      </c>
      <c r="P57" s="63">
        <f t="shared" si="43"/>
        <v>0</v>
      </c>
      <c r="Q57" s="28">
        <v>0</v>
      </c>
      <c r="R57" s="63">
        <f t="shared" si="44"/>
        <v>0</v>
      </c>
      <c r="S57" s="28">
        <v>0</v>
      </c>
      <c r="T57" s="63">
        <f t="shared" si="45"/>
        <v>0</v>
      </c>
      <c r="U57" s="28">
        <v>0</v>
      </c>
      <c r="V57" s="63">
        <f t="shared" si="46"/>
        <v>0</v>
      </c>
      <c r="W57" s="28">
        <v>0</v>
      </c>
      <c r="X57" s="63">
        <f t="shared" si="47"/>
        <v>0</v>
      </c>
      <c r="Y57" s="28">
        <v>0</v>
      </c>
      <c r="Z57" s="63">
        <f t="shared" si="29"/>
        <v>0</v>
      </c>
      <c r="AA57" s="28">
        <v>0</v>
      </c>
      <c r="AB57" s="63">
        <f t="shared" si="30"/>
        <v>0</v>
      </c>
      <c r="AC57" s="28">
        <v>0</v>
      </c>
      <c r="AD57" s="63">
        <f t="shared" si="31"/>
        <v>0</v>
      </c>
      <c r="AE57" s="28">
        <v>0</v>
      </c>
      <c r="AF57" s="63">
        <f t="shared" si="32"/>
        <v>0</v>
      </c>
      <c r="AG57" s="28">
        <v>0</v>
      </c>
      <c r="AH57" s="63">
        <f t="shared" si="36"/>
        <v>0</v>
      </c>
      <c r="AI57" s="64">
        <v>0</v>
      </c>
      <c r="AJ57" s="63">
        <f t="shared" si="48"/>
        <v>0</v>
      </c>
      <c r="AK57" s="64">
        <v>0</v>
      </c>
      <c r="AL57" s="63">
        <f t="shared" si="49"/>
        <v>0</v>
      </c>
      <c r="AM57" s="64">
        <v>0</v>
      </c>
      <c r="AN57" s="63">
        <f t="shared" si="50"/>
        <v>0</v>
      </c>
      <c r="AO57" s="64">
        <v>0</v>
      </c>
      <c r="AP57" s="63">
        <f t="shared" si="51"/>
        <v>0</v>
      </c>
      <c r="AQ57" s="64">
        <v>0</v>
      </c>
      <c r="AR57" s="63">
        <f t="shared" si="52"/>
        <v>0</v>
      </c>
      <c r="AS57" s="64">
        <v>0</v>
      </c>
      <c r="AT57" s="63">
        <f t="shared" si="53"/>
        <v>0</v>
      </c>
      <c r="AU57" s="64">
        <v>0</v>
      </c>
      <c r="AV57" s="63">
        <f t="shared" si="54"/>
        <v>0</v>
      </c>
      <c r="AW57" s="64">
        <v>0</v>
      </c>
      <c r="AX57" s="63">
        <f t="shared" si="55"/>
        <v>0</v>
      </c>
      <c r="AY57" s="64">
        <v>0</v>
      </c>
      <c r="AZ57" s="63">
        <f t="shared" si="56"/>
        <v>0</v>
      </c>
      <c r="BA57" s="64">
        <v>0</v>
      </c>
      <c r="BB57" s="63">
        <f t="shared" si="57"/>
        <v>0</v>
      </c>
      <c r="BC57" s="64">
        <v>0</v>
      </c>
      <c r="BD57" s="63">
        <f t="shared" si="58"/>
        <v>0</v>
      </c>
      <c r="BE57" s="64">
        <v>0</v>
      </c>
      <c r="BF57" s="63">
        <f t="shared" si="59"/>
        <v>0</v>
      </c>
      <c r="BG57" s="64">
        <v>0</v>
      </c>
      <c r="BH57" s="63">
        <f t="shared" si="60"/>
        <v>0</v>
      </c>
      <c r="BI57" s="64">
        <v>0</v>
      </c>
      <c r="BJ57" s="63">
        <f t="shared" si="61"/>
        <v>0</v>
      </c>
      <c r="BK57" s="64">
        <v>0</v>
      </c>
      <c r="BL57" s="63">
        <f t="shared" si="19"/>
        <v>0</v>
      </c>
      <c r="BM57" s="82">
        <f t="shared" si="34"/>
        <v>0</v>
      </c>
      <c r="BN57" s="83">
        <f t="shared" si="35"/>
        <v>0</v>
      </c>
    </row>
    <row r="58" spans="2:66" ht="14.45" hidden="1" customHeight="1" x14ac:dyDescent="0.25">
      <c r="B58" s="25" t="s">
        <v>4</v>
      </c>
      <c r="C58" s="25" t="s">
        <v>118</v>
      </c>
      <c r="D58" s="61">
        <v>0</v>
      </c>
      <c r="E58" s="28">
        <v>0</v>
      </c>
      <c r="F58" s="63">
        <f t="shared" si="38"/>
        <v>0</v>
      </c>
      <c r="G58" s="28">
        <v>0</v>
      </c>
      <c r="H58" s="63">
        <f t="shared" si="39"/>
        <v>0</v>
      </c>
      <c r="I58" s="28">
        <v>0</v>
      </c>
      <c r="J58" s="63">
        <f t="shared" si="40"/>
        <v>0</v>
      </c>
      <c r="K58" s="28">
        <v>0</v>
      </c>
      <c r="L58" s="63">
        <f t="shared" si="41"/>
        <v>0</v>
      </c>
      <c r="M58" s="28">
        <v>0</v>
      </c>
      <c r="N58" s="63">
        <f t="shared" si="42"/>
        <v>0</v>
      </c>
      <c r="O58" s="28">
        <v>0</v>
      </c>
      <c r="P58" s="63">
        <f t="shared" si="43"/>
        <v>0</v>
      </c>
      <c r="Q58" s="28">
        <v>0</v>
      </c>
      <c r="R58" s="63">
        <f t="shared" si="44"/>
        <v>0</v>
      </c>
      <c r="S58" s="28">
        <v>0</v>
      </c>
      <c r="T58" s="63">
        <f t="shared" si="45"/>
        <v>0</v>
      </c>
      <c r="U58" s="28">
        <v>0</v>
      </c>
      <c r="V58" s="63">
        <f t="shared" si="46"/>
        <v>0</v>
      </c>
      <c r="W58" s="28">
        <v>0</v>
      </c>
      <c r="X58" s="63">
        <f t="shared" si="47"/>
        <v>0</v>
      </c>
      <c r="Y58" s="28">
        <v>0</v>
      </c>
      <c r="Z58" s="63">
        <f t="shared" si="29"/>
        <v>0</v>
      </c>
      <c r="AA58" s="28">
        <v>0</v>
      </c>
      <c r="AB58" s="63">
        <f t="shared" si="30"/>
        <v>0</v>
      </c>
      <c r="AC58" s="28">
        <v>0</v>
      </c>
      <c r="AD58" s="63">
        <f t="shared" si="31"/>
        <v>0</v>
      </c>
      <c r="AE58" s="28">
        <v>0</v>
      </c>
      <c r="AF58" s="63">
        <f t="shared" si="32"/>
        <v>0</v>
      </c>
      <c r="AG58" s="28">
        <v>0</v>
      </c>
      <c r="AH58" s="63">
        <f t="shared" si="36"/>
        <v>0</v>
      </c>
      <c r="AI58" s="64">
        <v>0</v>
      </c>
      <c r="AJ58" s="63">
        <f t="shared" si="48"/>
        <v>0</v>
      </c>
      <c r="AK58" s="64">
        <v>0</v>
      </c>
      <c r="AL58" s="63">
        <f t="shared" si="49"/>
        <v>0</v>
      </c>
      <c r="AM58" s="64">
        <v>0</v>
      </c>
      <c r="AN58" s="63">
        <f t="shared" si="50"/>
        <v>0</v>
      </c>
      <c r="AO58" s="64">
        <v>0</v>
      </c>
      <c r="AP58" s="63">
        <f t="shared" si="51"/>
        <v>0</v>
      </c>
      <c r="AQ58" s="64">
        <v>0</v>
      </c>
      <c r="AR58" s="63">
        <f t="shared" si="52"/>
        <v>0</v>
      </c>
      <c r="AS58" s="64">
        <v>0</v>
      </c>
      <c r="AT58" s="63">
        <f t="shared" si="53"/>
        <v>0</v>
      </c>
      <c r="AU58" s="64">
        <v>0</v>
      </c>
      <c r="AV58" s="63">
        <f t="shared" si="54"/>
        <v>0</v>
      </c>
      <c r="AW58" s="64">
        <v>0</v>
      </c>
      <c r="AX58" s="63">
        <f t="shared" si="55"/>
        <v>0</v>
      </c>
      <c r="AY58" s="64">
        <v>0</v>
      </c>
      <c r="AZ58" s="63">
        <f t="shared" si="56"/>
        <v>0</v>
      </c>
      <c r="BA58" s="64">
        <v>0</v>
      </c>
      <c r="BB58" s="63">
        <f t="shared" si="57"/>
        <v>0</v>
      </c>
      <c r="BC58" s="64">
        <v>0</v>
      </c>
      <c r="BD58" s="63">
        <f t="shared" si="58"/>
        <v>0</v>
      </c>
      <c r="BE58" s="64">
        <v>0</v>
      </c>
      <c r="BF58" s="63">
        <f t="shared" si="59"/>
        <v>0</v>
      </c>
      <c r="BG58" s="64">
        <v>0</v>
      </c>
      <c r="BH58" s="63">
        <f t="shared" si="60"/>
        <v>0</v>
      </c>
      <c r="BI58" s="64">
        <v>0</v>
      </c>
      <c r="BJ58" s="63">
        <f t="shared" si="61"/>
        <v>0</v>
      </c>
      <c r="BK58" s="64">
        <v>0</v>
      </c>
      <c r="BL58" s="63">
        <f t="shared" si="19"/>
        <v>0</v>
      </c>
      <c r="BM58" s="82">
        <f t="shared" si="34"/>
        <v>0</v>
      </c>
      <c r="BN58" s="83">
        <f t="shared" si="35"/>
        <v>0</v>
      </c>
    </row>
    <row r="59" spans="2:66" ht="14.45" hidden="1" customHeight="1" x14ac:dyDescent="0.25">
      <c r="B59" s="25" t="s">
        <v>4</v>
      </c>
      <c r="C59" s="25" t="s">
        <v>118</v>
      </c>
      <c r="D59" s="61">
        <v>0</v>
      </c>
      <c r="E59" s="28">
        <v>0</v>
      </c>
      <c r="F59" s="63">
        <f>IF(ISERROR(E59*$D59), "$0", E59*$D59)</f>
        <v>0</v>
      </c>
      <c r="G59" s="28">
        <v>0</v>
      </c>
      <c r="H59" s="63">
        <f>IF(ISERROR(G59*$D59), "$0", G59*$D59)</f>
        <v>0</v>
      </c>
      <c r="I59" s="28">
        <v>0</v>
      </c>
      <c r="J59" s="63">
        <f>IF(ISERROR(I59*$D59), "$0", I59*$D59)</f>
        <v>0</v>
      </c>
      <c r="K59" s="28">
        <v>0</v>
      </c>
      <c r="L59" s="63">
        <f>IF(ISERROR(K59*$D59), "$0", K59*$D59)</f>
        <v>0</v>
      </c>
      <c r="M59" s="28">
        <v>0</v>
      </c>
      <c r="N59" s="63">
        <f>IF(ISERROR(M59*$D59), "$0", M59*$D59)</f>
        <v>0</v>
      </c>
      <c r="O59" s="28">
        <v>0</v>
      </c>
      <c r="P59" s="63">
        <f>IF(ISERROR(O59*$D59), "$0", O59*$D59)</f>
        <v>0</v>
      </c>
      <c r="Q59" s="28">
        <v>0</v>
      </c>
      <c r="R59" s="63">
        <f>IF(ISERROR(Q59*$D59), "$0", Q59*$D59)</f>
        <v>0</v>
      </c>
      <c r="S59" s="28">
        <v>0</v>
      </c>
      <c r="T59" s="63">
        <f>IF(ISERROR(S59*$D59), "$0", S59*$D59)</f>
        <v>0</v>
      </c>
      <c r="U59" s="28">
        <v>0</v>
      </c>
      <c r="V59" s="63">
        <f>IF(ISERROR(U59*$D59), "$0", U59*$D59)</f>
        <v>0</v>
      </c>
      <c r="W59" s="28">
        <v>0</v>
      </c>
      <c r="X59" s="63">
        <f>IF(ISERROR(W59*$D59), "$0", W59*$D59)</f>
        <v>0</v>
      </c>
      <c r="Y59" s="28">
        <v>0</v>
      </c>
      <c r="Z59" s="63">
        <f t="shared" si="29"/>
        <v>0</v>
      </c>
      <c r="AA59" s="28">
        <v>0</v>
      </c>
      <c r="AB59" s="63">
        <f t="shared" si="30"/>
        <v>0</v>
      </c>
      <c r="AC59" s="28">
        <v>0</v>
      </c>
      <c r="AD59" s="63">
        <f t="shared" si="31"/>
        <v>0</v>
      </c>
      <c r="AE59" s="28">
        <v>0</v>
      </c>
      <c r="AF59" s="63">
        <f t="shared" si="32"/>
        <v>0</v>
      </c>
      <c r="AG59" s="28">
        <v>0</v>
      </c>
      <c r="AH59" s="63">
        <f t="shared" si="36"/>
        <v>0</v>
      </c>
      <c r="AI59" s="64">
        <v>0</v>
      </c>
      <c r="AJ59" s="63">
        <f t="shared" si="48"/>
        <v>0</v>
      </c>
      <c r="AK59" s="64">
        <v>0</v>
      </c>
      <c r="AL59" s="63">
        <f t="shared" si="49"/>
        <v>0</v>
      </c>
      <c r="AM59" s="64">
        <v>0</v>
      </c>
      <c r="AN59" s="63">
        <f t="shared" si="50"/>
        <v>0</v>
      </c>
      <c r="AO59" s="64">
        <v>0</v>
      </c>
      <c r="AP59" s="63">
        <f t="shared" si="51"/>
        <v>0</v>
      </c>
      <c r="AQ59" s="64">
        <v>0</v>
      </c>
      <c r="AR59" s="63">
        <f t="shared" si="52"/>
        <v>0</v>
      </c>
      <c r="AS59" s="64">
        <v>0</v>
      </c>
      <c r="AT59" s="63">
        <f t="shared" si="53"/>
        <v>0</v>
      </c>
      <c r="AU59" s="64">
        <v>0</v>
      </c>
      <c r="AV59" s="63">
        <f t="shared" si="54"/>
        <v>0</v>
      </c>
      <c r="AW59" s="64">
        <v>0</v>
      </c>
      <c r="AX59" s="63">
        <f t="shared" si="55"/>
        <v>0</v>
      </c>
      <c r="AY59" s="64">
        <v>0</v>
      </c>
      <c r="AZ59" s="63">
        <f t="shared" si="56"/>
        <v>0</v>
      </c>
      <c r="BA59" s="64">
        <v>0</v>
      </c>
      <c r="BB59" s="63">
        <f t="shared" si="57"/>
        <v>0</v>
      </c>
      <c r="BC59" s="64">
        <v>0</v>
      </c>
      <c r="BD59" s="63">
        <f t="shared" si="58"/>
        <v>0</v>
      </c>
      <c r="BE59" s="64">
        <v>0</v>
      </c>
      <c r="BF59" s="63">
        <f t="shared" si="59"/>
        <v>0</v>
      </c>
      <c r="BG59" s="64">
        <v>0</v>
      </c>
      <c r="BH59" s="63">
        <f t="shared" si="60"/>
        <v>0</v>
      </c>
      <c r="BI59" s="64">
        <v>0</v>
      </c>
      <c r="BJ59" s="63">
        <f t="shared" si="61"/>
        <v>0</v>
      </c>
      <c r="BK59" s="64">
        <v>0</v>
      </c>
      <c r="BL59" s="63">
        <f t="shared" si="19"/>
        <v>0</v>
      </c>
      <c r="BM59" s="82">
        <f t="shared" si="34"/>
        <v>0</v>
      </c>
      <c r="BN59" s="83">
        <f t="shared" si="35"/>
        <v>0</v>
      </c>
    </row>
    <row r="60" spans="2:66" ht="14.45" hidden="1" customHeight="1" x14ac:dyDescent="0.25">
      <c r="B60" s="25" t="s">
        <v>4</v>
      </c>
      <c r="C60" s="25" t="s">
        <v>118</v>
      </c>
      <c r="D60" s="61">
        <v>0</v>
      </c>
      <c r="E60" s="28">
        <v>0</v>
      </c>
      <c r="F60" s="63">
        <f>IF(ISERROR(E60*$D60), "$0", E60*$D60)</f>
        <v>0</v>
      </c>
      <c r="G60" s="28">
        <v>0</v>
      </c>
      <c r="H60" s="63">
        <f>IF(ISERROR(G60*$D60), "$0", G60*$D60)</f>
        <v>0</v>
      </c>
      <c r="I60" s="28">
        <v>0</v>
      </c>
      <c r="J60" s="63">
        <f>IF(ISERROR(I60*$D60), "$0", I60*$D60)</f>
        <v>0</v>
      </c>
      <c r="K60" s="28">
        <v>0</v>
      </c>
      <c r="L60" s="63">
        <f>IF(ISERROR(K60*$D60), "$0", K60*$D60)</f>
        <v>0</v>
      </c>
      <c r="M60" s="28">
        <v>0</v>
      </c>
      <c r="N60" s="63">
        <f>IF(ISERROR(M60*$D60), "$0", M60*$D60)</f>
        <v>0</v>
      </c>
      <c r="O60" s="28">
        <v>0</v>
      </c>
      <c r="P60" s="63">
        <f>IF(ISERROR(O60*$D60), "$0", O60*$D60)</f>
        <v>0</v>
      </c>
      <c r="Q60" s="28">
        <v>0</v>
      </c>
      <c r="R60" s="63">
        <f>IF(ISERROR(Q60*$D60), "$0", Q60*$D60)</f>
        <v>0</v>
      </c>
      <c r="S60" s="28">
        <v>0</v>
      </c>
      <c r="T60" s="63">
        <f>IF(ISERROR(S60*$D60), "$0", S60*$D60)</f>
        <v>0</v>
      </c>
      <c r="U60" s="28">
        <v>0</v>
      </c>
      <c r="V60" s="63">
        <f>IF(ISERROR(U60*$D60), "$0", U60*$D60)</f>
        <v>0</v>
      </c>
      <c r="W60" s="28">
        <v>0</v>
      </c>
      <c r="X60" s="63">
        <f>IF(ISERROR(W60*$D60), "$0", W60*$D60)</f>
        <v>0</v>
      </c>
      <c r="Y60" s="28">
        <v>0</v>
      </c>
      <c r="Z60" s="63">
        <f t="shared" si="29"/>
        <v>0</v>
      </c>
      <c r="AA60" s="28">
        <v>0</v>
      </c>
      <c r="AB60" s="63">
        <f t="shared" si="30"/>
        <v>0</v>
      </c>
      <c r="AC60" s="28">
        <v>0</v>
      </c>
      <c r="AD60" s="63">
        <f t="shared" si="31"/>
        <v>0</v>
      </c>
      <c r="AE60" s="28">
        <v>0</v>
      </c>
      <c r="AF60" s="63">
        <f t="shared" si="32"/>
        <v>0</v>
      </c>
      <c r="AG60" s="28">
        <v>0</v>
      </c>
      <c r="AH60" s="63">
        <f t="shared" si="36"/>
        <v>0</v>
      </c>
      <c r="AI60" s="64">
        <v>0</v>
      </c>
      <c r="AJ60" s="63">
        <f t="shared" si="48"/>
        <v>0</v>
      </c>
      <c r="AK60" s="64">
        <v>0</v>
      </c>
      <c r="AL60" s="63">
        <f t="shared" si="49"/>
        <v>0</v>
      </c>
      <c r="AM60" s="64">
        <v>0</v>
      </c>
      <c r="AN60" s="63">
        <f t="shared" si="50"/>
        <v>0</v>
      </c>
      <c r="AO60" s="64">
        <v>0</v>
      </c>
      <c r="AP60" s="63">
        <f t="shared" si="51"/>
        <v>0</v>
      </c>
      <c r="AQ60" s="64">
        <v>0</v>
      </c>
      <c r="AR60" s="63">
        <f t="shared" si="52"/>
        <v>0</v>
      </c>
      <c r="AS60" s="64">
        <v>0</v>
      </c>
      <c r="AT60" s="63">
        <f t="shared" si="53"/>
        <v>0</v>
      </c>
      <c r="AU60" s="64">
        <v>0</v>
      </c>
      <c r="AV60" s="63">
        <f t="shared" si="54"/>
        <v>0</v>
      </c>
      <c r="AW60" s="64">
        <v>0</v>
      </c>
      <c r="AX60" s="63">
        <f t="shared" si="55"/>
        <v>0</v>
      </c>
      <c r="AY60" s="64">
        <v>0</v>
      </c>
      <c r="AZ60" s="63">
        <f t="shared" si="56"/>
        <v>0</v>
      </c>
      <c r="BA60" s="64">
        <v>0</v>
      </c>
      <c r="BB60" s="63">
        <f t="shared" si="57"/>
        <v>0</v>
      </c>
      <c r="BC60" s="64">
        <v>0</v>
      </c>
      <c r="BD60" s="63">
        <f t="shared" si="58"/>
        <v>0</v>
      </c>
      <c r="BE60" s="64">
        <v>0</v>
      </c>
      <c r="BF60" s="63">
        <f t="shared" si="59"/>
        <v>0</v>
      </c>
      <c r="BG60" s="64">
        <v>0</v>
      </c>
      <c r="BH60" s="63">
        <f t="shared" si="60"/>
        <v>0</v>
      </c>
      <c r="BI60" s="64">
        <v>0</v>
      </c>
      <c r="BJ60" s="63">
        <f t="shared" si="61"/>
        <v>0</v>
      </c>
      <c r="BK60" s="64">
        <v>0</v>
      </c>
      <c r="BL60" s="63">
        <f t="shared" si="19"/>
        <v>0</v>
      </c>
      <c r="BM60" s="82">
        <f t="shared" si="34"/>
        <v>0</v>
      </c>
      <c r="BN60" s="83">
        <f t="shared" si="35"/>
        <v>0</v>
      </c>
    </row>
    <row r="61" spans="2:66" ht="14.45" hidden="1" customHeight="1" x14ac:dyDescent="0.25">
      <c r="B61" s="25" t="s">
        <v>4</v>
      </c>
      <c r="C61" s="25" t="s">
        <v>118</v>
      </c>
      <c r="D61" s="61">
        <v>0</v>
      </c>
      <c r="E61" s="28">
        <v>0</v>
      </c>
      <c r="F61" s="63">
        <f>IF(ISERROR(E61*$D61), "$0", E61*$D61)</f>
        <v>0</v>
      </c>
      <c r="G61" s="28">
        <v>0</v>
      </c>
      <c r="H61" s="63">
        <f>IF(ISERROR(G61*$D61), "$0", G61*$D61)</f>
        <v>0</v>
      </c>
      <c r="I61" s="28">
        <v>0</v>
      </c>
      <c r="J61" s="63">
        <f>IF(ISERROR(I61*$D61), "$0", I61*$D61)</f>
        <v>0</v>
      </c>
      <c r="K61" s="28">
        <v>0</v>
      </c>
      <c r="L61" s="63">
        <f>IF(ISERROR(K61*$D61), "$0", K61*$D61)</f>
        <v>0</v>
      </c>
      <c r="M61" s="28">
        <v>0</v>
      </c>
      <c r="N61" s="63">
        <f>IF(ISERROR(M61*$D61), "$0", M61*$D61)</f>
        <v>0</v>
      </c>
      <c r="O61" s="28">
        <v>0</v>
      </c>
      <c r="P61" s="63">
        <f>IF(ISERROR(O61*$D61), "$0", O61*$D61)</f>
        <v>0</v>
      </c>
      <c r="Q61" s="28">
        <v>0</v>
      </c>
      <c r="R61" s="63">
        <f>IF(ISERROR(Q61*$D61), "$0", Q61*$D61)</f>
        <v>0</v>
      </c>
      <c r="S61" s="28">
        <v>0</v>
      </c>
      <c r="T61" s="63">
        <f>IF(ISERROR(S61*$D61), "$0", S61*$D61)</f>
        <v>0</v>
      </c>
      <c r="U61" s="28">
        <v>0</v>
      </c>
      <c r="V61" s="63">
        <f>IF(ISERROR(U61*$D61), "$0", U61*$D61)</f>
        <v>0</v>
      </c>
      <c r="W61" s="28">
        <v>0</v>
      </c>
      <c r="X61" s="63">
        <f>IF(ISERROR(W61*$D61), "$0", W61*$D61)</f>
        <v>0</v>
      </c>
      <c r="Y61" s="28">
        <v>0</v>
      </c>
      <c r="Z61" s="63">
        <f t="shared" si="29"/>
        <v>0</v>
      </c>
      <c r="AA61" s="28">
        <v>0</v>
      </c>
      <c r="AB61" s="63">
        <f t="shared" si="30"/>
        <v>0</v>
      </c>
      <c r="AC61" s="28">
        <v>0</v>
      </c>
      <c r="AD61" s="63">
        <f t="shared" si="31"/>
        <v>0</v>
      </c>
      <c r="AE61" s="28">
        <v>0</v>
      </c>
      <c r="AF61" s="63">
        <f t="shared" si="32"/>
        <v>0</v>
      </c>
      <c r="AG61" s="28">
        <v>0</v>
      </c>
      <c r="AH61" s="63">
        <f t="shared" si="36"/>
        <v>0</v>
      </c>
      <c r="AI61" s="64">
        <v>0</v>
      </c>
      <c r="AJ61" s="63">
        <f t="shared" si="48"/>
        <v>0</v>
      </c>
      <c r="AK61" s="64">
        <v>0</v>
      </c>
      <c r="AL61" s="63">
        <f t="shared" si="49"/>
        <v>0</v>
      </c>
      <c r="AM61" s="64">
        <v>0</v>
      </c>
      <c r="AN61" s="63">
        <f t="shared" si="50"/>
        <v>0</v>
      </c>
      <c r="AO61" s="64">
        <v>0</v>
      </c>
      <c r="AP61" s="63">
        <f t="shared" si="51"/>
        <v>0</v>
      </c>
      <c r="AQ61" s="64">
        <v>0</v>
      </c>
      <c r="AR61" s="63">
        <f t="shared" si="52"/>
        <v>0</v>
      </c>
      <c r="AS61" s="64">
        <v>0</v>
      </c>
      <c r="AT61" s="63">
        <f t="shared" si="53"/>
        <v>0</v>
      </c>
      <c r="AU61" s="64">
        <v>0</v>
      </c>
      <c r="AV61" s="63">
        <f t="shared" si="54"/>
        <v>0</v>
      </c>
      <c r="AW61" s="64">
        <v>0</v>
      </c>
      <c r="AX61" s="63">
        <f t="shared" si="55"/>
        <v>0</v>
      </c>
      <c r="AY61" s="64">
        <v>0</v>
      </c>
      <c r="AZ61" s="63">
        <f t="shared" si="56"/>
        <v>0</v>
      </c>
      <c r="BA61" s="64">
        <v>0</v>
      </c>
      <c r="BB61" s="63">
        <f t="shared" si="57"/>
        <v>0</v>
      </c>
      <c r="BC61" s="64">
        <v>0</v>
      </c>
      <c r="BD61" s="63">
        <f t="shared" si="58"/>
        <v>0</v>
      </c>
      <c r="BE61" s="64">
        <v>0</v>
      </c>
      <c r="BF61" s="63">
        <f t="shared" si="59"/>
        <v>0</v>
      </c>
      <c r="BG61" s="64">
        <v>0</v>
      </c>
      <c r="BH61" s="63">
        <f t="shared" si="60"/>
        <v>0</v>
      </c>
      <c r="BI61" s="64">
        <v>0</v>
      </c>
      <c r="BJ61" s="63">
        <f t="shared" si="61"/>
        <v>0</v>
      </c>
      <c r="BK61" s="64">
        <v>0</v>
      </c>
      <c r="BL61" s="63">
        <f t="shared" si="19"/>
        <v>0</v>
      </c>
      <c r="BM61" s="82">
        <f t="shared" si="34"/>
        <v>0</v>
      </c>
      <c r="BN61" s="83">
        <f t="shared" si="35"/>
        <v>0</v>
      </c>
    </row>
    <row r="62" spans="2:66" ht="13.5" hidden="1" customHeight="1" x14ac:dyDescent="0.25">
      <c r="B62" s="25" t="s">
        <v>4</v>
      </c>
      <c r="C62" s="25" t="s">
        <v>118</v>
      </c>
      <c r="D62" s="61">
        <v>0</v>
      </c>
      <c r="E62" s="28">
        <v>0</v>
      </c>
      <c r="F62" s="63">
        <f t="shared" si="38"/>
        <v>0</v>
      </c>
      <c r="G62" s="28">
        <v>0</v>
      </c>
      <c r="H62" s="63">
        <f t="shared" si="39"/>
        <v>0</v>
      </c>
      <c r="I62" s="28">
        <v>0</v>
      </c>
      <c r="J62" s="63">
        <f t="shared" si="40"/>
        <v>0</v>
      </c>
      <c r="K62" s="28">
        <v>0</v>
      </c>
      <c r="L62" s="63">
        <f t="shared" si="41"/>
        <v>0</v>
      </c>
      <c r="M62" s="28">
        <v>0</v>
      </c>
      <c r="N62" s="63">
        <f t="shared" si="42"/>
        <v>0</v>
      </c>
      <c r="O62" s="28">
        <v>0</v>
      </c>
      <c r="P62" s="63">
        <f t="shared" si="43"/>
        <v>0</v>
      </c>
      <c r="Q62" s="28">
        <v>0</v>
      </c>
      <c r="R62" s="63">
        <f t="shared" si="44"/>
        <v>0</v>
      </c>
      <c r="S62" s="28">
        <v>0</v>
      </c>
      <c r="T62" s="63">
        <f t="shared" si="45"/>
        <v>0</v>
      </c>
      <c r="U62" s="28">
        <v>0</v>
      </c>
      <c r="V62" s="63">
        <f t="shared" si="46"/>
        <v>0</v>
      </c>
      <c r="W62" s="28">
        <v>0</v>
      </c>
      <c r="X62" s="63">
        <f t="shared" si="47"/>
        <v>0</v>
      </c>
      <c r="Y62" s="28">
        <v>0</v>
      </c>
      <c r="Z62" s="63">
        <f t="shared" si="29"/>
        <v>0</v>
      </c>
      <c r="AA62" s="28">
        <v>0</v>
      </c>
      <c r="AB62" s="63">
        <f t="shared" si="30"/>
        <v>0</v>
      </c>
      <c r="AC62" s="28">
        <v>0</v>
      </c>
      <c r="AD62" s="63">
        <f t="shared" si="31"/>
        <v>0</v>
      </c>
      <c r="AE62" s="28">
        <v>0</v>
      </c>
      <c r="AF62" s="63">
        <f t="shared" si="32"/>
        <v>0</v>
      </c>
      <c r="AG62" s="28">
        <v>0</v>
      </c>
      <c r="AH62" s="63">
        <f t="shared" si="36"/>
        <v>0</v>
      </c>
      <c r="AI62" s="64">
        <v>0</v>
      </c>
      <c r="AJ62" s="63">
        <f t="shared" si="48"/>
        <v>0</v>
      </c>
      <c r="AK62" s="64">
        <v>0</v>
      </c>
      <c r="AL62" s="63">
        <f t="shared" si="49"/>
        <v>0</v>
      </c>
      <c r="AM62" s="64">
        <v>0</v>
      </c>
      <c r="AN62" s="63">
        <f t="shared" si="50"/>
        <v>0</v>
      </c>
      <c r="AO62" s="64">
        <v>0</v>
      </c>
      <c r="AP62" s="79">
        <f t="shared" si="51"/>
        <v>0</v>
      </c>
      <c r="AQ62" s="64">
        <v>0</v>
      </c>
      <c r="AR62" s="79">
        <f t="shared" si="52"/>
        <v>0</v>
      </c>
      <c r="AS62" s="64">
        <v>0</v>
      </c>
      <c r="AT62" s="63">
        <f t="shared" si="53"/>
        <v>0</v>
      </c>
      <c r="AU62" s="64">
        <v>0</v>
      </c>
      <c r="AV62" s="79">
        <f t="shared" si="54"/>
        <v>0</v>
      </c>
      <c r="AW62" s="64">
        <v>0</v>
      </c>
      <c r="AX62" s="63">
        <f t="shared" si="55"/>
        <v>0</v>
      </c>
      <c r="AY62" s="64">
        <v>0</v>
      </c>
      <c r="AZ62" s="79">
        <f t="shared" si="56"/>
        <v>0</v>
      </c>
      <c r="BA62" s="64">
        <v>0</v>
      </c>
      <c r="BB62" s="63">
        <f t="shared" si="57"/>
        <v>0</v>
      </c>
      <c r="BC62" s="64">
        <v>0</v>
      </c>
      <c r="BD62" s="63">
        <f t="shared" si="58"/>
        <v>0</v>
      </c>
      <c r="BE62" s="64">
        <v>0</v>
      </c>
      <c r="BF62" s="79">
        <f t="shared" si="59"/>
        <v>0</v>
      </c>
      <c r="BG62" s="64">
        <v>0</v>
      </c>
      <c r="BH62" s="79">
        <f t="shared" si="60"/>
        <v>0</v>
      </c>
      <c r="BI62" s="64">
        <v>0</v>
      </c>
      <c r="BJ62" s="79">
        <f t="shared" si="61"/>
        <v>0</v>
      </c>
      <c r="BK62" s="64">
        <v>0</v>
      </c>
      <c r="BL62" s="63">
        <f t="shared" si="19"/>
        <v>0</v>
      </c>
      <c r="BM62" s="82">
        <f t="shared" si="34"/>
        <v>0</v>
      </c>
      <c r="BN62" s="83">
        <f t="shared" si="35"/>
        <v>0</v>
      </c>
    </row>
    <row r="63" spans="2:66" x14ac:dyDescent="0.25">
      <c r="B63" s="2"/>
      <c r="C63" s="2"/>
      <c r="D63" s="94"/>
      <c r="E63" s="32"/>
      <c r="F63" s="34"/>
      <c r="G63" s="32"/>
      <c r="H63" s="34"/>
      <c r="I63" s="32"/>
      <c r="J63" s="34"/>
      <c r="K63" s="32"/>
      <c r="L63" s="34"/>
      <c r="M63" s="32"/>
      <c r="N63" s="34"/>
      <c r="O63" s="32"/>
      <c r="P63" s="34"/>
      <c r="Q63" s="32"/>
      <c r="R63" s="34"/>
      <c r="S63" s="32"/>
      <c r="T63" s="34"/>
      <c r="U63" s="32"/>
      <c r="V63" s="34"/>
      <c r="W63" s="32"/>
      <c r="X63" s="34"/>
      <c r="Y63" s="32"/>
      <c r="Z63" s="34"/>
      <c r="AA63" s="32"/>
      <c r="AB63" s="34"/>
      <c r="AC63" s="32"/>
      <c r="AD63" s="34"/>
      <c r="AE63" s="32"/>
      <c r="AF63" s="34"/>
      <c r="AG63" s="32"/>
      <c r="AH63" s="34"/>
      <c r="AI63" s="10"/>
      <c r="AJ63" s="78"/>
      <c r="AK63" s="10"/>
      <c r="AL63" s="78"/>
      <c r="AM63" s="10"/>
      <c r="AN63" s="78"/>
      <c r="AO63" s="10"/>
      <c r="AP63" s="34"/>
      <c r="AQ63" s="10"/>
      <c r="AR63" s="34"/>
      <c r="AS63" s="10"/>
      <c r="AT63" s="78"/>
      <c r="AU63" s="10"/>
      <c r="AV63" s="34"/>
      <c r="AW63" s="10"/>
      <c r="AX63" s="78"/>
      <c r="AY63" s="10"/>
      <c r="AZ63" s="34"/>
      <c r="BA63" s="10"/>
      <c r="BB63" s="78"/>
      <c r="BC63" s="10"/>
      <c r="BD63" s="78"/>
      <c r="BE63" s="10"/>
      <c r="BF63" s="34"/>
      <c r="BG63" s="10"/>
      <c r="BH63" s="34"/>
      <c r="BI63" s="10"/>
      <c r="BJ63" s="34"/>
      <c r="BK63" s="10"/>
      <c r="BL63" s="34"/>
      <c r="BM63" s="88"/>
      <c r="BN63" s="86"/>
    </row>
    <row r="64" spans="2:66" x14ac:dyDescent="0.25">
      <c r="B64" s="6" t="s">
        <v>136</v>
      </c>
      <c r="C64" s="7"/>
      <c r="D64" s="95"/>
      <c r="F64" s="63">
        <f>SUM(F33:F63)</f>
        <v>16</v>
      </c>
      <c r="H64" s="63">
        <f>SUM(H33:H63)</f>
        <v>75</v>
      </c>
      <c r="J64" s="63">
        <f>SUM(J33:J63)</f>
        <v>75</v>
      </c>
      <c r="L64" s="63">
        <f>SUM(L33:L63)</f>
        <v>16</v>
      </c>
      <c r="N64" s="63">
        <f>SUM(N33:N63)</f>
        <v>75</v>
      </c>
      <c r="P64" s="63">
        <f>SUM(P33:P63)</f>
        <v>75</v>
      </c>
      <c r="R64" s="63">
        <f>SUM(R33:R63)</f>
        <v>75</v>
      </c>
      <c r="T64" s="63">
        <f>SUM(T33:T63)</f>
        <v>75</v>
      </c>
      <c r="V64" s="63">
        <f>SUM(V33:V63)</f>
        <v>75</v>
      </c>
      <c r="X64" s="63">
        <f>SUM(X33:X63)</f>
        <v>75</v>
      </c>
      <c r="Z64" s="63">
        <f>SUM(Z33:Z63)</f>
        <v>75</v>
      </c>
      <c r="AB64" s="63">
        <f>SUM(AB33:AB63)</f>
        <v>75</v>
      </c>
      <c r="AD64" s="63">
        <f>SUM(AD33:AD63)</f>
        <v>75</v>
      </c>
      <c r="AF64" s="63">
        <f>SUM(AF33:AF63)</f>
        <v>0</v>
      </c>
      <c r="AH64" s="63">
        <f>SUM(AH33:AH63)</f>
        <v>0</v>
      </c>
      <c r="AJ64" s="63">
        <f>SUM(AJ33:AJ63)</f>
        <v>0</v>
      </c>
      <c r="AL64" s="63">
        <f>SUM(AL33:AL63)</f>
        <v>0</v>
      </c>
      <c r="AN64" s="63">
        <f>SUM(AN33:AN63)</f>
        <v>0</v>
      </c>
      <c r="AP64" s="63">
        <f>SUM(AP33:AP63)</f>
        <v>0</v>
      </c>
      <c r="AR64" s="63">
        <f>SUM(AR33:AR63)</f>
        <v>0</v>
      </c>
      <c r="AT64" s="63">
        <f>SUM(AT33:AT63)</f>
        <v>0</v>
      </c>
      <c r="AV64" s="63">
        <f>SUM(AV33:AV63)</f>
        <v>0</v>
      </c>
      <c r="AX64" s="63">
        <f>SUM(AX33:AX63)</f>
        <v>0</v>
      </c>
      <c r="AZ64" s="63">
        <f>SUM(AZ33:AZ63)</f>
        <v>0</v>
      </c>
      <c r="BB64" s="63">
        <f>SUM(BB33:BB63)</f>
        <v>0</v>
      </c>
      <c r="BD64" s="63">
        <f>SUM(BD33:BD63)</f>
        <v>0</v>
      </c>
      <c r="BF64" s="63">
        <f>SUM(BF33:BF63)</f>
        <v>0</v>
      </c>
      <c r="BH64" s="63">
        <f>SUM(BH33:BH63)</f>
        <v>0</v>
      </c>
      <c r="BJ64" s="63">
        <f>SUM(BJ33:BJ63)</f>
        <v>0</v>
      </c>
      <c r="BL64" s="63">
        <f>SUM(BL33:BL63)</f>
        <v>0</v>
      </c>
      <c r="BM64" s="55"/>
      <c r="BN64" s="87">
        <f>SUMIF(D$32:BO$32,"Dollar Value",D64:BO64)</f>
        <v>857</v>
      </c>
    </row>
    <row r="65" spans="1:67" x14ac:dyDescent="0.25">
      <c r="A65" s="7"/>
      <c r="B65" s="6" t="s">
        <v>135</v>
      </c>
      <c r="C65" s="8"/>
      <c r="D65" s="95"/>
      <c r="F65" s="63">
        <f>F64*F25</f>
        <v>0</v>
      </c>
      <c r="G65" s="11"/>
      <c r="H65" s="63">
        <f>H64*H25</f>
        <v>0</v>
      </c>
      <c r="I65" s="11"/>
      <c r="J65" s="63">
        <f>J64*J25</f>
        <v>0</v>
      </c>
      <c r="K65" s="11"/>
      <c r="L65" s="63">
        <f>L64*L25</f>
        <v>0</v>
      </c>
      <c r="M65" s="11"/>
      <c r="N65" s="63">
        <f>N64*N25</f>
        <v>0</v>
      </c>
      <c r="O65" s="11"/>
      <c r="P65" s="63">
        <f>P64*P25</f>
        <v>0</v>
      </c>
      <c r="Q65" s="11"/>
      <c r="R65" s="63">
        <f>R64*R25</f>
        <v>0</v>
      </c>
      <c r="S65" s="11"/>
      <c r="T65" s="63">
        <f>T64*T25</f>
        <v>0</v>
      </c>
      <c r="U65" s="11"/>
      <c r="V65" s="63">
        <f>V64*V25</f>
        <v>0</v>
      </c>
      <c r="W65" s="11"/>
      <c r="X65" s="63">
        <f>X64*X25</f>
        <v>0</v>
      </c>
      <c r="Y65" s="11"/>
      <c r="Z65" s="63">
        <f>Z64*Z25</f>
        <v>0</v>
      </c>
      <c r="AA65" s="11"/>
      <c r="AB65" s="63">
        <f>AB64*AB25</f>
        <v>0</v>
      </c>
      <c r="AC65" s="11"/>
      <c r="AD65" s="63">
        <f>AD64*AD25</f>
        <v>0</v>
      </c>
      <c r="AE65" s="11"/>
      <c r="AF65" s="63">
        <f>AF64*AF25</f>
        <v>0</v>
      </c>
      <c r="AG65" s="11"/>
      <c r="AH65" s="63">
        <f>AH64*AH25</f>
        <v>0</v>
      </c>
      <c r="AI65" s="11"/>
      <c r="AJ65" s="63">
        <f>AJ64*AJ25</f>
        <v>0</v>
      </c>
      <c r="AK65" s="11"/>
      <c r="AL65" s="63">
        <f>AL64*AL25</f>
        <v>0</v>
      </c>
      <c r="AM65" s="11"/>
      <c r="AN65" s="63">
        <f>AN64*AN25</f>
        <v>0</v>
      </c>
      <c r="AO65" s="11"/>
      <c r="AP65" s="63">
        <f>AP64*AP25</f>
        <v>0</v>
      </c>
      <c r="AQ65" s="11"/>
      <c r="AR65" s="63">
        <f>AR64*AR25</f>
        <v>0</v>
      </c>
      <c r="AS65" s="11"/>
      <c r="AT65" s="63">
        <f>AT64*AT25</f>
        <v>0</v>
      </c>
      <c r="AU65" s="11"/>
      <c r="AV65" s="63">
        <f>AV64*AV25</f>
        <v>0</v>
      </c>
      <c r="AW65" s="11"/>
      <c r="AX65" s="63">
        <f>AX64*AX25</f>
        <v>0</v>
      </c>
      <c r="AY65" s="11"/>
      <c r="AZ65" s="63">
        <f>AZ64*AZ25</f>
        <v>0</v>
      </c>
      <c r="BA65" s="11"/>
      <c r="BB65" s="63">
        <f>BB64*BB25</f>
        <v>0</v>
      </c>
      <c r="BC65" s="11"/>
      <c r="BD65" s="63">
        <f>BD64*BD25</f>
        <v>0</v>
      </c>
      <c r="BE65" s="11"/>
      <c r="BF65" s="63">
        <f>BF64*BF25</f>
        <v>0</v>
      </c>
      <c r="BG65" s="11"/>
      <c r="BH65" s="63">
        <f>BH64*BH25</f>
        <v>0</v>
      </c>
      <c r="BI65" s="11"/>
      <c r="BJ65" s="63">
        <f>BJ64*BJ25</f>
        <v>0</v>
      </c>
      <c r="BK65" s="11"/>
      <c r="BL65" s="63">
        <f>BL64*BL25</f>
        <v>0</v>
      </c>
      <c r="BM65" s="143"/>
      <c r="BN65" s="87">
        <f>SUMIF(D$32:BO$32,"Dollar Value",D65:BO65)</f>
        <v>0</v>
      </c>
    </row>
    <row r="66" spans="1:67" x14ac:dyDescent="0.25">
      <c r="B66" t="s">
        <v>8</v>
      </c>
      <c r="D66" s="31"/>
      <c r="E66" s="92">
        <f>IF(SUM(E33:E63) = 0,"", SUM(E33:E63))</f>
        <v>1</v>
      </c>
      <c r="F66" s="63">
        <f>SUM(F64:F65)</f>
        <v>16</v>
      </c>
      <c r="G66" s="92">
        <f>IF(SUM(G33:G63) = 0,"", SUM(G33:G63))</f>
        <v>5</v>
      </c>
      <c r="H66" s="63">
        <f>SUM(H64:H65)</f>
        <v>75</v>
      </c>
      <c r="I66" s="92">
        <f>IF(SUM(I33:I63) = 0,"", SUM(I33:I63))</f>
        <v>5</v>
      </c>
      <c r="J66" s="63">
        <f>SUM(J64:J65)</f>
        <v>75</v>
      </c>
      <c r="K66" s="92">
        <f>IF(SUM(K33:K63) = 0,"", SUM(K33:K63))</f>
        <v>1</v>
      </c>
      <c r="L66" s="63">
        <f>SUM(L64:L65)</f>
        <v>16</v>
      </c>
      <c r="M66" s="92">
        <f>IF(SUM(M33:M63) = 0,"", SUM(M33:M63))</f>
        <v>5</v>
      </c>
      <c r="N66" s="63">
        <f>SUM(N64:N65)</f>
        <v>75</v>
      </c>
      <c r="O66" s="92">
        <f>IF(SUM(O33:O63) = 0,"", SUM(O33:O63))</f>
        <v>5</v>
      </c>
      <c r="P66" s="63">
        <f>SUM(P64:P65)</f>
        <v>75</v>
      </c>
      <c r="Q66" s="92">
        <f>IF(SUM(Q33:Q63) = 0,"", SUM(Q33:Q63))</f>
        <v>5</v>
      </c>
      <c r="R66" s="63">
        <f>SUM(R64:R65)</f>
        <v>75</v>
      </c>
      <c r="S66" s="92">
        <f>IF(SUM(S33:S63) = 0,"", SUM(S33:S63))</f>
        <v>5</v>
      </c>
      <c r="T66" s="63">
        <f>SUM(T64:T65)</f>
        <v>75</v>
      </c>
      <c r="U66" s="92">
        <f>IF(SUM(U33:U63) = 0,"", SUM(U33:U63))</f>
        <v>5</v>
      </c>
      <c r="V66" s="63">
        <f>SUM(V64:V65)</f>
        <v>75</v>
      </c>
      <c r="W66" s="92">
        <f>IF(SUM(W33:W63) = 0,"", SUM(W33:W63))</f>
        <v>5</v>
      </c>
      <c r="X66" s="63">
        <f>SUM(X64:X65)</f>
        <v>75</v>
      </c>
      <c r="Y66" s="92">
        <f>IF(SUM(Y33:Y63) = 0,"", SUM(Y33:Y63))</f>
        <v>5</v>
      </c>
      <c r="Z66" s="63">
        <f>SUM(Z64:Z65)</f>
        <v>75</v>
      </c>
      <c r="AA66" s="92">
        <f>IF(SUM(AA33:AA63) = 0,"", SUM(AA33:AA63))</f>
        <v>5</v>
      </c>
      <c r="AB66" s="63">
        <f>SUM(AB64:AB65)</f>
        <v>75</v>
      </c>
      <c r="AC66" s="92">
        <f>IF(SUM(AC33:AC63) = 0,"", SUM(AC33:AC63))</f>
        <v>5</v>
      </c>
      <c r="AD66" s="63">
        <f>SUM(AD64:AD65)</f>
        <v>75</v>
      </c>
      <c r="AE66" s="92" t="str">
        <f>IF(SUM(AE33:AE63) = 0,"", SUM(AE33:AE63))</f>
        <v/>
      </c>
      <c r="AF66" s="63">
        <f>SUM(AF64:AF65)</f>
        <v>0</v>
      </c>
      <c r="AG66" s="92" t="str">
        <f>IF(SUM(AG33:AG63) = 0,"", SUM(AG33:AG63))</f>
        <v/>
      </c>
      <c r="AH66" s="63">
        <f>SUM(AH64:AH65)</f>
        <v>0</v>
      </c>
      <c r="AI66" s="92" t="str">
        <f t="shared" ref="AI66" si="62">IF(SUM(AI33:AI63) = 0,"", SUM(AI33:AI63))</f>
        <v/>
      </c>
      <c r="AJ66" s="63">
        <f>SUM(AJ64:AJ65)</f>
        <v>0</v>
      </c>
      <c r="AK66" s="92" t="str">
        <f t="shared" ref="AK66" si="63">IF(SUM(AK33:AK63) = 0,"", SUM(AK33:AK63))</f>
        <v/>
      </c>
      <c r="AL66" s="63">
        <f>SUM(AL64:AL65)</f>
        <v>0</v>
      </c>
      <c r="AM66" s="92" t="str">
        <f t="shared" ref="AM66" si="64">IF(SUM(AM33:AM63) = 0,"", SUM(AM33:AM63))</f>
        <v/>
      </c>
      <c r="AN66" s="63">
        <f>SUM(AN64:AN65)</f>
        <v>0</v>
      </c>
      <c r="AO66" s="92" t="str">
        <f t="shared" ref="AO66" si="65">IF(SUM(AO33:AO63) = 0,"", SUM(AO33:AO63))</f>
        <v/>
      </c>
      <c r="AP66" s="63">
        <f>SUM(AP64:AP65)</f>
        <v>0</v>
      </c>
      <c r="AQ66" s="92" t="str">
        <f t="shared" ref="AQ66" si="66">IF(SUM(AQ33:AQ63) = 0,"", SUM(AQ33:AQ63))</f>
        <v/>
      </c>
      <c r="AR66" s="63">
        <f>SUM(AR64:AR65)</f>
        <v>0</v>
      </c>
      <c r="AS66" s="92" t="str">
        <f t="shared" ref="AS66" si="67">IF(SUM(AS33:AS63) = 0,"", SUM(AS33:AS63))</f>
        <v/>
      </c>
      <c r="AT66" s="63">
        <f>SUM(AT64:AT65)</f>
        <v>0</v>
      </c>
      <c r="AU66" s="92" t="str">
        <f t="shared" ref="AU66" si="68">IF(SUM(AU33:AU63) = 0,"", SUM(AU33:AU63))</f>
        <v/>
      </c>
      <c r="AV66" s="63">
        <f>SUM(AV64:AV65)</f>
        <v>0</v>
      </c>
      <c r="AW66" s="92" t="str">
        <f t="shared" ref="AW66" si="69">IF(SUM(AW33:AW63) = 0,"", SUM(AW33:AW63))</f>
        <v/>
      </c>
      <c r="AX66" s="63">
        <f>SUM(AX64:AX65)</f>
        <v>0</v>
      </c>
      <c r="AY66" s="92" t="str">
        <f t="shared" ref="AY66" si="70">IF(SUM(AY33:AY63) = 0,"", SUM(AY33:AY63))</f>
        <v/>
      </c>
      <c r="AZ66" s="63">
        <f>SUM(AZ64:AZ65)</f>
        <v>0</v>
      </c>
      <c r="BA66" s="91" t="str">
        <f t="shared" ref="BA66" si="71">IF(SUM(BA33:BA63) = 0,"", SUM(BA33:BA63))</f>
        <v/>
      </c>
      <c r="BB66" s="63">
        <f>SUM(BB64:BB65)</f>
        <v>0</v>
      </c>
      <c r="BC66" s="92" t="str">
        <f t="shared" ref="BC66" si="72">IF(SUM(BC33:BC63) = 0,"", SUM(BC33:BC63))</f>
        <v/>
      </c>
      <c r="BD66" s="63">
        <f>SUM(BD64:BD65)</f>
        <v>0</v>
      </c>
      <c r="BE66" s="92" t="str">
        <f t="shared" ref="BE66" si="73">IF(SUM(BE33:BE63) = 0,"", SUM(BE33:BE63))</f>
        <v/>
      </c>
      <c r="BF66" s="63">
        <f>SUM(BF64:BF65)</f>
        <v>0</v>
      </c>
      <c r="BG66" s="92" t="str">
        <f t="shared" ref="BG66" si="74">IF(SUM(BG33:BG63) = 0,"", SUM(BG33:BG63))</f>
        <v/>
      </c>
      <c r="BH66" s="63">
        <f>SUM(BH64:BH65)</f>
        <v>0</v>
      </c>
      <c r="BI66" s="92" t="str">
        <f t="shared" ref="BI66" si="75">IF(SUM(BI33:BI63) = 0,"", SUM(BI33:BI63))</f>
        <v/>
      </c>
      <c r="BJ66" s="63">
        <f>SUM(BJ64:BJ65)</f>
        <v>0</v>
      </c>
      <c r="BK66" s="92" t="str">
        <f t="shared" ref="BK66" si="76">IF(SUM(BK33:BK63) = 0,"", SUM(BK33:BK63))</f>
        <v/>
      </c>
      <c r="BL66" s="63">
        <f>SUM(BL64:BL65)</f>
        <v>0</v>
      </c>
      <c r="BM66" s="91">
        <f>SUMIF(D$32:BO$32,"# Hours",D66:BO66)</f>
        <v>57</v>
      </c>
      <c r="BN66" s="87">
        <f>SUMIF(D$32:BO$32,"Dollar Value",D66:BO66)</f>
        <v>857</v>
      </c>
    </row>
    <row r="67" spans="1:67" x14ac:dyDescent="0.25">
      <c r="D67" s="31"/>
      <c r="E67" s="5"/>
      <c r="F67" s="89"/>
      <c r="G67" s="5"/>
      <c r="H67" s="89"/>
      <c r="I67" s="5"/>
      <c r="J67" s="89"/>
      <c r="K67" s="5"/>
      <c r="L67" s="89"/>
      <c r="M67" s="5"/>
      <c r="N67" s="89"/>
      <c r="O67" s="5"/>
      <c r="P67" s="89"/>
      <c r="Q67" s="5"/>
      <c r="R67" s="89"/>
      <c r="S67" s="5"/>
      <c r="T67" s="89"/>
      <c r="U67" s="5"/>
      <c r="V67" s="89"/>
      <c r="W67" s="5"/>
      <c r="X67" s="89"/>
      <c r="Y67" s="5"/>
      <c r="Z67" s="89"/>
      <c r="AA67" s="5"/>
      <c r="AB67" s="89"/>
      <c r="AC67" s="5"/>
      <c r="AD67" s="89"/>
      <c r="AE67" s="5"/>
      <c r="AF67" s="89"/>
      <c r="AG67" s="5"/>
      <c r="AH67" s="89"/>
      <c r="AI67" s="5"/>
      <c r="AJ67" s="89"/>
      <c r="AK67" s="5"/>
      <c r="AL67" s="89"/>
      <c r="AM67" s="5"/>
      <c r="AN67" s="89"/>
      <c r="AO67" s="5"/>
      <c r="AP67" s="89"/>
      <c r="AQ67" s="5"/>
      <c r="AR67" s="89"/>
      <c r="AS67" s="5"/>
      <c r="AT67" s="89"/>
      <c r="AU67" s="5"/>
      <c r="AV67" s="89"/>
      <c r="AW67" s="5"/>
      <c r="AX67" s="89"/>
      <c r="AY67" s="5"/>
      <c r="AZ67" s="36"/>
      <c r="BA67" s="5"/>
      <c r="BB67" s="89"/>
      <c r="BC67" s="5"/>
      <c r="BD67" s="89"/>
      <c r="BE67" s="5"/>
      <c r="BF67" s="89"/>
      <c r="BG67" s="5"/>
      <c r="BH67" s="89"/>
      <c r="BI67" s="5"/>
      <c r="BJ67" s="89"/>
      <c r="BK67" s="5"/>
      <c r="BL67" s="36"/>
      <c r="BM67" s="56"/>
      <c r="BN67" s="87"/>
    </row>
    <row r="68" spans="1:67" x14ac:dyDescent="0.25">
      <c r="B68" t="s">
        <v>10</v>
      </c>
      <c r="D68" s="96">
        <v>0.01</v>
      </c>
      <c r="F68" s="36">
        <f>IF(ISERROR((F66)*$D$68),"$0",(F66)*$D$68)</f>
        <v>0.16</v>
      </c>
      <c r="H68" s="52">
        <f>IF(ISERROR((H66)*$D$68),"$0",(H66)*$D$68)</f>
        <v>0.75</v>
      </c>
      <c r="I68" s="53"/>
      <c r="J68" s="52">
        <f>IF(ISERROR((J66)*$D$68),"$0",(J66)*$D$68)</f>
        <v>0.75</v>
      </c>
      <c r="K68" s="53"/>
      <c r="L68" s="52">
        <f>IF(ISERROR((L66)*$D$68),"$0",(L66)*$D$68)</f>
        <v>0.16</v>
      </c>
      <c r="M68" s="53"/>
      <c r="N68" s="52">
        <f>IF(ISERROR((N66)*$D$68),"$0",(N66)*$D$68)</f>
        <v>0.75</v>
      </c>
      <c r="O68" s="55"/>
      <c r="P68" s="57">
        <f>IF(ISERROR((P66)*$D$68),"$0",(P66)*$D$68)</f>
        <v>0.75</v>
      </c>
      <c r="Q68" s="53"/>
      <c r="R68" s="52">
        <f>IF(ISERROR((R66)*$D$68),"$0",(R66)*$D$68)</f>
        <v>0.75</v>
      </c>
      <c r="S68" s="53"/>
      <c r="T68" s="36">
        <f>IF(ISERROR((T66)*$D$68),"$0",(T66)*$D$68)</f>
        <v>0.75</v>
      </c>
      <c r="U68" s="53"/>
      <c r="V68" s="36">
        <f>IF(ISERROR((V66)*$D$68),"$0",(V66)*$D$68)</f>
        <v>0.75</v>
      </c>
      <c r="X68" s="52">
        <f>IF(ISERROR((X66)*$D$68),"$0",(X66)*$D$68)</f>
        <v>0.75</v>
      </c>
      <c r="Y68" s="55"/>
      <c r="Z68" s="57">
        <f>IF(ISERROR((Z66)*$D$68),"$0",(Z66)*$D$68)</f>
        <v>0.75</v>
      </c>
      <c r="AA68" s="55"/>
      <c r="AB68" s="36">
        <f>IF(ISERROR((AB66)*$D$68),"$0",(AB66)*$D$68)</f>
        <v>0.75</v>
      </c>
      <c r="AC68" s="55"/>
      <c r="AD68" s="36">
        <f>IF(ISERROR((AD66)*$D$68),"$0",(AD66)*$D$68)</f>
        <v>0.75</v>
      </c>
      <c r="AE68" s="55"/>
      <c r="AF68" s="36">
        <f>IF(ISERROR((AF66)*$D$68),"$0",(AF66)*$D$68)</f>
        <v>0</v>
      </c>
      <c r="AG68" s="55"/>
      <c r="AH68" s="36">
        <f>IF(ISERROR((AH66)*$D$68),"$0",(AH66)*$D$68)</f>
        <v>0</v>
      </c>
      <c r="AI68" s="1"/>
      <c r="AJ68" s="36">
        <f t="shared" ref="AJ68" si="77">IF(ISERROR((AJ66)*$D$68),"$0",(AJ66)*$D$68)</f>
        <v>0</v>
      </c>
      <c r="AK68" s="1"/>
      <c r="AL68" s="36">
        <f t="shared" ref="AL68" si="78">IF(ISERROR((AL66)*$D$68),"$0",(AL66)*$D$68)</f>
        <v>0</v>
      </c>
      <c r="AM68" s="1"/>
      <c r="AN68" s="36">
        <f t="shared" ref="AN68" si="79">IF(ISERROR((AN66)*$D$68),"$0",(AN66)*$D$68)</f>
        <v>0</v>
      </c>
      <c r="AO68" s="1"/>
      <c r="AP68" s="36">
        <f t="shared" ref="AP68" si="80">IF(ISERROR((AP66)*$D$68),"$0",(AP66)*$D$68)</f>
        <v>0</v>
      </c>
      <c r="AQ68" s="1"/>
      <c r="AR68" s="36">
        <f t="shared" ref="AR68" si="81">IF(ISERROR((AR66)*$D$68),"$0",(AR66)*$D$68)</f>
        <v>0</v>
      </c>
      <c r="AT68" s="36">
        <f t="shared" ref="AT68" si="82">IF(ISERROR((AT66)*$D$68),"$0",(AT66)*$D$68)</f>
        <v>0</v>
      </c>
      <c r="AU68" s="1"/>
      <c r="AV68" s="36">
        <f t="shared" ref="AV68" si="83">IF(ISERROR((AV66)*$D$68),"$0",(AV66)*$D$68)</f>
        <v>0</v>
      </c>
      <c r="AW68" s="1"/>
      <c r="AX68" s="36">
        <f t="shared" ref="AX68" si="84">IF(ISERROR((AX66)*$D$68),"$0",(AX66)*$D$68)</f>
        <v>0</v>
      </c>
      <c r="AY68" s="1"/>
      <c r="AZ68" s="36">
        <f t="shared" ref="AZ68" si="85">IF(ISERROR((AZ66)*$D$68),"$0",(AZ66)*$D$68)</f>
        <v>0</v>
      </c>
      <c r="BA68" s="1"/>
      <c r="BB68" s="36">
        <f t="shared" ref="BB68" si="86">IF(ISERROR((BB66)*$D$68),"$0",(BB66)*$D$68)</f>
        <v>0</v>
      </c>
      <c r="BC68" s="1"/>
      <c r="BD68" s="36">
        <f t="shared" ref="BD68" si="87">IF(ISERROR((BD66)*$D$68),"$0",(BD66)*$D$68)</f>
        <v>0</v>
      </c>
      <c r="BE68" s="1"/>
      <c r="BF68" s="36">
        <f t="shared" ref="BF68" si="88">IF(ISERROR((BF66)*$D$68),"$0",(BF66)*$D$68)</f>
        <v>0</v>
      </c>
      <c r="BG68" s="1"/>
      <c r="BH68" s="36">
        <f t="shared" ref="BH68" si="89">IF(ISERROR((BH66)*$D$68),"$0",(BH66)*$D$68)</f>
        <v>0</v>
      </c>
      <c r="BI68" s="1"/>
      <c r="BJ68" s="36">
        <f t="shared" ref="BJ68" si="90">IF(ISERROR((BJ66)*$D$68),"$0",(BJ66)*$D$68)</f>
        <v>0</v>
      </c>
      <c r="BK68" s="1"/>
      <c r="BL68" s="36">
        <f t="shared" ref="BL68" si="91">IF(ISERROR((BL66)*$D$68),"$0",(BL66)*$D$68)</f>
        <v>0</v>
      </c>
      <c r="BM68" s="55"/>
      <c r="BN68" s="87">
        <f>SUMIF(D$32:BO$32,"Dollar Value",D68:BO68)</f>
        <v>8.57</v>
      </c>
    </row>
    <row r="69" spans="1:67" x14ac:dyDescent="0.25">
      <c r="B69" t="s">
        <v>8</v>
      </c>
      <c r="D69" s="31"/>
      <c r="E69" s="5"/>
      <c r="F69" s="36">
        <f>IF(ISERROR(F68+F66 = 0),"$0", (F68+F66))</f>
        <v>16.16</v>
      </c>
      <c r="G69" s="5"/>
      <c r="H69" s="36">
        <f>IF(ISERROR(H68+H66 = 0),"$0", (H68+H66))</f>
        <v>75.75</v>
      </c>
      <c r="I69" s="5"/>
      <c r="J69" s="36">
        <f>IF(ISERROR(J68+J66 = 0),"$0", (J68+J66))</f>
        <v>75.75</v>
      </c>
      <c r="K69" s="5"/>
      <c r="L69" s="36">
        <f>IF(ISERROR(L68+L66 = 0),"$0", (L68+L66))</f>
        <v>16.16</v>
      </c>
      <c r="M69" s="5"/>
      <c r="N69" s="36">
        <f>IF(ISERROR(N68+N66 = 0),"$0", (N68+N66))</f>
        <v>75.75</v>
      </c>
      <c r="O69" s="56"/>
      <c r="P69" s="54">
        <f>IF(ISERROR(P68+P66 = 0),"$0", (P68+P66))</f>
        <v>75.75</v>
      </c>
      <c r="Q69" s="5"/>
      <c r="R69" s="36">
        <f>IF(ISERROR(R68+R66 = 0),"$0", (R68+R66))</f>
        <v>75.75</v>
      </c>
      <c r="S69" s="5"/>
      <c r="T69" s="36">
        <f>IF(ISERROR(T68+T66 = 0),"$0", (T68+T66))</f>
        <v>75.75</v>
      </c>
      <c r="U69" s="5"/>
      <c r="V69" s="36">
        <f>IF(ISERROR(V68+V66 = 0),"$0", (V68+V66))</f>
        <v>75.75</v>
      </c>
      <c r="W69" s="5"/>
      <c r="X69" s="36">
        <f>IF(ISERROR(X68+X66 = 0),"$0", (X68+X66))</f>
        <v>75.75</v>
      </c>
      <c r="Y69" s="5"/>
      <c r="Z69" s="36">
        <f>IF(ISERROR(Z68+Z66 = 0),"$0", (Z68+Z66))</f>
        <v>75.75</v>
      </c>
      <c r="AA69" s="5"/>
      <c r="AB69" s="36">
        <f>IF(ISERROR(AB68+AB66 = 0),"$0", (AB68+AB66))</f>
        <v>75.75</v>
      </c>
      <c r="AC69" s="5"/>
      <c r="AD69" s="36">
        <f>IF(ISERROR(AD68+AD66 = 0),"$0", (AD68+AD66))</f>
        <v>75.75</v>
      </c>
      <c r="AE69" s="5"/>
      <c r="AF69" s="36">
        <f>IF(ISERROR(AF68+AF66 = 0),"$0", (AF68+AF66))</f>
        <v>0</v>
      </c>
      <c r="AG69" s="5"/>
      <c r="AH69" s="36">
        <f>IF(ISERROR(AH68+AH66 = 0),"$0", (AH68+AH66))</f>
        <v>0</v>
      </c>
      <c r="AI69" s="5"/>
      <c r="AJ69" s="36">
        <f t="shared" ref="AJ69" si="92">IF(ISERROR(AJ68+AJ66 = 0),"$0", (AJ68+AJ66))</f>
        <v>0</v>
      </c>
      <c r="AK69" s="5"/>
      <c r="AL69" s="36">
        <f t="shared" ref="AL69" si="93">IF(ISERROR(AL68+AL66 = 0),"$0", (AL68+AL66))</f>
        <v>0</v>
      </c>
      <c r="AM69" s="5"/>
      <c r="AN69" s="36">
        <f t="shared" ref="AN69" si="94">IF(ISERROR(AN68+AN66 = 0),"$0", (AN68+AN66))</f>
        <v>0</v>
      </c>
      <c r="AO69" s="5"/>
      <c r="AP69" s="36">
        <f t="shared" ref="AP69" si="95">IF(ISERROR(AP68+AP66 = 0),"$0", (AP68+AP66))</f>
        <v>0</v>
      </c>
      <c r="AQ69" s="5"/>
      <c r="AR69" s="36">
        <f t="shared" ref="AR69" si="96">IF(ISERROR(AR68+AR66 = 0),"$0", (AR68+AR66))</f>
        <v>0</v>
      </c>
      <c r="AS69" s="5"/>
      <c r="AT69" s="36">
        <f t="shared" ref="AT69" si="97">IF(ISERROR(AT68+AT66 = 0),"$0", (AT68+AT66))</f>
        <v>0</v>
      </c>
      <c r="AU69" s="5"/>
      <c r="AV69" s="36">
        <f t="shared" ref="AV69" si="98">IF(ISERROR(AV68+AV66 = 0),"$0", (AV68+AV66))</f>
        <v>0</v>
      </c>
      <c r="AW69" s="5"/>
      <c r="AX69" s="36">
        <f t="shared" ref="AX69" si="99">IF(ISERROR(AX68+AX66 = 0),"$0", (AX68+AX66))</f>
        <v>0</v>
      </c>
      <c r="AY69" s="5"/>
      <c r="AZ69" s="36">
        <f t="shared" ref="AZ69" si="100">IF(ISERROR(AZ68+AZ66 = 0),"$0", (AZ68+AZ66))</f>
        <v>0</v>
      </c>
      <c r="BA69" s="5"/>
      <c r="BB69" s="36">
        <f t="shared" ref="BB69" si="101">IF(ISERROR(BB68+BB66 = 0),"$0", (BB68+BB66))</f>
        <v>0</v>
      </c>
      <c r="BC69" s="5"/>
      <c r="BD69" s="36">
        <f t="shared" ref="BD69" si="102">IF(ISERROR(BD68+BD66 = 0),"$0", (BD68+BD66))</f>
        <v>0</v>
      </c>
      <c r="BE69" s="5"/>
      <c r="BF69" s="36">
        <f t="shared" ref="BF69" si="103">IF(ISERROR(BF68+BF66 = 0),"$0", (BF68+BF66))</f>
        <v>0</v>
      </c>
      <c r="BG69" s="5"/>
      <c r="BH69" s="36">
        <f t="shared" ref="BH69" si="104">IF(ISERROR(BH68+BH66 = 0),"$0", (BH68+BH66))</f>
        <v>0</v>
      </c>
      <c r="BI69" s="5"/>
      <c r="BJ69" s="36">
        <f t="shared" ref="BJ69" si="105">IF(ISERROR(BJ68+BJ66 = 0),"$0", (BJ68+BJ66))</f>
        <v>0</v>
      </c>
      <c r="BK69" s="5"/>
      <c r="BL69" s="36">
        <f t="shared" ref="BL69" si="106">IF(ISERROR(BL68+BL66 = 0),"$0", (BL68+BL66))</f>
        <v>0</v>
      </c>
      <c r="BM69" s="90"/>
      <c r="BN69" s="68">
        <f>SUMIF(D$32:BO$32,"Dollar Value",D69:BO69)</f>
        <v>865.56999999999994</v>
      </c>
      <c r="BO69" s="53"/>
    </row>
    <row r="70" spans="1:67" x14ac:dyDescent="0.25">
      <c r="D70" s="31"/>
      <c r="E70" s="5"/>
      <c r="F70" s="36"/>
      <c r="G70" s="5"/>
      <c r="H70" s="36"/>
      <c r="I70" s="5"/>
      <c r="J70" s="36"/>
      <c r="K70" s="5"/>
      <c r="L70" s="36"/>
      <c r="M70" s="5"/>
      <c r="N70" s="36"/>
      <c r="O70" s="5"/>
      <c r="P70" s="36"/>
      <c r="Q70" s="5"/>
      <c r="R70" s="36"/>
      <c r="S70" s="5"/>
      <c r="T70" s="36"/>
      <c r="U70" s="5"/>
      <c r="V70" s="36"/>
      <c r="W70" s="5"/>
      <c r="X70" s="36"/>
      <c r="Y70" s="5"/>
      <c r="Z70" s="36"/>
      <c r="AA70" s="5"/>
      <c r="AB70" s="36"/>
      <c r="AC70" s="5"/>
      <c r="AD70" s="36"/>
      <c r="AE70" s="5"/>
      <c r="AF70" s="36"/>
      <c r="AG70" s="5"/>
      <c r="AH70" s="36"/>
      <c r="AI70" s="5"/>
      <c r="AJ70" s="36"/>
      <c r="AK70" s="5"/>
      <c r="AL70" s="36"/>
      <c r="AM70" s="5"/>
      <c r="AN70" s="36"/>
      <c r="AO70" s="5"/>
      <c r="AP70" s="36"/>
      <c r="AQ70" s="5"/>
      <c r="AR70" s="36"/>
      <c r="AS70" s="5"/>
      <c r="AT70" s="36"/>
      <c r="AU70" s="5"/>
      <c r="AV70" s="36"/>
      <c r="AW70" s="5"/>
      <c r="AX70" s="36"/>
      <c r="AY70" s="5"/>
      <c r="AZ70" s="36"/>
      <c r="BA70" s="5"/>
      <c r="BB70" s="36"/>
      <c r="BC70" s="5"/>
      <c r="BD70" s="36"/>
      <c r="BE70" s="5"/>
      <c r="BF70" s="36"/>
      <c r="BG70" s="5"/>
      <c r="BH70" s="36"/>
      <c r="BI70" s="5"/>
      <c r="BJ70" s="36"/>
      <c r="BK70" s="5"/>
      <c r="BL70" s="36"/>
      <c r="BM70" s="56"/>
      <c r="BN70" s="87"/>
    </row>
    <row r="71" spans="1:67" x14ac:dyDescent="0.25">
      <c r="B71" t="s">
        <v>181</v>
      </c>
      <c r="D71" s="96">
        <v>0.01</v>
      </c>
      <c r="F71" s="36">
        <f>IF(ISERROR((F69)*D71),"$0",(F69)*$D$71)</f>
        <v>0.16159999999999999</v>
      </c>
      <c r="H71" s="36">
        <f>IF(ISERROR((H69)*F71),"$0",(H69)*$D$71)</f>
        <v>0.75750000000000006</v>
      </c>
      <c r="J71" s="36">
        <f>IF(ISERROR((J69)*H71),"$0",(J69)*$D$71)</f>
        <v>0.75750000000000006</v>
      </c>
      <c r="L71" s="36">
        <f>IF(ISERROR((L69)*J71),"$0",(L69)*$D$71)</f>
        <v>0.16159999999999999</v>
      </c>
      <c r="N71" s="36">
        <f>IF(ISERROR((N69)*L71),"$0",(N69)*$D$71)</f>
        <v>0.75750000000000006</v>
      </c>
      <c r="P71" s="36">
        <f>IF(ISERROR((P69)*N71),"$0",(P69)*$D$71)</f>
        <v>0.75750000000000006</v>
      </c>
      <c r="R71" s="36">
        <f>IF(ISERROR((R69)*P71),"$0",(R69)*$D$71)</f>
        <v>0.75750000000000006</v>
      </c>
      <c r="T71" s="36">
        <f>IF(ISERROR((T69)*R71),"$0",(T69)*$D$71)</f>
        <v>0.75750000000000006</v>
      </c>
      <c r="V71" s="36">
        <f>IF(ISERROR((V69)*T71),"$0",(V69)*$D$71)</f>
        <v>0.75750000000000006</v>
      </c>
      <c r="X71" s="36">
        <f>IF(ISERROR((X69)*V71),"$0",(X69)*$D$71)</f>
        <v>0.75750000000000006</v>
      </c>
      <c r="Z71" s="36">
        <f>IF(ISERROR((Z69)*X71),"$0",(Z69)*$D$71)</f>
        <v>0.75750000000000006</v>
      </c>
      <c r="AB71" s="36">
        <f>IF(ISERROR((AB69)*Z71),"$0",(AB69)*$D$71)</f>
        <v>0.75750000000000006</v>
      </c>
      <c r="AD71" s="36">
        <f>IF(ISERROR((AD69)*AB71),"$0",(AD69)*$D$71)</f>
        <v>0.75750000000000006</v>
      </c>
      <c r="AF71" s="36">
        <f>IF(ISERROR((AF69)*AD71),"$0",(AF69)*$D$71)</f>
        <v>0</v>
      </c>
      <c r="AH71" s="36">
        <f>IF(ISERROR((AH69)*AF71),"$0",(AH69)*$D$71)</f>
        <v>0</v>
      </c>
      <c r="AI71" s="1"/>
      <c r="AJ71" s="36">
        <f>IF(ISERROR((AJ69)*AH71),"$0",(AJ69)*$D$71)</f>
        <v>0</v>
      </c>
      <c r="AK71" s="1"/>
      <c r="AL71" s="36">
        <f>IF(ISERROR((AL69)*AJ71),"$0",(AL69)*$D$71)</f>
        <v>0</v>
      </c>
      <c r="AM71" s="1"/>
      <c r="AN71" s="36">
        <f>IF(ISERROR((AN69)*AL71),"$0",(AN69)*$D$71)</f>
        <v>0</v>
      </c>
      <c r="AO71" s="1"/>
      <c r="AP71" s="36">
        <f>IF(ISERROR((AP69)*AN71),"$0",(AP69)*$D$71)</f>
        <v>0</v>
      </c>
      <c r="AQ71" s="1"/>
      <c r="AR71" s="36">
        <f>IF(ISERROR((AR69)*AP71),"$0",(AR69)*$D$71)</f>
        <v>0</v>
      </c>
      <c r="AT71" s="36">
        <f>IF(ISERROR((AT69)*AR71),"$0",(AT69)*$D$71)</f>
        <v>0</v>
      </c>
      <c r="AU71" s="1"/>
      <c r="AV71" s="36">
        <f>IF(ISERROR((AV69)*AT71),"$0",(AV69)*$D$71)</f>
        <v>0</v>
      </c>
      <c r="AW71" s="1"/>
      <c r="AX71" s="36">
        <f>IF(ISERROR((AX69)*AV71),"$0",(AX69)*$D$71)</f>
        <v>0</v>
      </c>
      <c r="AY71" s="1"/>
      <c r="AZ71" s="36">
        <f>IF(ISERROR((AZ69)*AX71),"$0",(AZ69)*$D$71)</f>
        <v>0</v>
      </c>
      <c r="BA71" s="1"/>
      <c r="BB71" s="36">
        <f>IF(ISERROR((BB69)*AZ71),"$0",(BB69)*$D$71)</f>
        <v>0</v>
      </c>
      <c r="BC71" s="1"/>
      <c r="BD71" s="36">
        <f>IF(ISERROR((BD69)*BB71),"$0",(BD69)*$D$71)</f>
        <v>0</v>
      </c>
      <c r="BE71" s="1"/>
      <c r="BF71" s="36">
        <f>IF(ISERROR((BF69)*BD71),"$0",(BF69)*$D$71)</f>
        <v>0</v>
      </c>
      <c r="BG71" s="1"/>
      <c r="BH71" s="36">
        <f>IF(ISERROR((BH69)*BF71),"$0",(BH69)*$D$71)</f>
        <v>0</v>
      </c>
      <c r="BI71" s="1"/>
      <c r="BJ71" s="36">
        <f>IF(ISERROR((BJ69)*BH71),"$0",(BJ69)*$D$71)</f>
        <v>0</v>
      </c>
      <c r="BK71" s="1"/>
      <c r="BL71" s="36">
        <f>IF(ISERROR((BL69)*BJ71),"$0",(BL69)*$D$71)</f>
        <v>0</v>
      </c>
      <c r="BM71" s="55"/>
      <c r="BN71" s="87">
        <f>SUMIF(D$32:BO$32,"Dollar Value",D71:BO71)</f>
        <v>8.6557000000000013</v>
      </c>
    </row>
    <row r="72" spans="1:67" x14ac:dyDescent="0.25">
      <c r="B72" s="4" t="s">
        <v>9</v>
      </c>
      <c r="C72" s="4"/>
      <c r="D72" s="31"/>
      <c r="F72" s="36">
        <f>IF(SUM(F69:F71) = 0, "$0", SUM(F69:F71))</f>
        <v>16.3216</v>
      </c>
      <c r="H72" s="36">
        <f>IF(SUM(H69:H71) = 0, "$0", SUM(H69:H71))</f>
        <v>76.507499999999993</v>
      </c>
      <c r="J72" s="36">
        <f>IF(SUM(J69:J71) = 0, "$0", SUM(J69:J71))</f>
        <v>76.507499999999993</v>
      </c>
      <c r="L72" s="36">
        <f>IF(SUM(L69:L71) = 0, "$0", SUM(L69:L71))</f>
        <v>16.3216</v>
      </c>
      <c r="N72" s="36">
        <f>IF(SUM(N69:N71) = 0, "$0", SUM(N69:N71))</f>
        <v>76.507499999999993</v>
      </c>
      <c r="P72" s="36">
        <f>IF(SUM(P69:P71) = 0, "$0", SUM(P69:P71))</f>
        <v>76.507499999999993</v>
      </c>
      <c r="R72" s="36">
        <f>IF(SUM(R69:R71) = 0, "$0", SUM(R69:R71))</f>
        <v>76.507499999999993</v>
      </c>
      <c r="T72" s="36">
        <f>IF(SUM(T69:T71) = 0, "$0", SUM(T69:T71))</f>
        <v>76.507499999999993</v>
      </c>
      <c r="V72" s="36">
        <f>IF(SUM(V69:V71) = 0, "$0", SUM(V69:V71))</f>
        <v>76.507499999999993</v>
      </c>
      <c r="X72" s="36">
        <f>IF(SUM(X69:X71) = 0, "$0", SUM(X69:X71))</f>
        <v>76.507499999999993</v>
      </c>
      <c r="Z72" s="36">
        <f>IF(SUM(Z69:Z71) = 0, "$0", SUM(Z69:Z71))</f>
        <v>76.507499999999993</v>
      </c>
      <c r="AB72" s="36">
        <f>IF(SUM(AB69:AB71) = 0, "$0", SUM(AB69:AB71))</f>
        <v>76.507499999999993</v>
      </c>
      <c r="AD72" s="36">
        <f>IF(SUM(AD69:AD71) = 0, "$0", SUM(AD69:AD71))</f>
        <v>76.507499999999993</v>
      </c>
      <c r="AF72" s="36" t="str">
        <f>IF(SUM(AF69:AF71) = 0, "$0", SUM(AF69:AF71))</f>
        <v>$0</v>
      </c>
      <c r="AH72" s="36" t="str">
        <f>IF(SUM(AH69:AH71) = 0, "$0", SUM(AH69:AH71))</f>
        <v>$0</v>
      </c>
      <c r="AI72" s="1"/>
      <c r="AJ72" s="36" t="str">
        <f t="shared" ref="AJ72" si="107">IF(SUM(AJ69:AJ71) = 0, "$0", SUM(AJ69:AJ71))</f>
        <v>$0</v>
      </c>
      <c r="AK72" s="1"/>
      <c r="AL72" s="36" t="str">
        <f t="shared" ref="AL72" si="108">IF(SUM(AL69:AL71) = 0, "$0", SUM(AL69:AL71))</f>
        <v>$0</v>
      </c>
      <c r="AM72" s="1"/>
      <c r="AN72" s="36" t="str">
        <f t="shared" ref="AN72" si="109">IF(SUM(AN69:AN71) = 0, "$0", SUM(AN69:AN71))</f>
        <v>$0</v>
      </c>
      <c r="AO72" s="1"/>
      <c r="AP72" s="36" t="str">
        <f t="shared" ref="AP72" si="110">IF(SUM(AP69:AP71) = 0, "$0", SUM(AP69:AP71))</f>
        <v>$0</v>
      </c>
      <c r="AQ72" s="1"/>
      <c r="AR72" s="36" t="str">
        <f t="shared" ref="AR72" si="111">IF(SUM(AR69:AR71) = 0, "$0", SUM(AR69:AR71))</f>
        <v>$0</v>
      </c>
      <c r="AT72" s="36" t="str">
        <f t="shared" ref="AT72" si="112">IF(SUM(AT69:AT71) = 0, "$0", SUM(AT69:AT71))</f>
        <v>$0</v>
      </c>
      <c r="AU72" s="1"/>
      <c r="AV72" s="36" t="str">
        <f t="shared" ref="AV72" si="113">IF(SUM(AV69:AV71) = 0, "$0", SUM(AV69:AV71))</f>
        <v>$0</v>
      </c>
      <c r="AW72" s="1"/>
      <c r="AX72" s="36" t="str">
        <f t="shared" ref="AX72" si="114">IF(SUM(AX69:AX71) = 0, "$0", SUM(AX69:AX71))</f>
        <v>$0</v>
      </c>
      <c r="AY72" s="1"/>
      <c r="AZ72" s="36" t="str">
        <f t="shared" ref="AZ72" si="115">IF(SUM(AZ69:AZ71) = 0, "$0", SUM(AZ69:AZ71))</f>
        <v>$0</v>
      </c>
      <c r="BA72" s="1"/>
      <c r="BB72" s="36" t="str">
        <f t="shared" ref="BB72" si="116">IF(SUM(BB69:BB71) = 0, "$0", SUM(BB69:BB71))</f>
        <v>$0</v>
      </c>
      <c r="BC72" s="1"/>
      <c r="BD72" s="36" t="str">
        <f t="shared" ref="BD72" si="117">IF(SUM(BD69:BD71) = 0, "$0", SUM(BD69:BD71))</f>
        <v>$0</v>
      </c>
      <c r="BE72" s="1"/>
      <c r="BF72" s="36" t="str">
        <f t="shared" ref="BF72" si="118">IF(SUM(BF69:BF71) = 0, "$0", SUM(BF69:BF71))</f>
        <v>$0</v>
      </c>
      <c r="BG72" s="1"/>
      <c r="BH72" s="36" t="str">
        <f t="shared" ref="BH72" si="119">IF(SUM(BH69:BH71) = 0, "$0", SUM(BH69:BH71))</f>
        <v>$0</v>
      </c>
      <c r="BI72" s="1"/>
      <c r="BJ72" s="36" t="str">
        <f t="shared" ref="BJ72" si="120">IF(SUM(BJ69:BJ71) = 0, "$0", SUM(BJ69:BJ71))</f>
        <v>$0</v>
      </c>
      <c r="BK72" s="1"/>
      <c r="BL72" s="36" t="str">
        <f t="shared" ref="BL72" si="121">IF(SUM(BL69:BL71) = 0, "$0", SUM(BL69:BL71))</f>
        <v>$0</v>
      </c>
      <c r="BM72" s="55"/>
      <c r="BN72" s="54">
        <f>SUMIF(D$32:BO$32,"Dollar Value",D72:BO72)</f>
        <v>874.22569999999973</v>
      </c>
    </row>
    <row r="73" spans="1:67" x14ac:dyDescent="0.25">
      <c r="D73" s="31"/>
      <c r="F73" s="35"/>
      <c r="H73" s="35"/>
      <c r="J73" s="35"/>
      <c r="L73" s="35"/>
      <c r="N73" s="35"/>
      <c r="P73" s="35"/>
      <c r="R73" s="35"/>
      <c r="T73" s="35"/>
      <c r="V73" s="35"/>
      <c r="X73" s="35"/>
      <c r="Z73" s="35"/>
      <c r="AB73" s="35"/>
      <c r="AD73" s="35"/>
      <c r="AF73" s="35"/>
      <c r="AH73" s="35"/>
      <c r="AJ73" s="35"/>
      <c r="AL73" s="35"/>
      <c r="AN73" s="35"/>
      <c r="AP73" s="35"/>
      <c r="AR73" s="35"/>
      <c r="AT73" s="35"/>
      <c r="AV73" s="35"/>
      <c r="AX73" s="35"/>
      <c r="AZ73" s="35"/>
      <c r="BB73" s="35"/>
      <c r="BD73" s="35"/>
      <c r="BF73" s="35"/>
      <c r="BH73" s="35"/>
      <c r="BJ73" s="35"/>
      <c r="BL73" s="35"/>
      <c r="BM73" s="55"/>
      <c r="BN73" s="86"/>
    </row>
    <row r="74" spans="1:67" ht="14.45" customHeight="1" x14ac:dyDescent="0.25">
      <c r="B74" t="s">
        <v>11</v>
      </c>
      <c r="D74" s="31"/>
      <c r="F74" s="35"/>
      <c r="G74" s="41"/>
      <c r="H74" s="35"/>
      <c r="I74" s="41"/>
      <c r="J74" s="35"/>
      <c r="K74" s="41"/>
      <c r="L74" s="35"/>
      <c r="M74" s="41"/>
      <c r="N74" s="35"/>
      <c r="O74" s="41"/>
      <c r="P74" s="35"/>
      <c r="Q74" s="41"/>
      <c r="R74" s="35"/>
      <c r="S74" s="41"/>
      <c r="T74" s="35"/>
      <c r="U74" s="41"/>
      <c r="V74" s="35"/>
      <c r="W74" s="41"/>
      <c r="X74" s="35"/>
      <c r="Y74" s="41"/>
      <c r="Z74" s="35"/>
      <c r="AA74" s="41"/>
      <c r="AB74" s="35"/>
      <c r="AC74" s="41"/>
      <c r="AD74" s="35"/>
      <c r="AE74" s="41"/>
      <c r="AF74" s="35"/>
      <c r="AG74" s="41"/>
      <c r="AH74" s="35"/>
      <c r="AJ74" s="35"/>
      <c r="AL74" s="35"/>
      <c r="AN74" s="35"/>
      <c r="AP74" s="35"/>
      <c r="AR74" s="35"/>
      <c r="AT74" s="35"/>
      <c r="AV74" s="35"/>
      <c r="AX74" s="35"/>
      <c r="AZ74" s="35"/>
      <c r="BB74" s="35"/>
      <c r="BD74" s="35"/>
      <c r="BF74" s="35"/>
      <c r="BH74" s="35"/>
      <c r="BJ74" s="35"/>
      <c r="BL74" s="35"/>
      <c r="BM74" s="55"/>
      <c r="BN74" s="86"/>
    </row>
    <row r="75" spans="1:67" ht="14.45" customHeight="1" x14ac:dyDescent="0.25">
      <c r="B75" s="114" t="s">
        <v>116</v>
      </c>
      <c r="C75" s="114"/>
      <c r="D75" s="31"/>
      <c r="F75" s="45">
        <v>0</v>
      </c>
      <c r="H75" s="45">
        <v>0</v>
      </c>
      <c r="J75" s="45">
        <v>0</v>
      </c>
      <c r="L75" s="45">
        <v>0</v>
      </c>
      <c r="N75" s="45">
        <v>0</v>
      </c>
      <c r="P75" s="45">
        <v>0</v>
      </c>
      <c r="R75" s="45">
        <v>0</v>
      </c>
      <c r="T75" s="45">
        <v>0</v>
      </c>
      <c r="V75" s="45">
        <v>0</v>
      </c>
      <c r="X75" s="45">
        <v>0</v>
      </c>
      <c r="Z75" s="45">
        <v>0</v>
      </c>
      <c r="AB75" s="45">
        <v>0</v>
      </c>
      <c r="AD75" s="45">
        <v>0</v>
      </c>
      <c r="AF75" s="45">
        <v>0</v>
      </c>
      <c r="AH75" s="45">
        <v>0</v>
      </c>
      <c r="AI75" s="9"/>
      <c r="AJ75" s="45">
        <v>0</v>
      </c>
      <c r="AK75" s="9"/>
      <c r="AL75" s="45">
        <v>0</v>
      </c>
      <c r="AM75" s="9"/>
      <c r="AN75" s="45">
        <v>0</v>
      </c>
      <c r="AO75" s="9"/>
      <c r="AP75" s="45">
        <v>0</v>
      </c>
      <c r="AQ75" s="9"/>
      <c r="AR75" s="45">
        <v>0</v>
      </c>
      <c r="AT75" s="45">
        <v>0</v>
      </c>
      <c r="AU75" s="9"/>
      <c r="AV75" s="45">
        <v>0</v>
      </c>
      <c r="AW75" s="9"/>
      <c r="AX75" s="45">
        <v>0</v>
      </c>
      <c r="AY75" s="9"/>
      <c r="AZ75" s="45">
        <v>0</v>
      </c>
      <c r="BA75" s="9"/>
      <c r="BB75" s="45">
        <v>0</v>
      </c>
      <c r="BC75" s="9"/>
      <c r="BD75" s="45">
        <v>0</v>
      </c>
      <c r="BE75" s="9"/>
      <c r="BF75" s="45">
        <v>0</v>
      </c>
      <c r="BG75" s="9"/>
      <c r="BH75" s="45">
        <v>0</v>
      </c>
      <c r="BI75" s="9"/>
      <c r="BJ75" s="45">
        <v>0</v>
      </c>
      <c r="BK75" s="9"/>
      <c r="BL75" s="45">
        <v>0</v>
      </c>
      <c r="BM75" s="55"/>
      <c r="BN75" s="36">
        <f>SUMIF(D$32:BO$32,"Dollar Value",D75:BO75)</f>
        <v>0</v>
      </c>
    </row>
    <row r="76" spans="1:67" ht="14.45" customHeight="1" x14ac:dyDescent="0.25">
      <c r="D76" s="31"/>
      <c r="F76" s="35"/>
      <c r="H76" s="35"/>
      <c r="J76" s="35"/>
      <c r="L76" s="35"/>
      <c r="N76" s="35"/>
      <c r="P76" s="35"/>
      <c r="R76" s="35"/>
      <c r="T76" s="35"/>
      <c r="V76" s="35"/>
      <c r="X76" s="35"/>
      <c r="Z76" s="35"/>
      <c r="AB76" s="35"/>
      <c r="AD76" s="35"/>
      <c r="AF76" s="35"/>
      <c r="AH76" s="35"/>
      <c r="AJ76" s="35"/>
      <c r="AL76" s="35"/>
      <c r="AN76" s="35"/>
      <c r="AP76" s="35"/>
      <c r="AR76" s="35"/>
      <c r="AT76" s="35"/>
      <c r="AV76" s="35"/>
      <c r="AX76" s="35"/>
      <c r="AZ76" s="35"/>
      <c r="BB76" s="35"/>
      <c r="BD76" s="35"/>
      <c r="BF76" s="35"/>
      <c r="BH76" s="35"/>
      <c r="BJ76" s="35"/>
      <c r="BL76" s="35"/>
      <c r="BN76" s="89"/>
    </row>
    <row r="77" spans="1:67" ht="14.45" customHeight="1" x14ac:dyDescent="0.25">
      <c r="B77" s="114" t="s">
        <v>102</v>
      </c>
      <c r="C77" s="114"/>
      <c r="D77" s="31"/>
      <c r="F77" s="45">
        <v>0</v>
      </c>
      <c r="H77" s="45">
        <v>0</v>
      </c>
      <c r="J77" s="45">
        <v>0</v>
      </c>
      <c r="L77" s="45">
        <v>0</v>
      </c>
      <c r="N77" s="45">
        <v>0</v>
      </c>
      <c r="P77" s="45">
        <v>0</v>
      </c>
      <c r="R77" s="45">
        <v>0</v>
      </c>
      <c r="T77" s="45">
        <v>0</v>
      </c>
      <c r="V77" s="45">
        <v>0</v>
      </c>
      <c r="X77" s="45">
        <v>0</v>
      </c>
      <c r="Z77" s="45">
        <v>0</v>
      </c>
      <c r="AB77" s="45">
        <v>0</v>
      </c>
      <c r="AD77" s="45">
        <v>0</v>
      </c>
      <c r="AF77" s="45">
        <v>0</v>
      </c>
      <c r="AH77" s="45">
        <v>0</v>
      </c>
      <c r="AJ77" s="45">
        <v>0</v>
      </c>
      <c r="AL77" s="45">
        <v>0</v>
      </c>
      <c r="AN77" s="45">
        <v>0</v>
      </c>
      <c r="AP77" s="45">
        <v>0</v>
      </c>
      <c r="AR77" s="45">
        <v>0</v>
      </c>
      <c r="AT77" s="45">
        <v>0</v>
      </c>
      <c r="AV77" s="45">
        <v>0</v>
      </c>
      <c r="AX77" s="45">
        <v>0</v>
      </c>
      <c r="AZ77" s="45">
        <v>0</v>
      </c>
      <c r="BB77" s="45">
        <v>0</v>
      </c>
      <c r="BD77" s="45">
        <v>0</v>
      </c>
      <c r="BF77" s="45">
        <v>0</v>
      </c>
      <c r="BH77" s="45">
        <v>0</v>
      </c>
      <c r="BJ77" s="45">
        <v>0</v>
      </c>
      <c r="BL77" s="45">
        <v>0</v>
      </c>
      <c r="BN77" s="36">
        <f>SUMIF(D$32:BO$32,"Dollar Value",D77:BO77)</f>
        <v>0</v>
      </c>
    </row>
    <row r="78" spans="1:67" ht="14.45" customHeight="1" x14ac:dyDescent="0.25">
      <c r="B78" s="2"/>
      <c r="C78" s="2"/>
      <c r="D78" s="31"/>
      <c r="F78" s="35"/>
      <c r="H78" s="35"/>
      <c r="J78" s="35"/>
      <c r="L78" s="35"/>
      <c r="N78" s="35"/>
      <c r="P78" s="35"/>
      <c r="R78" s="35"/>
      <c r="T78" s="35"/>
      <c r="V78" s="35"/>
      <c r="X78" s="35"/>
      <c r="Z78" s="35"/>
      <c r="AB78" s="35"/>
      <c r="AD78" s="35"/>
      <c r="AF78" s="35"/>
      <c r="AH78" s="35"/>
      <c r="AJ78" s="35"/>
      <c r="AL78" s="35"/>
      <c r="AN78" s="35"/>
      <c r="AP78" s="35"/>
      <c r="AR78" s="35"/>
      <c r="AT78" s="35"/>
      <c r="AV78" s="35"/>
      <c r="AX78" s="35"/>
      <c r="AZ78" s="35"/>
      <c r="BB78" s="35"/>
      <c r="BD78" s="35"/>
      <c r="BF78" s="35"/>
      <c r="BH78" s="35"/>
      <c r="BJ78" s="35"/>
      <c r="BL78" s="35"/>
      <c r="BN78" s="36"/>
    </row>
    <row r="79" spans="1:67" ht="14.45" customHeight="1" x14ac:dyDescent="0.25">
      <c r="B79" s="114" t="s">
        <v>103</v>
      </c>
      <c r="C79" s="114"/>
      <c r="D79" s="31"/>
      <c r="F79" s="45">
        <v>0</v>
      </c>
      <c r="H79" s="45">
        <v>0</v>
      </c>
      <c r="J79" s="45">
        <v>0</v>
      </c>
      <c r="L79" s="45">
        <v>0</v>
      </c>
      <c r="N79" s="45">
        <v>0</v>
      </c>
      <c r="P79" s="45">
        <v>0</v>
      </c>
      <c r="R79" s="45">
        <v>0</v>
      </c>
      <c r="T79" s="45">
        <v>0</v>
      </c>
      <c r="V79" s="45">
        <v>0</v>
      </c>
      <c r="X79" s="45">
        <v>0</v>
      </c>
      <c r="Z79" s="45">
        <v>0</v>
      </c>
      <c r="AB79" s="45">
        <v>0</v>
      </c>
      <c r="AD79" s="45">
        <v>0</v>
      </c>
      <c r="AF79" s="45">
        <v>0</v>
      </c>
      <c r="AH79" s="45">
        <v>0</v>
      </c>
      <c r="AJ79" s="45">
        <v>0</v>
      </c>
      <c r="AL79" s="45">
        <v>0</v>
      </c>
      <c r="AN79" s="45">
        <v>0</v>
      </c>
      <c r="AP79" s="45">
        <v>0</v>
      </c>
      <c r="AR79" s="45">
        <v>0</v>
      </c>
      <c r="AT79" s="45">
        <v>0</v>
      </c>
      <c r="AV79" s="45">
        <v>0</v>
      </c>
      <c r="AX79" s="45">
        <v>0</v>
      </c>
      <c r="AZ79" s="45">
        <v>0</v>
      </c>
      <c r="BB79" s="45">
        <v>0</v>
      </c>
      <c r="BD79" s="45">
        <v>0</v>
      </c>
      <c r="BF79" s="45">
        <v>0</v>
      </c>
      <c r="BH79" s="45">
        <v>0</v>
      </c>
      <c r="BJ79" s="45">
        <v>0</v>
      </c>
      <c r="BL79" s="45">
        <v>0</v>
      </c>
      <c r="BN79" s="36">
        <f>SUMIF(D$32:BO$32,"Dollar Value",D79:BO79)</f>
        <v>0</v>
      </c>
    </row>
    <row r="80" spans="1:67" ht="14.45" customHeight="1" x14ac:dyDescent="0.25">
      <c r="B80" s="2"/>
      <c r="C80" s="2"/>
      <c r="D80" s="31"/>
      <c r="F80" s="35"/>
      <c r="H80" s="35"/>
      <c r="J80" s="35"/>
      <c r="L80" s="35"/>
      <c r="N80" s="35"/>
      <c r="P80" s="35"/>
      <c r="R80" s="35"/>
      <c r="T80" s="35"/>
      <c r="V80" s="35"/>
      <c r="X80" s="35"/>
      <c r="Z80" s="35"/>
      <c r="AB80" s="35"/>
      <c r="AD80" s="35"/>
      <c r="AF80" s="35"/>
      <c r="AH80" s="35"/>
      <c r="AJ80" s="35"/>
      <c r="AL80" s="35"/>
      <c r="AN80" s="35"/>
      <c r="AP80" s="35"/>
      <c r="AR80" s="35"/>
      <c r="AT80" s="35"/>
      <c r="AV80" s="35"/>
      <c r="AX80" s="35"/>
      <c r="AZ80" s="35"/>
      <c r="BB80" s="35"/>
      <c r="BD80" s="35"/>
      <c r="BF80" s="35"/>
      <c r="BH80" s="35"/>
      <c r="BJ80" s="35"/>
      <c r="BL80" s="35"/>
      <c r="BN80" s="36"/>
    </row>
    <row r="81" spans="2:66" ht="14.45" customHeight="1" x14ac:dyDescent="0.25">
      <c r="B81" s="114" t="s">
        <v>104</v>
      </c>
      <c r="C81" s="114"/>
      <c r="D81" s="31"/>
      <c r="F81" s="45">
        <v>0</v>
      </c>
      <c r="H81" s="45">
        <v>0</v>
      </c>
      <c r="J81" s="45">
        <v>0</v>
      </c>
      <c r="L81" s="45">
        <v>0</v>
      </c>
      <c r="N81" s="45">
        <v>0</v>
      </c>
      <c r="P81" s="45">
        <v>0</v>
      </c>
      <c r="R81" s="45">
        <v>0</v>
      </c>
      <c r="T81" s="45">
        <v>0</v>
      </c>
      <c r="V81" s="45">
        <v>0</v>
      </c>
      <c r="X81" s="45">
        <v>0</v>
      </c>
      <c r="Z81" s="45">
        <v>0</v>
      </c>
      <c r="AB81" s="45">
        <v>0</v>
      </c>
      <c r="AD81" s="45">
        <v>0</v>
      </c>
      <c r="AF81" s="45">
        <v>0</v>
      </c>
      <c r="AH81" s="45">
        <v>0</v>
      </c>
      <c r="AJ81" s="45">
        <v>0</v>
      </c>
      <c r="AL81" s="45">
        <v>0</v>
      </c>
      <c r="AN81" s="45">
        <v>0</v>
      </c>
      <c r="AP81" s="45">
        <v>0</v>
      </c>
      <c r="AR81" s="45">
        <v>0</v>
      </c>
      <c r="AT81" s="45">
        <v>0</v>
      </c>
      <c r="AV81" s="45">
        <v>0</v>
      </c>
      <c r="AX81" s="45">
        <v>0</v>
      </c>
      <c r="AZ81" s="45">
        <v>0</v>
      </c>
      <c r="BB81" s="45">
        <v>0</v>
      </c>
      <c r="BD81" s="45">
        <v>0</v>
      </c>
      <c r="BF81" s="45">
        <v>0</v>
      </c>
      <c r="BH81" s="45">
        <v>0</v>
      </c>
      <c r="BJ81" s="45">
        <v>0</v>
      </c>
      <c r="BL81" s="45">
        <v>0</v>
      </c>
      <c r="BN81" s="36">
        <f>SUMIF(D$32:BO$32,"Dollar Value",D81:BO81)</f>
        <v>0</v>
      </c>
    </row>
    <row r="82" spans="2:66" ht="14.45" customHeight="1" x14ac:dyDescent="0.25">
      <c r="B82" s="2"/>
      <c r="C82" s="2"/>
      <c r="D82" s="31"/>
      <c r="F82" s="35"/>
      <c r="H82" s="35"/>
      <c r="J82" s="35"/>
      <c r="L82" s="35"/>
      <c r="N82" s="35"/>
      <c r="P82" s="35"/>
      <c r="R82" s="35"/>
      <c r="T82" s="35"/>
      <c r="V82" s="35"/>
      <c r="X82" s="35"/>
      <c r="Z82" s="35"/>
      <c r="AB82" s="35"/>
      <c r="AD82" s="35"/>
      <c r="AF82" s="35"/>
      <c r="AH82" s="35"/>
      <c r="AJ82" s="35"/>
      <c r="AL82" s="35"/>
      <c r="AN82" s="35"/>
      <c r="AP82" s="35"/>
      <c r="AR82" s="35"/>
      <c r="AT82" s="35"/>
      <c r="AV82" s="35"/>
      <c r="AX82" s="35"/>
      <c r="AZ82" s="35"/>
      <c r="BB82" s="35"/>
      <c r="BD82" s="35"/>
      <c r="BF82" s="35"/>
      <c r="BH82" s="35"/>
      <c r="BJ82" s="35"/>
      <c r="BL82" s="35"/>
      <c r="BN82" s="36"/>
    </row>
    <row r="83" spans="2:66" ht="15.95" customHeight="1" x14ac:dyDescent="0.25">
      <c r="B83" s="114" t="s">
        <v>105</v>
      </c>
      <c r="C83" s="114"/>
      <c r="D83" s="31"/>
      <c r="F83" s="45">
        <v>0</v>
      </c>
      <c r="H83" s="45">
        <v>0</v>
      </c>
      <c r="J83" s="45">
        <v>0</v>
      </c>
      <c r="L83" s="45">
        <v>0</v>
      </c>
      <c r="N83" s="45">
        <v>0</v>
      </c>
      <c r="P83" s="45">
        <v>0</v>
      </c>
      <c r="R83" s="45">
        <v>0</v>
      </c>
      <c r="T83" s="45">
        <v>0</v>
      </c>
      <c r="V83" s="45">
        <v>0</v>
      </c>
      <c r="X83" s="45">
        <v>0</v>
      </c>
      <c r="Z83" s="45">
        <v>0</v>
      </c>
      <c r="AB83" s="45">
        <v>0</v>
      </c>
      <c r="AD83" s="45">
        <v>0</v>
      </c>
      <c r="AF83" s="45">
        <v>0</v>
      </c>
      <c r="AH83" s="45">
        <v>0</v>
      </c>
      <c r="AJ83" s="45">
        <v>0</v>
      </c>
      <c r="AL83" s="45">
        <v>0</v>
      </c>
      <c r="AN83" s="45">
        <v>0</v>
      </c>
      <c r="AP83" s="45">
        <v>0</v>
      </c>
      <c r="AR83" s="45">
        <v>0</v>
      </c>
      <c r="AT83" s="45">
        <v>0</v>
      </c>
      <c r="AV83" s="45">
        <v>0</v>
      </c>
      <c r="AX83" s="45">
        <v>0</v>
      </c>
      <c r="AZ83" s="45">
        <v>0</v>
      </c>
      <c r="BB83" s="45">
        <v>0</v>
      </c>
      <c r="BD83" s="45">
        <v>0</v>
      </c>
      <c r="BF83" s="45">
        <v>0</v>
      </c>
      <c r="BH83" s="45">
        <v>0</v>
      </c>
      <c r="BJ83" s="45">
        <v>0</v>
      </c>
      <c r="BL83" s="45">
        <v>0</v>
      </c>
      <c r="BN83" s="36">
        <f>SUMIF(D$32:BO$32,"Dollar Value",D83:BO83)</f>
        <v>0</v>
      </c>
    </row>
    <row r="84" spans="2:66" ht="14.45" customHeight="1" x14ac:dyDescent="0.25">
      <c r="D84" s="31"/>
      <c r="F84" s="48"/>
      <c r="H84" s="48"/>
      <c r="J84" s="48"/>
      <c r="L84" s="48"/>
      <c r="N84" s="48"/>
      <c r="P84" s="48"/>
      <c r="R84" s="48"/>
      <c r="T84" s="48"/>
      <c r="V84" s="48"/>
      <c r="X84" s="48"/>
      <c r="Z84" s="48"/>
      <c r="AB84" s="48"/>
      <c r="AD84" s="48"/>
      <c r="AF84" s="48"/>
      <c r="AH84" s="48"/>
      <c r="AJ84" s="48"/>
      <c r="AL84" s="48"/>
      <c r="AN84" s="48"/>
      <c r="AP84" s="48"/>
      <c r="AR84" s="48"/>
      <c r="AT84" s="48"/>
      <c r="AV84" s="48"/>
      <c r="AX84" s="48"/>
      <c r="AZ84" s="48"/>
      <c r="BB84" s="48"/>
      <c r="BD84" s="48"/>
      <c r="BF84" s="48"/>
      <c r="BH84" s="48"/>
      <c r="BJ84" s="48"/>
      <c r="BL84" s="48"/>
      <c r="BN84" s="36"/>
    </row>
    <row r="85" spans="2:66" ht="15" hidden="1" customHeight="1" x14ac:dyDescent="0.25">
      <c r="B85" s="114" t="s">
        <v>106</v>
      </c>
      <c r="C85" s="114"/>
      <c r="D85" s="31"/>
      <c r="F85" s="45">
        <v>0</v>
      </c>
      <c r="H85" s="45">
        <v>0</v>
      </c>
      <c r="J85" s="45">
        <v>0</v>
      </c>
      <c r="L85" s="45">
        <v>0</v>
      </c>
      <c r="N85" s="45">
        <v>0</v>
      </c>
      <c r="P85" s="45">
        <v>0</v>
      </c>
      <c r="R85" s="45">
        <v>0</v>
      </c>
      <c r="T85" s="45">
        <v>0</v>
      </c>
      <c r="V85" s="45">
        <v>0</v>
      </c>
      <c r="X85" s="45">
        <v>0</v>
      </c>
      <c r="Z85" s="45">
        <v>0</v>
      </c>
      <c r="AB85" s="45">
        <v>0</v>
      </c>
      <c r="AD85" s="45">
        <v>0</v>
      </c>
      <c r="AF85" s="45">
        <v>0</v>
      </c>
      <c r="AH85" s="45">
        <v>0</v>
      </c>
      <c r="AJ85" s="45">
        <v>0</v>
      </c>
      <c r="AL85" s="45">
        <v>0</v>
      </c>
      <c r="AN85" s="45">
        <v>0</v>
      </c>
      <c r="AP85" s="45">
        <v>0</v>
      </c>
      <c r="AR85" s="45">
        <v>0</v>
      </c>
      <c r="AT85" s="45">
        <v>0</v>
      </c>
      <c r="AV85" s="45">
        <v>0</v>
      </c>
      <c r="AX85" s="45">
        <v>0</v>
      </c>
      <c r="AZ85" s="45">
        <v>0</v>
      </c>
      <c r="BB85" s="45">
        <v>0</v>
      </c>
      <c r="BD85" s="45">
        <v>0</v>
      </c>
      <c r="BF85" s="45">
        <v>0</v>
      </c>
      <c r="BH85" s="45">
        <v>0</v>
      </c>
      <c r="BJ85" s="45">
        <v>0</v>
      </c>
      <c r="BL85" s="45">
        <v>0</v>
      </c>
      <c r="BN85" s="36">
        <f>SUMIF(D$32:BO$32,"Dollar Value",D85:BO85)</f>
        <v>0</v>
      </c>
    </row>
    <row r="86" spans="2:66" ht="15" hidden="1" customHeight="1" x14ac:dyDescent="0.25">
      <c r="B86" s="2"/>
      <c r="C86" s="2"/>
      <c r="D86" s="97"/>
      <c r="E86" s="47"/>
      <c r="F86" s="48"/>
      <c r="G86" s="47"/>
      <c r="H86" s="48"/>
      <c r="I86" s="47"/>
      <c r="J86" s="48"/>
      <c r="K86" s="47"/>
      <c r="L86" s="48"/>
      <c r="M86" s="47"/>
      <c r="N86" s="48"/>
      <c r="O86" s="47"/>
      <c r="P86" s="48"/>
      <c r="Q86" s="47"/>
      <c r="R86" s="48"/>
      <c r="S86" s="47"/>
      <c r="T86" s="48"/>
      <c r="U86" s="47"/>
      <c r="V86" s="48"/>
      <c r="W86" s="47"/>
      <c r="X86" s="48"/>
      <c r="Y86" s="47"/>
      <c r="Z86" s="48"/>
      <c r="AA86" s="47"/>
      <c r="AB86" s="48"/>
      <c r="AC86" s="47"/>
      <c r="AD86" s="48"/>
      <c r="AE86" s="47"/>
      <c r="AF86" s="48"/>
      <c r="AG86" s="47"/>
      <c r="AH86" s="48"/>
      <c r="AI86" s="72"/>
      <c r="AJ86" s="44"/>
      <c r="AK86" s="73"/>
      <c r="AL86" s="77"/>
      <c r="AM86" s="73"/>
      <c r="AN86" s="77"/>
      <c r="AO86" s="73"/>
      <c r="AP86" s="77"/>
      <c r="AQ86" s="73"/>
      <c r="AR86" s="77"/>
      <c r="AS86" s="73"/>
      <c r="AT86" s="77"/>
      <c r="AU86" s="73"/>
      <c r="AV86" s="77"/>
      <c r="AW86" s="73"/>
      <c r="AX86" s="77"/>
      <c r="AY86" s="73"/>
      <c r="AZ86" s="77"/>
      <c r="BA86" s="73"/>
      <c r="BB86" s="77"/>
      <c r="BC86" s="73"/>
      <c r="BD86" s="77"/>
      <c r="BE86" s="73"/>
      <c r="BF86" s="77"/>
      <c r="BG86" s="73"/>
      <c r="BH86" s="77"/>
      <c r="BI86" s="73"/>
      <c r="BJ86" s="77"/>
      <c r="BK86" s="73"/>
      <c r="BL86" s="77"/>
      <c r="BN86" s="36"/>
    </row>
    <row r="87" spans="2:66" ht="15" hidden="1" customHeight="1" x14ac:dyDescent="0.25">
      <c r="B87" s="114" t="s">
        <v>107</v>
      </c>
      <c r="C87" s="114"/>
      <c r="D87" s="31"/>
      <c r="F87" s="45">
        <v>0</v>
      </c>
      <c r="H87" s="45">
        <v>0</v>
      </c>
      <c r="J87" s="45">
        <v>0</v>
      </c>
      <c r="L87" s="45">
        <v>0</v>
      </c>
      <c r="N87" s="45">
        <v>0</v>
      </c>
      <c r="P87" s="45">
        <v>0</v>
      </c>
      <c r="R87" s="45">
        <v>0</v>
      </c>
      <c r="T87" s="45">
        <v>0</v>
      </c>
      <c r="V87" s="45">
        <v>0</v>
      </c>
      <c r="X87" s="45">
        <v>0</v>
      </c>
      <c r="Z87" s="45">
        <v>0</v>
      </c>
      <c r="AB87" s="45">
        <v>0</v>
      </c>
      <c r="AD87" s="45">
        <v>0</v>
      </c>
      <c r="AF87" s="45">
        <v>0</v>
      </c>
      <c r="AH87" s="45">
        <v>0</v>
      </c>
      <c r="AJ87" s="45">
        <v>0</v>
      </c>
      <c r="AL87" s="45">
        <v>0</v>
      </c>
      <c r="AN87" s="45">
        <v>0</v>
      </c>
      <c r="AP87" s="45">
        <v>0</v>
      </c>
      <c r="AR87" s="45">
        <v>0</v>
      </c>
      <c r="AT87" s="45">
        <v>0</v>
      </c>
      <c r="AV87" s="45">
        <v>0</v>
      </c>
      <c r="AX87" s="45">
        <v>0</v>
      </c>
      <c r="AZ87" s="45">
        <v>0</v>
      </c>
      <c r="BB87" s="45">
        <v>0</v>
      </c>
      <c r="BD87" s="45">
        <v>0</v>
      </c>
      <c r="BF87" s="45">
        <v>0</v>
      </c>
      <c r="BH87" s="45">
        <v>0</v>
      </c>
      <c r="BJ87" s="45">
        <v>0</v>
      </c>
      <c r="BL87" s="45">
        <v>0</v>
      </c>
      <c r="BN87" s="36">
        <f>SUMIF(D$32:BO$32,"Dollar Value",D87:BO87)</f>
        <v>0</v>
      </c>
    </row>
    <row r="88" spans="2:66" ht="15" hidden="1" customHeight="1" x14ac:dyDescent="0.25">
      <c r="B88" s="2"/>
      <c r="C88" s="2"/>
      <c r="D88" s="97"/>
      <c r="E88" s="47"/>
      <c r="F88" s="48"/>
      <c r="G88" s="47"/>
      <c r="H88" s="48"/>
      <c r="I88" s="47"/>
      <c r="J88" s="48"/>
      <c r="K88" s="47"/>
      <c r="L88" s="48"/>
      <c r="M88" s="47"/>
      <c r="N88" s="48"/>
      <c r="O88" s="47"/>
      <c r="P88" s="48"/>
      <c r="Q88" s="47"/>
      <c r="R88" s="48"/>
      <c r="S88" s="47"/>
      <c r="T88" s="48"/>
      <c r="U88" s="47"/>
      <c r="V88" s="48"/>
      <c r="W88" s="47"/>
      <c r="X88" s="48"/>
      <c r="Y88" s="47"/>
      <c r="Z88" s="48"/>
      <c r="AA88" s="47"/>
      <c r="AB88" s="48"/>
      <c r="AC88" s="47"/>
      <c r="AD88" s="48"/>
      <c r="AE88" s="47"/>
      <c r="AF88" s="48"/>
      <c r="AG88" s="47"/>
      <c r="AH88" s="48"/>
      <c r="AI88" s="72"/>
      <c r="AJ88" s="44"/>
      <c r="AK88" s="73"/>
      <c r="AL88" s="77"/>
      <c r="AM88" s="73"/>
      <c r="AN88" s="77"/>
      <c r="AO88" s="73"/>
      <c r="AP88" s="77"/>
      <c r="AQ88" s="73"/>
      <c r="AR88" s="77"/>
      <c r="AS88" s="73"/>
      <c r="AT88" s="77"/>
      <c r="AU88" s="73"/>
      <c r="AV88" s="77"/>
      <c r="AW88" s="73"/>
      <c r="AX88" s="77"/>
      <c r="AY88" s="73"/>
      <c r="AZ88" s="77"/>
      <c r="BA88" s="73"/>
      <c r="BB88" s="77"/>
      <c r="BC88" s="73"/>
      <c r="BD88" s="77"/>
      <c r="BE88" s="73"/>
      <c r="BF88" s="77"/>
      <c r="BG88" s="73"/>
      <c r="BH88" s="77"/>
      <c r="BI88" s="73"/>
      <c r="BJ88" s="77"/>
      <c r="BK88" s="73"/>
      <c r="BL88" s="77"/>
      <c r="BN88" s="36"/>
    </row>
    <row r="89" spans="2:66" ht="15" hidden="1" customHeight="1" x14ac:dyDescent="0.25">
      <c r="B89" s="114" t="s">
        <v>108</v>
      </c>
      <c r="C89" s="114"/>
      <c r="D89" s="31"/>
      <c r="F89" s="45">
        <v>0</v>
      </c>
      <c r="H89" s="45">
        <v>0</v>
      </c>
      <c r="J89" s="45">
        <v>0</v>
      </c>
      <c r="L89" s="45">
        <v>0</v>
      </c>
      <c r="N89" s="45">
        <v>0</v>
      </c>
      <c r="P89" s="45">
        <v>0</v>
      </c>
      <c r="R89" s="45">
        <v>0</v>
      </c>
      <c r="T89" s="45">
        <v>0</v>
      </c>
      <c r="V89" s="45">
        <v>0</v>
      </c>
      <c r="X89" s="45">
        <v>0</v>
      </c>
      <c r="Z89" s="45">
        <v>0</v>
      </c>
      <c r="AB89" s="45">
        <v>0</v>
      </c>
      <c r="AD89" s="45">
        <v>0</v>
      </c>
      <c r="AF89" s="45">
        <v>0</v>
      </c>
      <c r="AH89" s="45">
        <v>0</v>
      </c>
      <c r="AJ89" s="45">
        <v>0</v>
      </c>
      <c r="AL89" s="45">
        <v>0</v>
      </c>
      <c r="AN89" s="45">
        <v>0</v>
      </c>
      <c r="AP89" s="45">
        <v>0</v>
      </c>
      <c r="AR89" s="45">
        <v>0</v>
      </c>
      <c r="AT89" s="45">
        <v>0</v>
      </c>
      <c r="AV89" s="45">
        <v>0</v>
      </c>
      <c r="AX89" s="45">
        <v>0</v>
      </c>
      <c r="AZ89" s="45">
        <v>0</v>
      </c>
      <c r="BB89" s="45">
        <v>0</v>
      </c>
      <c r="BD89" s="45">
        <v>0</v>
      </c>
      <c r="BF89" s="45">
        <v>0</v>
      </c>
      <c r="BH89" s="45">
        <v>0</v>
      </c>
      <c r="BJ89" s="45">
        <v>0</v>
      </c>
      <c r="BL89" s="45">
        <v>0</v>
      </c>
      <c r="BN89" s="36">
        <f>SUMIF(D$32:BO$32,"Dollar Value",D89:BO89)</f>
        <v>0</v>
      </c>
    </row>
    <row r="90" spans="2:66" ht="15" hidden="1" customHeight="1" x14ac:dyDescent="0.25">
      <c r="B90" s="2"/>
      <c r="C90" s="2"/>
      <c r="D90" s="31"/>
      <c r="F90" s="35"/>
      <c r="H90" s="35"/>
      <c r="J90" s="35"/>
      <c r="L90" s="35"/>
      <c r="N90" s="35"/>
      <c r="P90" s="35"/>
      <c r="R90" s="35"/>
      <c r="T90" s="35"/>
      <c r="V90" s="35"/>
      <c r="X90" s="35"/>
      <c r="Z90" s="35"/>
      <c r="AB90" s="35"/>
      <c r="AD90" s="35"/>
      <c r="AF90" s="35"/>
      <c r="AH90" s="35"/>
      <c r="AI90" s="53"/>
      <c r="AJ90" s="35"/>
      <c r="AL90" s="35"/>
      <c r="AN90" s="35"/>
      <c r="AP90" s="35"/>
      <c r="AR90" s="35"/>
      <c r="AT90" s="35"/>
      <c r="AV90" s="35"/>
      <c r="AX90" s="35"/>
      <c r="AZ90" s="35"/>
      <c r="BB90" s="35"/>
      <c r="BD90" s="35"/>
      <c r="BF90" s="35"/>
      <c r="BH90" s="35"/>
      <c r="BJ90" s="35"/>
      <c r="BL90" s="35"/>
      <c r="BN90" s="36"/>
    </row>
    <row r="91" spans="2:66" ht="15" hidden="1" customHeight="1" x14ac:dyDescent="0.25">
      <c r="B91" s="114" t="s">
        <v>109</v>
      </c>
      <c r="C91" s="114"/>
      <c r="D91" s="31"/>
      <c r="F91" s="45">
        <v>0</v>
      </c>
      <c r="H91" s="45">
        <v>0</v>
      </c>
      <c r="J91" s="45">
        <v>0</v>
      </c>
      <c r="L91" s="45">
        <v>0</v>
      </c>
      <c r="N91" s="45">
        <v>0</v>
      </c>
      <c r="P91" s="45">
        <v>0</v>
      </c>
      <c r="R91" s="45">
        <v>0</v>
      </c>
      <c r="T91" s="45">
        <v>0</v>
      </c>
      <c r="V91" s="45">
        <v>0</v>
      </c>
      <c r="X91" s="45">
        <v>0</v>
      </c>
      <c r="Z91" s="45">
        <v>0</v>
      </c>
      <c r="AB91" s="45">
        <v>0</v>
      </c>
      <c r="AD91" s="45">
        <v>0</v>
      </c>
      <c r="AF91" s="45">
        <v>0</v>
      </c>
      <c r="AH91" s="45">
        <v>0</v>
      </c>
      <c r="AI91" s="53"/>
      <c r="AJ91" s="45">
        <v>0</v>
      </c>
      <c r="AL91" s="45">
        <v>0</v>
      </c>
      <c r="AN91" s="45">
        <v>0</v>
      </c>
      <c r="AP91" s="45">
        <v>0</v>
      </c>
      <c r="AR91" s="45">
        <v>0</v>
      </c>
      <c r="AT91" s="45">
        <v>0</v>
      </c>
      <c r="AV91" s="45">
        <v>0</v>
      </c>
      <c r="AX91" s="45">
        <v>0</v>
      </c>
      <c r="AZ91" s="45">
        <v>0</v>
      </c>
      <c r="BB91" s="45">
        <v>0</v>
      </c>
      <c r="BD91" s="45">
        <v>0</v>
      </c>
      <c r="BF91" s="45">
        <v>0</v>
      </c>
      <c r="BH91" s="45">
        <v>0</v>
      </c>
      <c r="BJ91" s="45">
        <v>0</v>
      </c>
      <c r="BL91" s="45">
        <v>0</v>
      </c>
      <c r="BN91" s="36">
        <f>SUMIF(D$32:BO$32,"Dollar Value",D91:BO91)</f>
        <v>0</v>
      </c>
    </row>
    <row r="92" spans="2:66" ht="15" hidden="1" customHeight="1" x14ac:dyDescent="0.25">
      <c r="B92" s="2"/>
      <c r="C92" s="2"/>
      <c r="D92" s="31"/>
      <c r="F92" s="35"/>
      <c r="H92" s="35"/>
      <c r="J92" s="35"/>
      <c r="L92" s="35"/>
      <c r="N92" s="35"/>
      <c r="P92" s="35"/>
      <c r="R92" s="35"/>
      <c r="T92" s="35"/>
      <c r="V92" s="35"/>
      <c r="X92" s="35"/>
      <c r="Z92" s="35"/>
      <c r="AB92" s="35"/>
      <c r="AD92" s="35"/>
      <c r="AF92" s="35"/>
      <c r="AH92" s="35"/>
      <c r="AJ92" s="35"/>
      <c r="AL92" s="35"/>
      <c r="AN92" s="35"/>
      <c r="AP92" s="35"/>
      <c r="AR92" s="35"/>
      <c r="AT92" s="35"/>
      <c r="AV92" s="35"/>
      <c r="AX92" s="35"/>
      <c r="AZ92" s="35"/>
      <c r="BB92" s="35"/>
      <c r="BD92" s="35"/>
      <c r="BF92" s="35"/>
      <c r="BH92" s="35"/>
      <c r="BJ92" s="35"/>
      <c r="BL92" s="35"/>
      <c r="BN92" s="36"/>
    </row>
    <row r="93" spans="2:66" ht="15" hidden="1" customHeight="1" x14ac:dyDescent="0.25">
      <c r="B93" s="114" t="s">
        <v>110</v>
      </c>
      <c r="C93" s="114"/>
      <c r="D93" s="31"/>
      <c r="F93" s="45">
        <v>0</v>
      </c>
      <c r="H93" s="45">
        <v>0</v>
      </c>
      <c r="J93" s="45">
        <v>0</v>
      </c>
      <c r="L93" s="45">
        <v>0</v>
      </c>
      <c r="N93" s="45">
        <v>0</v>
      </c>
      <c r="P93" s="45">
        <v>0</v>
      </c>
      <c r="R93" s="45">
        <v>0</v>
      </c>
      <c r="T93" s="45">
        <v>0</v>
      </c>
      <c r="V93" s="45">
        <v>0</v>
      </c>
      <c r="X93" s="45">
        <v>0</v>
      </c>
      <c r="Z93" s="45">
        <v>0</v>
      </c>
      <c r="AB93" s="45">
        <v>0</v>
      </c>
      <c r="AD93" s="45">
        <v>0</v>
      </c>
      <c r="AF93" s="45">
        <v>0</v>
      </c>
      <c r="AH93" s="45">
        <v>0</v>
      </c>
      <c r="AJ93" s="45">
        <v>0</v>
      </c>
      <c r="AL93" s="45">
        <v>0</v>
      </c>
      <c r="AN93" s="45">
        <v>0</v>
      </c>
      <c r="AP93" s="45">
        <v>0</v>
      </c>
      <c r="AR93" s="45">
        <v>0</v>
      </c>
      <c r="AT93" s="45">
        <v>0</v>
      </c>
      <c r="AV93" s="45">
        <v>0</v>
      </c>
      <c r="AX93" s="45">
        <v>0</v>
      </c>
      <c r="AZ93" s="45">
        <v>0</v>
      </c>
      <c r="BB93" s="45">
        <v>0</v>
      </c>
      <c r="BD93" s="45">
        <v>0</v>
      </c>
      <c r="BF93" s="45">
        <v>0</v>
      </c>
      <c r="BH93" s="45">
        <v>0</v>
      </c>
      <c r="BJ93" s="45">
        <v>0</v>
      </c>
      <c r="BL93" s="45">
        <v>0</v>
      </c>
      <c r="BN93" s="36">
        <f>SUMIF(D$32:BO$32,"Dollar Value",D93:BO93)</f>
        <v>0</v>
      </c>
    </row>
    <row r="94" spans="2:66" ht="14.45" customHeight="1" x14ac:dyDescent="0.25">
      <c r="D94" s="31"/>
      <c r="F94" s="35"/>
      <c r="H94" s="35"/>
      <c r="J94" s="35"/>
      <c r="L94" s="35"/>
      <c r="N94" s="35"/>
      <c r="P94" s="35"/>
      <c r="R94" s="35"/>
      <c r="T94" s="35"/>
      <c r="V94" s="35"/>
      <c r="X94" s="35"/>
      <c r="Z94" s="35"/>
      <c r="AB94" s="35"/>
      <c r="AD94" s="35"/>
      <c r="AF94" s="35"/>
      <c r="AH94" s="35"/>
      <c r="AJ94" s="35"/>
      <c r="AL94" s="35"/>
      <c r="AN94" s="35"/>
      <c r="AP94" s="35"/>
      <c r="AR94" s="35"/>
      <c r="AT94" s="35"/>
      <c r="AV94" s="35"/>
      <c r="AX94" s="35"/>
      <c r="AZ94" s="35"/>
      <c r="BB94" s="35"/>
      <c r="BD94" s="35"/>
      <c r="BF94" s="35"/>
      <c r="BH94" s="35"/>
      <c r="BJ94" s="35"/>
      <c r="BL94" s="35"/>
      <c r="BN94" s="36"/>
    </row>
    <row r="95" spans="2:66" ht="14.45" customHeight="1" x14ac:dyDescent="0.25">
      <c r="B95" t="s">
        <v>12</v>
      </c>
      <c r="D95" s="31"/>
      <c r="F95" s="35"/>
      <c r="H95" s="35"/>
      <c r="J95" s="35"/>
      <c r="L95" s="35"/>
      <c r="N95" s="35"/>
      <c r="P95" s="35"/>
      <c r="R95" s="35"/>
      <c r="T95" s="35"/>
      <c r="V95" s="35"/>
      <c r="X95" s="35"/>
      <c r="Z95" s="35"/>
      <c r="AB95" s="35"/>
      <c r="AD95" s="35"/>
      <c r="AF95" s="35"/>
      <c r="AH95" s="35"/>
      <c r="AJ95" s="35"/>
      <c r="AL95" s="35"/>
      <c r="AN95" s="35"/>
      <c r="AP95" s="35"/>
      <c r="AR95" s="35"/>
      <c r="AT95" s="35"/>
      <c r="AV95" s="35"/>
      <c r="AX95" s="35"/>
      <c r="AZ95" s="35"/>
      <c r="BB95" s="35"/>
      <c r="BD95" s="35"/>
      <c r="BF95" s="35"/>
      <c r="BH95" s="35"/>
      <c r="BJ95" s="35"/>
      <c r="BL95" s="35"/>
      <c r="BN95" s="43"/>
    </row>
    <row r="96" spans="2:66" ht="14.45" customHeight="1" x14ac:dyDescent="0.25">
      <c r="B96" s="3" t="s">
        <v>178</v>
      </c>
      <c r="C96" s="3"/>
      <c r="D96" s="31"/>
      <c r="F96" s="58" t="s">
        <v>101</v>
      </c>
      <c r="G96" s="51"/>
      <c r="H96" s="58" t="s">
        <v>101</v>
      </c>
      <c r="I96" s="51"/>
      <c r="J96" s="58" t="s">
        <v>101</v>
      </c>
      <c r="K96" s="51"/>
      <c r="L96" s="58" t="s">
        <v>101</v>
      </c>
      <c r="M96" s="51"/>
      <c r="N96" s="58" t="s">
        <v>101</v>
      </c>
      <c r="P96" s="58" t="s">
        <v>101</v>
      </c>
      <c r="R96" s="58" t="s">
        <v>177</v>
      </c>
      <c r="T96" s="58" t="s">
        <v>101</v>
      </c>
      <c r="V96" s="58" t="s">
        <v>101</v>
      </c>
      <c r="X96" s="50" t="s">
        <v>101</v>
      </c>
      <c r="Z96" s="49" t="s">
        <v>101</v>
      </c>
      <c r="AB96" s="49" t="s">
        <v>101</v>
      </c>
      <c r="AD96" s="49" t="s">
        <v>101</v>
      </c>
      <c r="AF96" s="49" t="s">
        <v>101</v>
      </c>
      <c r="AH96" s="71" t="s">
        <v>101</v>
      </c>
      <c r="AI96" s="70"/>
      <c r="AJ96" s="75" t="s">
        <v>101</v>
      </c>
      <c r="AK96" s="70"/>
      <c r="AL96" s="75" t="s">
        <v>101</v>
      </c>
      <c r="AM96" s="70"/>
      <c r="AN96" s="75" t="s">
        <v>101</v>
      </c>
      <c r="AO96" s="70"/>
      <c r="AP96" s="75" t="s">
        <v>101</v>
      </c>
      <c r="AQ96" s="70"/>
      <c r="AR96" s="75" t="s">
        <v>101</v>
      </c>
      <c r="AS96" s="70"/>
      <c r="AT96" s="75" t="s">
        <v>101</v>
      </c>
      <c r="AU96" s="70"/>
      <c r="AV96" s="75" t="s">
        <v>101</v>
      </c>
      <c r="AW96" s="70"/>
      <c r="AX96" s="75" t="s">
        <v>101</v>
      </c>
      <c r="AY96" s="70"/>
      <c r="AZ96" s="75" t="s">
        <v>101</v>
      </c>
      <c r="BA96" s="70"/>
      <c r="BB96" s="75" t="s">
        <v>101</v>
      </c>
      <c r="BC96" s="70"/>
      <c r="BD96" s="75" t="s">
        <v>101</v>
      </c>
      <c r="BE96" s="70"/>
      <c r="BF96" s="75" t="s">
        <v>101</v>
      </c>
      <c r="BG96" s="70"/>
      <c r="BH96" s="75" t="s">
        <v>101</v>
      </c>
      <c r="BI96" s="70"/>
      <c r="BJ96" s="75" t="s">
        <v>101</v>
      </c>
      <c r="BK96" s="70"/>
      <c r="BL96" s="75" t="s">
        <v>101</v>
      </c>
      <c r="BN96" s="43"/>
    </row>
    <row r="97" spans="2:66" ht="14.45" customHeight="1" x14ac:dyDescent="0.25">
      <c r="B97" s="3" t="s">
        <v>13</v>
      </c>
      <c r="C97" s="3"/>
      <c r="D97" s="31"/>
      <c r="F97" s="44">
        <v>0</v>
      </c>
      <c r="H97" s="44">
        <v>0</v>
      </c>
      <c r="J97" s="44">
        <v>0</v>
      </c>
      <c r="L97" s="44">
        <v>0</v>
      </c>
      <c r="N97" s="44">
        <v>0</v>
      </c>
      <c r="P97" s="44">
        <v>0</v>
      </c>
      <c r="R97" s="45">
        <v>0</v>
      </c>
      <c r="T97" s="44">
        <v>0</v>
      </c>
      <c r="V97" s="44">
        <v>0</v>
      </c>
      <c r="X97" s="44">
        <v>0</v>
      </c>
      <c r="Z97" s="44">
        <v>0</v>
      </c>
      <c r="AB97" s="44">
        <v>0</v>
      </c>
      <c r="AD97" s="44">
        <v>0</v>
      </c>
      <c r="AF97" s="44">
        <v>0</v>
      </c>
      <c r="AH97" s="44">
        <v>0</v>
      </c>
      <c r="AJ97" s="44">
        <v>0</v>
      </c>
      <c r="AL97" s="44">
        <v>0</v>
      </c>
      <c r="AN97" s="44">
        <v>0</v>
      </c>
      <c r="AP97" s="44">
        <v>0</v>
      </c>
      <c r="AR97" s="44">
        <v>0</v>
      </c>
      <c r="AT97" s="44">
        <v>0</v>
      </c>
      <c r="AV97" s="44">
        <v>0</v>
      </c>
      <c r="AX97" s="44">
        <v>0</v>
      </c>
      <c r="AZ97" s="44">
        <v>0</v>
      </c>
      <c r="BB97" s="44">
        <v>0</v>
      </c>
      <c r="BD97" s="44">
        <v>0</v>
      </c>
      <c r="BF97" s="44">
        <v>0</v>
      </c>
      <c r="BH97" s="44">
        <v>0</v>
      </c>
      <c r="BJ97" s="44">
        <v>0</v>
      </c>
      <c r="BL97" s="44">
        <v>0</v>
      </c>
      <c r="BN97" s="43"/>
    </row>
    <row r="98" spans="2:66" ht="14.45" customHeight="1" x14ac:dyDescent="0.25">
      <c r="B98" s="3" t="s">
        <v>14</v>
      </c>
      <c r="C98" s="3"/>
      <c r="D98" s="31"/>
      <c r="E98" s="31"/>
      <c r="F98" s="44">
        <v>0</v>
      </c>
      <c r="G98" s="31"/>
      <c r="H98" s="44">
        <v>0</v>
      </c>
      <c r="I98" s="31"/>
      <c r="J98" s="44">
        <v>0</v>
      </c>
      <c r="K98" s="31"/>
      <c r="L98" s="44">
        <v>0</v>
      </c>
      <c r="M98" s="31"/>
      <c r="N98" s="44">
        <v>0</v>
      </c>
      <c r="O98" s="31"/>
      <c r="P98" s="44">
        <v>0</v>
      </c>
      <c r="Q98" s="31"/>
      <c r="R98" s="45">
        <v>0</v>
      </c>
      <c r="S98" s="31"/>
      <c r="T98" s="44">
        <v>0</v>
      </c>
      <c r="U98" s="31"/>
      <c r="V98" s="44">
        <v>0</v>
      </c>
      <c r="W98" s="31"/>
      <c r="X98" s="44">
        <v>0</v>
      </c>
      <c r="Y98" s="31"/>
      <c r="Z98" s="44">
        <v>0</v>
      </c>
      <c r="AA98" s="31"/>
      <c r="AB98" s="44">
        <v>0</v>
      </c>
      <c r="AC98" s="31"/>
      <c r="AD98" s="44">
        <v>0</v>
      </c>
      <c r="AE98" s="31"/>
      <c r="AF98" s="44">
        <v>0</v>
      </c>
      <c r="AG98" s="31"/>
      <c r="AH98" s="44">
        <v>0</v>
      </c>
      <c r="AJ98" s="44">
        <v>0</v>
      </c>
      <c r="AL98" s="44">
        <v>0</v>
      </c>
      <c r="AN98" s="44">
        <v>0</v>
      </c>
      <c r="AP98" s="44">
        <v>0</v>
      </c>
      <c r="AR98" s="44">
        <v>0</v>
      </c>
      <c r="AT98" s="44">
        <v>0</v>
      </c>
      <c r="AV98" s="44">
        <v>0</v>
      </c>
      <c r="AX98" s="44">
        <v>0</v>
      </c>
      <c r="AZ98" s="44">
        <v>0</v>
      </c>
      <c r="BB98" s="44">
        <v>0</v>
      </c>
      <c r="BD98" s="44">
        <v>0</v>
      </c>
      <c r="BF98" s="44">
        <v>0</v>
      </c>
      <c r="BH98" s="44">
        <v>0</v>
      </c>
      <c r="BJ98" s="44">
        <v>0</v>
      </c>
      <c r="BL98" s="44">
        <v>0</v>
      </c>
      <c r="BN98" s="43"/>
    </row>
    <row r="99" spans="2:66" ht="14.45" customHeight="1" x14ac:dyDescent="0.25">
      <c r="B99" s="3" t="s">
        <v>65</v>
      </c>
      <c r="C99" s="3"/>
      <c r="D99" s="31"/>
      <c r="E99" s="31"/>
      <c r="F99" s="44">
        <v>0</v>
      </c>
      <c r="G99" s="31"/>
      <c r="H99" s="44">
        <v>0</v>
      </c>
      <c r="I99" s="31"/>
      <c r="J99" s="44">
        <v>0</v>
      </c>
      <c r="K99" s="31"/>
      <c r="L99" s="44">
        <v>0</v>
      </c>
      <c r="M99" s="31"/>
      <c r="N99" s="44">
        <v>0</v>
      </c>
      <c r="O99" s="31"/>
      <c r="P99" s="44">
        <v>0</v>
      </c>
      <c r="Q99" s="31"/>
      <c r="R99" s="45">
        <v>0</v>
      </c>
      <c r="S99" s="31"/>
      <c r="T99" s="44">
        <v>0</v>
      </c>
      <c r="U99" s="31"/>
      <c r="V99" s="44">
        <v>0</v>
      </c>
      <c r="W99" s="31"/>
      <c r="X99" s="44">
        <v>0</v>
      </c>
      <c r="Y99" s="31"/>
      <c r="Z99" s="44">
        <v>0</v>
      </c>
      <c r="AA99" s="31"/>
      <c r="AB99" s="44">
        <v>0</v>
      </c>
      <c r="AC99" s="31"/>
      <c r="AD99" s="44">
        <v>0</v>
      </c>
      <c r="AE99" s="31"/>
      <c r="AF99" s="44">
        <v>0</v>
      </c>
      <c r="AG99" s="31"/>
      <c r="AH99" s="44">
        <v>0</v>
      </c>
      <c r="AJ99" s="44">
        <v>0</v>
      </c>
      <c r="AL99" s="44">
        <v>0</v>
      </c>
      <c r="AN99" s="44">
        <v>0</v>
      </c>
      <c r="AP99" s="44">
        <v>0</v>
      </c>
      <c r="AR99" s="44">
        <v>0</v>
      </c>
      <c r="AT99" s="44">
        <v>0</v>
      </c>
      <c r="AV99" s="44">
        <v>0</v>
      </c>
      <c r="AX99" s="44">
        <v>0</v>
      </c>
      <c r="AZ99" s="44">
        <v>0</v>
      </c>
      <c r="BB99" s="44">
        <v>0</v>
      </c>
      <c r="BD99" s="44">
        <v>0</v>
      </c>
      <c r="BF99" s="44">
        <v>0</v>
      </c>
      <c r="BH99" s="44">
        <v>0</v>
      </c>
      <c r="BJ99" s="44">
        <v>0</v>
      </c>
      <c r="BL99" s="44">
        <v>0</v>
      </c>
      <c r="BN99" s="43"/>
    </row>
    <row r="100" spans="2:66" ht="14.45" customHeight="1" x14ac:dyDescent="0.25">
      <c r="B100" s="3" t="s">
        <v>67</v>
      </c>
      <c r="C100" s="3"/>
      <c r="D100" s="31"/>
      <c r="E100" s="31"/>
      <c r="F100" s="45">
        <v>0</v>
      </c>
      <c r="G100" s="31"/>
      <c r="H100" s="45">
        <v>0</v>
      </c>
      <c r="I100" s="31"/>
      <c r="J100" s="45">
        <v>0</v>
      </c>
      <c r="K100" s="31"/>
      <c r="L100" s="45">
        <v>0</v>
      </c>
      <c r="M100" s="31"/>
      <c r="N100" s="45">
        <v>0</v>
      </c>
      <c r="O100" s="31"/>
      <c r="P100" s="45">
        <v>0</v>
      </c>
      <c r="Q100" s="31"/>
      <c r="R100" s="45">
        <v>0</v>
      </c>
      <c r="S100" s="31"/>
      <c r="T100" s="45">
        <v>0</v>
      </c>
      <c r="U100" s="31"/>
      <c r="V100" s="45">
        <v>0</v>
      </c>
      <c r="W100" s="31"/>
      <c r="X100" s="45">
        <v>0</v>
      </c>
      <c r="Y100" s="31"/>
      <c r="Z100" s="45">
        <v>0</v>
      </c>
      <c r="AA100" s="31"/>
      <c r="AB100" s="45">
        <v>0</v>
      </c>
      <c r="AC100" s="31"/>
      <c r="AD100" s="45">
        <v>0</v>
      </c>
      <c r="AE100" s="31"/>
      <c r="AF100" s="45">
        <v>0</v>
      </c>
      <c r="AG100" s="31"/>
      <c r="AH100" s="45">
        <v>0</v>
      </c>
      <c r="AJ100" s="45">
        <v>0</v>
      </c>
      <c r="AL100" s="45">
        <v>0</v>
      </c>
      <c r="AN100" s="45">
        <v>0</v>
      </c>
      <c r="AP100" s="45">
        <v>0</v>
      </c>
      <c r="AR100" s="45">
        <v>0</v>
      </c>
      <c r="AT100" s="45">
        <v>0</v>
      </c>
      <c r="AV100" s="45">
        <v>0</v>
      </c>
      <c r="AX100" s="45">
        <v>0</v>
      </c>
      <c r="AZ100" s="45">
        <v>0</v>
      </c>
      <c r="BB100" s="45">
        <v>0</v>
      </c>
      <c r="BD100" s="45">
        <v>0</v>
      </c>
      <c r="BF100" s="45">
        <v>0</v>
      </c>
      <c r="BH100" s="45">
        <v>0</v>
      </c>
      <c r="BJ100" s="45">
        <v>0</v>
      </c>
      <c r="BL100" s="45">
        <v>0</v>
      </c>
      <c r="BN100" s="43"/>
    </row>
    <row r="101" spans="2:66" ht="14.45" customHeight="1" x14ac:dyDescent="0.25">
      <c r="B101" s="3" t="s">
        <v>66</v>
      </c>
      <c r="C101" s="3"/>
      <c r="D101" s="31"/>
      <c r="E101" s="31"/>
      <c r="F101" s="45">
        <v>0</v>
      </c>
      <c r="G101" s="31"/>
      <c r="H101" s="45">
        <v>0</v>
      </c>
      <c r="I101" s="31"/>
      <c r="J101" s="45">
        <v>0</v>
      </c>
      <c r="K101" s="31"/>
      <c r="L101" s="45">
        <v>0</v>
      </c>
      <c r="M101" s="31"/>
      <c r="N101" s="45">
        <v>0</v>
      </c>
      <c r="O101" s="31"/>
      <c r="P101" s="45">
        <v>0</v>
      </c>
      <c r="Q101" s="31"/>
      <c r="R101" s="45">
        <v>0</v>
      </c>
      <c r="S101" s="31"/>
      <c r="T101" s="45">
        <v>0</v>
      </c>
      <c r="U101" s="31"/>
      <c r="V101" s="45">
        <v>0</v>
      </c>
      <c r="W101" s="31"/>
      <c r="X101" s="45">
        <v>0</v>
      </c>
      <c r="Y101" s="31"/>
      <c r="Z101" s="45">
        <v>0</v>
      </c>
      <c r="AA101" s="31"/>
      <c r="AB101" s="45">
        <v>0</v>
      </c>
      <c r="AC101" s="31"/>
      <c r="AD101" s="45">
        <v>0</v>
      </c>
      <c r="AE101" s="31"/>
      <c r="AF101" s="45">
        <v>0</v>
      </c>
      <c r="AG101" s="31"/>
      <c r="AH101" s="45">
        <v>0</v>
      </c>
      <c r="AJ101" s="45">
        <v>0</v>
      </c>
      <c r="AL101" s="45">
        <v>0</v>
      </c>
      <c r="AN101" s="45">
        <v>0</v>
      </c>
      <c r="AP101" s="45">
        <v>0</v>
      </c>
      <c r="AR101" s="45">
        <v>0</v>
      </c>
      <c r="AT101" s="45">
        <v>0</v>
      </c>
      <c r="AV101" s="45">
        <v>0</v>
      </c>
      <c r="AX101" s="45">
        <v>0</v>
      </c>
      <c r="AZ101" s="45">
        <v>0</v>
      </c>
      <c r="BB101" s="45">
        <v>0</v>
      </c>
      <c r="BD101" s="45">
        <v>0</v>
      </c>
      <c r="BF101" s="45">
        <v>0</v>
      </c>
      <c r="BH101" s="45">
        <v>0</v>
      </c>
      <c r="BJ101" s="45">
        <v>0</v>
      </c>
      <c r="BL101" s="45">
        <v>0</v>
      </c>
      <c r="BN101" s="43"/>
    </row>
    <row r="102" spans="2:66" ht="14.45" customHeight="1" x14ac:dyDescent="0.25">
      <c r="B102" s="3" t="s">
        <v>179</v>
      </c>
      <c r="C102" s="3"/>
      <c r="D102" s="31"/>
      <c r="E102" s="31"/>
      <c r="F102" s="45">
        <v>0</v>
      </c>
      <c r="G102" s="31"/>
      <c r="H102" s="45">
        <v>0</v>
      </c>
      <c r="I102" s="31"/>
      <c r="J102" s="45">
        <v>0</v>
      </c>
      <c r="K102" s="31"/>
      <c r="L102" s="45">
        <v>0</v>
      </c>
      <c r="M102" s="31"/>
      <c r="N102" s="45">
        <v>0</v>
      </c>
      <c r="O102" s="31"/>
      <c r="P102" s="45">
        <v>0</v>
      </c>
      <c r="Q102" s="31"/>
      <c r="R102" s="45">
        <v>0</v>
      </c>
      <c r="S102" s="31"/>
      <c r="T102" s="45">
        <v>0</v>
      </c>
      <c r="U102" s="31"/>
      <c r="V102" s="45">
        <v>0</v>
      </c>
      <c r="W102" s="31"/>
      <c r="X102" s="45">
        <v>0</v>
      </c>
      <c r="Y102" s="31"/>
      <c r="Z102" s="45">
        <v>0</v>
      </c>
      <c r="AA102" s="31"/>
      <c r="AB102" s="45">
        <v>0</v>
      </c>
      <c r="AC102" s="31"/>
      <c r="AD102" s="45">
        <v>0</v>
      </c>
      <c r="AE102" s="31"/>
      <c r="AF102" s="45">
        <v>0</v>
      </c>
      <c r="AG102" s="31"/>
      <c r="AH102" s="45">
        <v>0</v>
      </c>
      <c r="AJ102" s="45">
        <v>0</v>
      </c>
      <c r="AL102" s="45">
        <v>0</v>
      </c>
      <c r="AN102" s="45">
        <v>0</v>
      </c>
      <c r="AP102" s="45">
        <v>0</v>
      </c>
      <c r="AR102" s="45">
        <v>0</v>
      </c>
      <c r="AT102" s="45">
        <v>0</v>
      </c>
      <c r="AV102" s="45">
        <v>0</v>
      </c>
      <c r="AX102" s="45">
        <v>0</v>
      </c>
      <c r="AZ102" s="45">
        <v>0</v>
      </c>
      <c r="BB102" s="45">
        <v>0</v>
      </c>
      <c r="BD102" s="45">
        <v>0</v>
      </c>
      <c r="BF102" s="45">
        <v>0</v>
      </c>
      <c r="BH102" s="45">
        <v>0</v>
      </c>
      <c r="BJ102" s="45">
        <v>0</v>
      </c>
      <c r="BL102" s="45">
        <v>0</v>
      </c>
      <c r="BN102" s="43"/>
    </row>
    <row r="103" spans="2:66" ht="14.45" customHeight="1" x14ac:dyDescent="0.25">
      <c r="B103" s="3" t="s">
        <v>17</v>
      </c>
      <c r="C103" s="3"/>
      <c r="D103" s="31"/>
      <c r="E103" s="31"/>
      <c r="F103" s="45">
        <v>0</v>
      </c>
      <c r="G103" s="31"/>
      <c r="H103" s="45">
        <v>0</v>
      </c>
      <c r="I103" s="31"/>
      <c r="J103" s="45">
        <v>0</v>
      </c>
      <c r="K103" s="31"/>
      <c r="L103" s="45">
        <v>0</v>
      </c>
      <c r="M103" s="31"/>
      <c r="N103" s="45">
        <v>0</v>
      </c>
      <c r="O103" s="31"/>
      <c r="P103" s="45">
        <v>0</v>
      </c>
      <c r="Q103" s="31"/>
      <c r="R103" s="45">
        <v>0</v>
      </c>
      <c r="S103" s="31"/>
      <c r="T103" s="45">
        <v>0</v>
      </c>
      <c r="U103" s="31"/>
      <c r="V103" s="45">
        <v>0</v>
      </c>
      <c r="W103" s="31"/>
      <c r="X103" s="45">
        <v>0</v>
      </c>
      <c r="Y103" s="31"/>
      <c r="Z103" s="45">
        <v>0</v>
      </c>
      <c r="AA103" s="31"/>
      <c r="AB103" s="45">
        <v>0</v>
      </c>
      <c r="AC103" s="31"/>
      <c r="AD103" s="45">
        <v>0</v>
      </c>
      <c r="AE103" s="31"/>
      <c r="AF103" s="45">
        <v>0</v>
      </c>
      <c r="AG103" s="31"/>
      <c r="AH103" s="45">
        <v>0</v>
      </c>
      <c r="AJ103" s="45">
        <v>0</v>
      </c>
      <c r="AL103" s="45">
        <v>0</v>
      </c>
      <c r="AN103" s="45">
        <v>0</v>
      </c>
      <c r="AP103" s="45">
        <v>0</v>
      </c>
      <c r="AR103" s="45">
        <v>0</v>
      </c>
      <c r="AT103" s="45">
        <v>0</v>
      </c>
      <c r="AV103" s="45">
        <v>0</v>
      </c>
      <c r="AX103" s="45">
        <v>0</v>
      </c>
      <c r="AZ103" s="45">
        <v>0</v>
      </c>
      <c r="BB103" s="45">
        <v>0</v>
      </c>
      <c r="BD103" s="45">
        <v>0</v>
      </c>
      <c r="BF103" s="45">
        <v>0</v>
      </c>
      <c r="BH103" s="45">
        <v>0</v>
      </c>
      <c r="BJ103" s="45">
        <v>0</v>
      </c>
      <c r="BL103" s="45">
        <v>0</v>
      </c>
      <c r="BN103" s="43"/>
    </row>
    <row r="104" spans="2:66" s="6" customFormat="1" ht="14.45" customHeight="1" x14ac:dyDescent="0.25">
      <c r="B104" s="6" t="s">
        <v>8</v>
      </c>
      <c r="D104" s="38"/>
      <c r="E104" s="38"/>
      <c r="F104" s="42">
        <f>(F97*((F98*F103)+(F98*F101)+(F99*F102)+F100))</f>
        <v>0</v>
      </c>
      <c r="G104" s="38"/>
      <c r="H104" s="42">
        <f>(H97*((H98*H103)+(H98*H101)+(H99*H102+H100)))</f>
        <v>0</v>
      </c>
      <c r="I104" s="38"/>
      <c r="J104" s="42">
        <f>(J97*((J98*J103)+(J98*J101)+(J99*J102+J100)))</f>
        <v>0</v>
      </c>
      <c r="K104" s="38"/>
      <c r="L104" s="42">
        <f>(L97*((L98*L103)+(L98*L101)+(L99*L102+L100)))</f>
        <v>0</v>
      </c>
      <c r="M104" s="38"/>
      <c r="N104" s="42">
        <f>(N97*((N98*N103)+(N98*N101)+(N99*N102+N100)))</f>
        <v>0</v>
      </c>
      <c r="O104" s="38"/>
      <c r="P104" s="42">
        <f>(P97*((P98*P103)+(P98*P101)+(P99*P102+P100)))</f>
        <v>0</v>
      </c>
      <c r="Q104" s="38"/>
      <c r="R104" s="42">
        <f>(R97*(((R98-2)*R103)+(2*(R103*0.75))+(R98*R101)+(R99*R102+R100)))</f>
        <v>0</v>
      </c>
      <c r="S104" s="38"/>
      <c r="T104" s="42">
        <f>(T97*((T98*T103)+(T98*T101)+(T99*T102+T100)))</f>
        <v>0</v>
      </c>
      <c r="U104" s="38"/>
      <c r="V104" s="42">
        <f>(V97*((V98*V103)+(V98*V101)+(V99*V102+V100)))</f>
        <v>0</v>
      </c>
      <c r="W104" s="38"/>
      <c r="X104" s="42">
        <f>(X97*((X98*X103)+(X98*X101)+(X99*X102+X100)))</f>
        <v>0</v>
      </c>
      <c r="Y104" s="38"/>
      <c r="Z104" s="42">
        <f>(Z97*((Z98*Z103)+(Z98*Z101)+(Z99*Z102+Z100)))</f>
        <v>0</v>
      </c>
      <c r="AA104" s="38"/>
      <c r="AB104" s="42">
        <f>(AB97*((AB98*AB103)+(AB98*AB101)+(AB99*AB102+AB100)))</f>
        <v>0</v>
      </c>
      <c r="AC104" s="38"/>
      <c r="AD104" s="42">
        <f>(AD97*((AD98*AD103)+(AD98*AD101)+(AD99*AD102+AD100)))</f>
        <v>0</v>
      </c>
      <c r="AE104" s="38"/>
      <c r="AF104" s="42">
        <f>(AF97*((AF98*AF103)+(AF98*AF101)+(AF99*AF102+AF100)))</f>
        <v>0</v>
      </c>
      <c r="AG104" s="38"/>
      <c r="AH104" s="42">
        <f>(AH97*((AH98*AH103)+(AH98*AH101)+(AH99*AH102+AH100)))</f>
        <v>0</v>
      </c>
      <c r="AJ104" s="42">
        <f t="shared" ref="AJ104" si="122">(AJ97*((AJ98*AJ103)+(AJ98*AJ101)+(AJ99*AJ102+AJ100)))</f>
        <v>0</v>
      </c>
      <c r="AL104" s="42">
        <f t="shared" ref="AL104" si="123">(AL97*((AL98*AL103)+(AL98*AL101)+(AL99*AL102+AL100)))</f>
        <v>0</v>
      </c>
      <c r="AN104" s="42">
        <f t="shared" ref="AN104" si="124">(AN97*((AN98*AN103)+(AN98*AN101)+(AN99*AN102+AN100)))</f>
        <v>0</v>
      </c>
      <c r="AP104" s="42">
        <f t="shared" ref="AP104" si="125">(AP97*((AP98*AP103)+(AP98*AP101)+(AP99*AP102+AP100)))</f>
        <v>0</v>
      </c>
      <c r="AR104" s="42">
        <f t="shared" ref="AR104" si="126">(AR97*((AR98*AR103)+(AR98*AR101)+(AR99*AR102+AR100)))</f>
        <v>0</v>
      </c>
      <c r="AT104" s="42">
        <f t="shared" ref="AT104" si="127">(AT97*((AT98*AT103)+(AT98*AT101)+(AT99*AT102+AT100)))</f>
        <v>0</v>
      </c>
      <c r="AV104" s="42">
        <f t="shared" ref="AV104" si="128">(AV97*((AV98*AV103)+(AV98*AV101)+(AV99*AV102+AV100)))</f>
        <v>0</v>
      </c>
      <c r="AX104" s="42">
        <f t="shared" ref="AX104" si="129">(AX97*((AX98*AX103)+(AX98*AX101)+(AX99*AX102+AX100)))</f>
        <v>0</v>
      </c>
      <c r="AZ104" s="42">
        <f t="shared" ref="AZ104" si="130">(AZ97*((AZ98*AZ103)+(AZ98*AZ101)+(AZ99*AZ102+AZ100)))</f>
        <v>0</v>
      </c>
      <c r="BB104" s="42">
        <f t="shared" ref="BB104" si="131">(BB97*((BB98*BB103)+(BB98*BB101)+(BB99*BB102+BB100)))</f>
        <v>0</v>
      </c>
      <c r="BD104" s="42">
        <f t="shared" ref="BD104" si="132">(BD97*((BD98*BD103)+(BD98*BD101)+(BD99*BD102+BD100)))</f>
        <v>0</v>
      </c>
      <c r="BF104" s="42">
        <f t="shared" ref="BF104" si="133">(BF97*((BF98*BF103)+(BF98*BF101)+(BF99*BF102+BF100)))</f>
        <v>0</v>
      </c>
      <c r="BH104" s="42">
        <f t="shared" ref="BH104" si="134">(BH97*((BH98*BH103)+(BH98*BH101)+(BH99*BH102+BH100)))</f>
        <v>0</v>
      </c>
      <c r="BJ104" s="42">
        <f t="shared" ref="BJ104" si="135">(BJ97*((BJ98*BJ103)+(BJ98*BJ101)+(BJ99*BJ102+BJ100)))</f>
        <v>0</v>
      </c>
      <c r="BL104" s="42">
        <f t="shared" ref="BL104" si="136">(BL97*((BL98*BL103)+(BL98*BL101)+(BL99*BL102+BL100)))</f>
        <v>0</v>
      </c>
      <c r="BN104" s="84">
        <f>SUMIF(D$32:BO$32,"Dollar Value",D104:BO104)</f>
        <v>0</v>
      </c>
    </row>
    <row r="105" spans="2:66" ht="14.45" customHeight="1" x14ac:dyDescent="0.25">
      <c r="D105" s="31"/>
      <c r="E105" s="31"/>
      <c r="F105" s="35"/>
      <c r="G105" s="31"/>
      <c r="H105" s="35"/>
      <c r="I105" s="31"/>
      <c r="J105" s="35"/>
      <c r="K105" s="31"/>
      <c r="L105" s="35"/>
      <c r="M105" s="31"/>
      <c r="N105" s="35"/>
      <c r="O105" s="31"/>
      <c r="P105" s="35"/>
      <c r="Q105" s="31"/>
      <c r="R105" s="35"/>
      <c r="S105" s="31"/>
      <c r="T105" s="35"/>
      <c r="U105" s="31"/>
      <c r="V105" s="35"/>
      <c r="W105" s="31"/>
      <c r="X105" s="35"/>
      <c r="Y105" s="31"/>
      <c r="Z105" s="35"/>
      <c r="AA105" s="31"/>
      <c r="AB105" s="35"/>
      <c r="AC105" s="31"/>
      <c r="AD105" s="35"/>
      <c r="AE105" s="31"/>
      <c r="AF105" s="35"/>
      <c r="AG105" s="31"/>
      <c r="AH105" s="35"/>
      <c r="AJ105" s="35"/>
      <c r="AL105" s="35"/>
      <c r="AN105" s="35"/>
      <c r="AP105" s="35"/>
      <c r="AR105" s="35"/>
      <c r="AT105" s="35"/>
      <c r="AV105" s="35"/>
      <c r="AX105" s="35"/>
      <c r="AZ105" s="35"/>
      <c r="BB105" s="35"/>
      <c r="BD105" s="35"/>
      <c r="BF105" s="35"/>
      <c r="BH105" s="35"/>
      <c r="BJ105" s="35"/>
      <c r="BL105" s="35"/>
      <c r="BN105" s="43"/>
    </row>
    <row r="106" spans="2:66" ht="14.45" customHeight="1" x14ac:dyDescent="0.25">
      <c r="B106" s="3" t="s">
        <v>18</v>
      </c>
      <c r="C106" s="3"/>
      <c r="D106" s="31"/>
      <c r="E106" s="39"/>
      <c r="F106" s="60" t="s">
        <v>101</v>
      </c>
      <c r="G106" s="39"/>
      <c r="H106" s="60" t="s">
        <v>101</v>
      </c>
      <c r="I106" s="39"/>
      <c r="J106" s="60" t="s">
        <v>101</v>
      </c>
      <c r="K106" s="39"/>
      <c r="L106" s="60" t="s">
        <v>101</v>
      </c>
      <c r="M106" s="39"/>
      <c r="N106" s="59" t="s">
        <v>101</v>
      </c>
      <c r="O106" s="39"/>
      <c r="P106" s="59" t="s">
        <v>101</v>
      </c>
      <c r="Q106" s="39"/>
      <c r="R106" s="59" t="s">
        <v>101</v>
      </c>
      <c r="S106" s="39"/>
      <c r="T106" s="59" t="s">
        <v>101</v>
      </c>
      <c r="U106" s="39"/>
      <c r="V106" s="59" t="s">
        <v>101</v>
      </c>
      <c r="W106" s="39"/>
      <c r="X106" s="46" t="s">
        <v>101</v>
      </c>
      <c r="Y106" s="39"/>
      <c r="Z106" s="46" t="s">
        <v>101</v>
      </c>
      <c r="AA106" s="39"/>
      <c r="AB106" s="46" t="s">
        <v>101</v>
      </c>
      <c r="AC106" s="39"/>
      <c r="AD106" s="46" t="s">
        <v>101</v>
      </c>
      <c r="AE106" s="39"/>
      <c r="AF106" s="46" t="s">
        <v>101</v>
      </c>
      <c r="AG106" s="39"/>
      <c r="AH106" s="59" t="s">
        <v>101</v>
      </c>
      <c r="AI106" s="70"/>
      <c r="AJ106" s="75" t="s">
        <v>101</v>
      </c>
      <c r="AK106" s="70"/>
      <c r="AL106" s="75" t="s">
        <v>101</v>
      </c>
      <c r="AM106" s="70"/>
      <c r="AN106" s="75" t="s">
        <v>101</v>
      </c>
      <c r="AO106" s="70"/>
      <c r="AP106" s="75" t="s">
        <v>101</v>
      </c>
      <c r="AQ106" s="70"/>
      <c r="AR106" s="75" t="s">
        <v>101</v>
      </c>
      <c r="AS106" s="70"/>
      <c r="AT106" s="75" t="s">
        <v>101</v>
      </c>
      <c r="AU106" s="70"/>
      <c r="AV106" s="75" t="s">
        <v>101</v>
      </c>
      <c r="AW106" s="70"/>
      <c r="AX106" s="75" t="s">
        <v>101</v>
      </c>
      <c r="AY106" s="70"/>
      <c r="AZ106" s="75" t="s">
        <v>101</v>
      </c>
      <c r="BA106" s="70"/>
      <c r="BB106" s="75" t="s">
        <v>101</v>
      </c>
      <c r="BC106" s="70"/>
      <c r="BD106" s="75" t="s">
        <v>101</v>
      </c>
      <c r="BE106" s="70"/>
      <c r="BF106" s="75" t="s">
        <v>101</v>
      </c>
      <c r="BG106" s="70"/>
      <c r="BH106" s="75" t="s">
        <v>101</v>
      </c>
      <c r="BI106" s="70"/>
      <c r="BJ106" s="75" t="s">
        <v>101</v>
      </c>
      <c r="BK106" s="70"/>
      <c r="BL106" s="75" t="s">
        <v>101</v>
      </c>
      <c r="BN106" s="43"/>
    </row>
    <row r="107" spans="2:66" ht="14.45" customHeight="1" x14ac:dyDescent="0.25">
      <c r="B107" s="3" t="s">
        <v>13</v>
      </c>
      <c r="C107" s="3"/>
      <c r="D107" s="31"/>
      <c r="E107" s="31"/>
      <c r="F107" s="44">
        <v>0</v>
      </c>
      <c r="G107" s="31"/>
      <c r="H107" s="44">
        <v>0</v>
      </c>
      <c r="I107" s="31"/>
      <c r="J107" s="44">
        <v>0</v>
      </c>
      <c r="K107" s="31"/>
      <c r="L107" s="44">
        <v>0</v>
      </c>
      <c r="M107" s="31"/>
      <c r="N107" s="44">
        <v>0</v>
      </c>
      <c r="O107" s="31"/>
      <c r="P107" s="44">
        <v>0</v>
      </c>
      <c r="Q107" s="31"/>
      <c r="R107" s="44">
        <v>0</v>
      </c>
      <c r="S107" s="31"/>
      <c r="T107" s="44">
        <v>0</v>
      </c>
      <c r="U107" s="31"/>
      <c r="V107" s="44">
        <v>0</v>
      </c>
      <c r="W107" s="31"/>
      <c r="X107" s="44">
        <v>0</v>
      </c>
      <c r="Y107" s="31"/>
      <c r="Z107" s="44">
        <v>0</v>
      </c>
      <c r="AA107" s="31"/>
      <c r="AB107" s="44">
        <v>0</v>
      </c>
      <c r="AC107" s="31"/>
      <c r="AD107" s="44">
        <v>0</v>
      </c>
      <c r="AE107" s="31"/>
      <c r="AF107" s="44">
        <v>0</v>
      </c>
      <c r="AG107" s="31"/>
      <c r="AH107" s="44">
        <v>0</v>
      </c>
      <c r="AJ107" s="44">
        <v>0</v>
      </c>
      <c r="AL107" s="44">
        <v>0</v>
      </c>
      <c r="AN107" s="44">
        <v>0</v>
      </c>
      <c r="AP107" s="44">
        <v>0</v>
      </c>
      <c r="AR107" s="44">
        <v>0</v>
      </c>
      <c r="AT107" s="44">
        <v>0</v>
      </c>
      <c r="AV107" s="44">
        <v>0</v>
      </c>
      <c r="AX107" s="44">
        <v>0</v>
      </c>
      <c r="AZ107" s="44">
        <v>0</v>
      </c>
      <c r="BB107" s="44">
        <v>0</v>
      </c>
      <c r="BD107" s="44">
        <v>0</v>
      </c>
      <c r="BF107" s="44">
        <v>0</v>
      </c>
      <c r="BH107" s="44">
        <v>0</v>
      </c>
      <c r="BJ107" s="44">
        <v>0</v>
      </c>
      <c r="BL107" s="44">
        <v>0</v>
      </c>
      <c r="BN107" s="43"/>
    </row>
    <row r="108" spans="2:66" ht="14.45" customHeight="1" x14ac:dyDescent="0.25">
      <c r="B108" s="3" t="s">
        <v>14</v>
      </c>
      <c r="C108" s="3"/>
      <c r="D108" s="31"/>
      <c r="E108" s="31"/>
      <c r="F108" s="44">
        <v>0</v>
      </c>
      <c r="G108" s="31"/>
      <c r="H108" s="44">
        <v>0</v>
      </c>
      <c r="I108" s="31"/>
      <c r="J108" s="44">
        <v>0</v>
      </c>
      <c r="K108" s="31"/>
      <c r="L108" s="44">
        <v>0</v>
      </c>
      <c r="M108" s="31"/>
      <c r="N108" s="44">
        <v>0</v>
      </c>
      <c r="O108" s="31"/>
      <c r="P108" s="44">
        <v>0</v>
      </c>
      <c r="Q108" s="31"/>
      <c r="R108" s="44">
        <v>0</v>
      </c>
      <c r="S108" s="31"/>
      <c r="T108" s="44">
        <v>0</v>
      </c>
      <c r="U108" s="31"/>
      <c r="V108" s="44">
        <v>0</v>
      </c>
      <c r="W108" s="31"/>
      <c r="X108" s="44">
        <v>0</v>
      </c>
      <c r="Y108" s="31"/>
      <c r="Z108" s="44">
        <v>0</v>
      </c>
      <c r="AA108" s="31"/>
      <c r="AB108" s="44">
        <v>0</v>
      </c>
      <c r="AC108" s="31"/>
      <c r="AD108" s="44">
        <v>0</v>
      </c>
      <c r="AE108" s="31"/>
      <c r="AF108" s="44">
        <v>0</v>
      </c>
      <c r="AG108" s="31"/>
      <c r="AH108" s="44">
        <v>0</v>
      </c>
      <c r="AJ108" s="44">
        <v>0</v>
      </c>
      <c r="AL108" s="44">
        <v>0</v>
      </c>
      <c r="AN108" s="44">
        <v>0</v>
      </c>
      <c r="AP108" s="44">
        <v>0</v>
      </c>
      <c r="AR108" s="44">
        <v>0</v>
      </c>
      <c r="AT108" s="44">
        <v>0</v>
      </c>
      <c r="AV108" s="44">
        <v>0</v>
      </c>
      <c r="AX108" s="44">
        <v>0</v>
      </c>
      <c r="AZ108" s="44">
        <v>0</v>
      </c>
      <c r="BB108" s="44">
        <v>0</v>
      </c>
      <c r="BD108" s="44">
        <v>0</v>
      </c>
      <c r="BF108" s="44">
        <v>0</v>
      </c>
      <c r="BH108" s="44">
        <v>0</v>
      </c>
      <c r="BJ108" s="44">
        <v>0</v>
      </c>
      <c r="BL108" s="44">
        <v>0</v>
      </c>
      <c r="BN108" s="43"/>
    </row>
    <row r="109" spans="2:66" ht="14.45" customHeight="1" x14ac:dyDescent="0.25">
      <c r="B109" s="3" t="s">
        <v>65</v>
      </c>
      <c r="C109" s="3"/>
      <c r="D109" s="31"/>
      <c r="E109" s="31"/>
      <c r="F109" s="44">
        <v>0</v>
      </c>
      <c r="G109" s="31"/>
      <c r="H109" s="44">
        <v>0</v>
      </c>
      <c r="I109" s="31"/>
      <c r="J109" s="44">
        <v>0</v>
      </c>
      <c r="K109" s="31"/>
      <c r="L109" s="44">
        <v>0</v>
      </c>
      <c r="M109" s="31"/>
      <c r="N109" s="44">
        <v>0</v>
      </c>
      <c r="O109" s="31"/>
      <c r="P109" s="44">
        <v>0</v>
      </c>
      <c r="Q109" s="31"/>
      <c r="R109" s="44">
        <v>0</v>
      </c>
      <c r="S109" s="31"/>
      <c r="T109" s="44">
        <v>0</v>
      </c>
      <c r="U109" s="31"/>
      <c r="V109" s="44">
        <v>0</v>
      </c>
      <c r="W109" s="31"/>
      <c r="X109" s="44">
        <v>0</v>
      </c>
      <c r="Y109" s="31"/>
      <c r="Z109" s="44">
        <v>0</v>
      </c>
      <c r="AA109" s="31"/>
      <c r="AB109" s="44">
        <v>0</v>
      </c>
      <c r="AC109" s="31"/>
      <c r="AD109" s="44">
        <v>0</v>
      </c>
      <c r="AE109" s="31"/>
      <c r="AF109" s="44">
        <v>0</v>
      </c>
      <c r="AG109" s="31"/>
      <c r="AH109" s="44">
        <v>0</v>
      </c>
      <c r="AJ109" s="44">
        <v>0</v>
      </c>
      <c r="AL109" s="44">
        <v>0</v>
      </c>
      <c r="AN109" s="44">
        <v>0</v>
      </c>
      <c r="AP109" s="44">
        <v>0</v>
      </c>
      <c r="AR109" s="44">
        <v>0</v>
      </c>
      <c r="AT109" s="44">
        <v>0</v>
      </c>
      <c r="AV109" s="44">
        <v>0</v>
      </c>
      <c r="AX109" s="44">
        <v>0</v>
      </c>
      <c r="AZ109" s="44">
        <v>0</v>
      </c>
      <c r="BB109" s="44">
        <v>0</v>
      </c>
      <c r="BD109" s="44">
        <v>0</v>
      </c>
      <c r="BF109" s="44">
        <v>0</v>
      </c>
      <c r="BH109" s="44">
        <v>0</v>
      </c>
      <c r="BJ109" s="44">
        <v>0</v>
      </c>
      <c r="BL109" s="44">
        <v>0</v>
      </c>
      <c r="BN109" s="43"/>
    </row>
    <row r="110" spans="2:66" ht="14.45" customHeight="1" x14ac:dyDescent="0.25">
      <c r="B110" s="3" t="s">
        <v>67</v>
      </c>
      <c r="C110" s="3"/>
      <c r="D110" s="31"/>
      <c r="E110" s="31"/>
      <c r="F110" s="45">
        <v>0</v>
      </c>
      <c r="G110" s="31"/>
      <c r="H110" s="45">
        <v>0</v>
      </c>
      <c r="I110" s="31"/>
      <c r="J110" s="45">
        <v>0</v>
      </c>
      <c r="K110" s="31"/>
      <c r="L110" s="45">
        <v>0</v>
      </c>
      <c r="M110" s="31"/>
      <c r="N110" s="45">
        <v>0</v>
      </c>
      <c r="O110" s="31"/>
      <c r="P110" s="45">
        <v>0</v>
      </c>
      <c r="Q110" s="31"/>
      <c r="R110" s="45">
        <v>0</v>
      </c>
      <c r="S110" s="31"/>
      <c r="T110" s="45">
        <v>0</v>
      </c>
      <c r="U110" s="31"/>
      <c r="V110" s="45">
        <v>0</v>
      </c>
      <c r="W110" s="31"/>
      <c r="X110" s="45">
        <v>0</v>
      </c>
      <c r="Y110" s="31"/>
      <c r="Z110" s="45">
        <v>0</v>
      </c>
      <c r="AA110" s="31"/>
      <c r="AB110" s="45">
        <v>0</v>
      </c>
      <c r="AC110" s="31"/>
      <c r="AD110" s="45">
        <v>0</v>
      </c>
      <c r="AE110" s="31"/>
      <c r="AF110" s="45">
        <v>0</v>
      </c>
      <c r="AG110" s="31"/>
      <c r="AH110" s="45">
        <v>0</v>
      </c>
      <c r="AJ110" s="45">
        <v>0</v>
      </c>
      <c r="AL110" s="45">
        <v>0</v>
      </c>
      <c r="AN110" s="45">
        <v>0</v>
      </c>
      <c r="AP110" s="45">
        <v>0</v>
      </c>
      <c r="AR110" s="45">
        <v>0</v>
      </c>
      <c r="AT110" s="45">
        <v>0</v>
      </c>
      <c r="AV110" s="45">
        <v>0</v>
      </c>
      <c r="AX110" s="45">
        <v>0</v>
      </c>
      <c r="AZ110" s="45">
        <v>0</v>
      </c>
      <c r="BB110" s="45">
        <v>0</v>
      </c>
      <c r="BD110" s="45">
        <v>0</v>
      </c>
      <c r="BF110" s="45">
        <v>0</v>
      </c>
      <c r="BH110" s="45">
        <v>0</v>
      </c>
      <c r="BJ110" s="45">
        <v>0</v>
      </c>
      <c r="BL110" s="45">
        <v>0</v>
      </c>
      <c r="BN110" s="43"/>
    </row>
    <row r="111" spans="2:66" ht="14.45" customHeight="1" x14ac:dyDescent="0.25">
      <c r="B111" s="3" t="s">
        <v>66</v>
      </c>
      <c r="C111" s="3"/>
      <c r="D111" s="31"/>
      <c r="E111" s="31"/>
      <c r="F111" s="45">
        <v>0</v>
      </c>
      <c r="G111" s="31"/>
      <c r="H111" s="45">
        <v>0</v>
      </c>
      <c r="I111" s="31"/>
      <c r="J111" s="45">
        <v>0</v>
      </c>
      <c r="K111" s="31"/>
      <c r="L111" s="45">
        <v>0</v>
      </c>
      <c r="M111" s="31"/>
      <c r="N111" s="45">
        <v>0</v>
      </c>
      <c r="O111" s="31"/>
      <c r="P111" s="45">
        <v>0</v>
      </c>
      <c r="Q111" s="31"/>
      <c r="R111" s="45">
        <v>0</v>
      </c>
      <c r="S111" s="31"/>
      <c r="T111" s="45">
        <v>0</v>
      </c>
      <c r="U111" s="31"/>
      <c r="V111" s="45">
        <v>0</v>
      </c>
      <c r="W111" s="31"/>
      <c r="X111" s="45">
        <v>0</v>
      </c>
      <c r="Y111" s="31"/>
      <c r="Z111" s="45">
        <v>0</v>
      </c>
      <c r="AA111" s="31"/>
      <c r="AB111" s="45">
        <v>0</v>
      </c>
      <c r="AC111" s="31"/>
      <c r="AD111" s="45">
        <v>0</v>
      </c>
      <c r="AE111" s="31"/>
      <c r="AF111" s="45">
        <v>0</v>
      </c>
      <c r="AG111" s="31"/>
      <c r="AH111" s="45">
        <v>0</v>
      </c>
      <c r="AJ111" s="45">
        <v>0</v>
      </c>
      <c r="AL111" s="45">
        <v>0</v>
      </c>
      <c r="AN111" s="45">
        <v>0</v>
      </c>
      <c r="AP111" s="45">
        <v>0</v>
      </c>
      <c r="AR111" s="45">
        <v>0</v>
      </c>
      <c r="AT111" s="45">
        <v>0</v>
      </c>
      <c r="AV111" s="45">
        <v>0</v>
      </c>
      <c r="AX111" s="45">
        <v>0</v>
      </c>
      <c r="AZ111" s="45">
        <v>0</v>
      </c>
      <c r="BB111" s="45">
        <v>0</v>
      </c>
      <c r="BD111" s="45">
        <v>0</v>
      </c>
      <c r="BF111" s="45">
        <v>0</v>
      </c>
      <c r="BH111" s="45">
        <v>0</v>
      </c>
      <c r="BJ111" s="45">
        <v>0</v>
      </c>
      <c r="BL111" s="45">
        <v>0</v>
      </c>
      <c r="BN111" s="43"/>
    </row>
    <row r="112" spans="2:66" ht="14.45" customHeight="1" x14ac:dyDescent="0.25">
      <c r="B112" s="3" t="s">
        <v>16</v>
      </c>
      <c r="C112" s="3"/>
      <c r="D112" s="31"/>
      <c r="E112" s="31"/>
      <c r="F112" s="45">
        <v>0</v>
      </c>
      <c r="G112" s="31"/>
      <c r="H112" s="45">
        <v>0</v>
      </c>
      <c r="I112" s="31"/>
      <c r="J112" s="45">
        <v>0</v>
      </c>
      <c r="K112" s="31"/>
      <c r="L112" s="45">
        <v>0</v>
      </c>
      <c r="M112" s="31"/>
      <c r="N112" s="45">
        <v>0</v>
      </c>
      <c r="O112" s="31"/>
      <c r="P112" s="45">
        <v>0</v>
      </c>
      <c r="Q112" s="31"/>
      <c r="R112" s="45">
        <v>0</v>
      </c>
      <c r="S112" s="31"/>
      <c r="T112" s="45">
        <v>0</v>
      </c>
      <c r="U112" s="31"/>
      <c r="V112" s="45">
        <v>0</v>
      </c>
      <c r="W112" s="31"/>
      <c r="X112" s="45">
        <v>0</v>
      </c>
      <c r="Y112" s="31"/>
      <c r="Z112" s="45">
        <v>0</v>
      </c>
      <c r="AA112" s="31"/>
      <c r="AB112" s="45">
        <v>0</v>
      </c>
      <c r="AC112" s="31"/>
      <c r="AD112" s="45">
        <v>0</v>
      </c>
      <c r="AE112" s="31"/>
      <c r="AF112" s="45">
        <v>0</v>
      </c>
      <c r="AG112" s="31"/>
      <c r="AH112" s="45">
        <v>0</v>
      </c>
      <c r="AJ112" s="45">
        <v>0</v>
      </c>
      <c r="AL112" s="45">
        <v>0</v>
      </c>
      <c r="AN112" s="45">
        <v>0</v>
      </c>
      <c r="AP112" s="45">
        <v>0</v>
      </c>
      <c r="AR112" s="45">
        <v>0</v>
      </c>
      <c r="AT112" s="45">
        <v>0</v>
      </c>
      <c r="AV112" s="45">
        <v>0</v>
      </c>
      <c r="AX112" s="45">
        <v>0</v>
      </c>
      <c r="AZ112" s="45">
        <v>0</v>
      </c>
      <c r="BB112" s="45">
        <v>0</v>
      </c>
      <c r="BD112" s="45">
        <v>0</v>
      </c>
      <c r="BF112" s="45">
        <v>0</v>
      </c>
      <c r="BH112" s="45">
        <v>0</v>
      </c>
      <c r="BJ112" s="45">
        <v>0</v>
      </c>
      <c r="BL112" s="45">
        <v>0</v>
      </c>
      <c r="BN112" s="43"/>
    </row>
    <row r="113" spans="2:66" ht="14.45" customHeight="1" x14ac:dyDescent="0.25">
      <c r="B113" s="3" t="s">
        <v>17</v>
      </c>
      <c r="C113" s="3"/>
      <c r="D113" s="31"/>
      <c r="E113" s="31"/>
      <c r="F113" s="45">
        <v>0</v>
      </c>
      <c r="G113" s="31"/>
      <c r="H113" s="45">
        <v>0</v>
      </c>
      <c r="I113" s="31"/>
      <c r="J113" s="45">
        <v>0</v>
      </c>
      <c r="K113" s="31"/>
      <c r="L113" s="45">
        <v>0</v>
      </c>
      <c r="M113" s="31"/>
      <c r="N113" s="45">
        <v>0</v>
      </c>
      <c r="O113" s="31"/>
      <c r="P113" s="45">
        <v>0</v>
      </c>
      <c r="Q113" s="31"/>
      <c r="R113" s="45">
        <v>0</v>
      </c>
      <c r="S113" s="31"/>
      <c r="T113" s="45">
        <v>0</v>
      </c>
      <c r="U113" s="31"/>
      <c r="V113" s="45">
        <v>0</v>
      </c>
      <c r="W113" s="31"/>
      <c r="X113" s="45">
        <v>0</v>
      </c>
      <c r="Y113" s="31"/>
      <c r="Z113" s="45">
        <v>0</v>
      </c>
      <c r="AA113" s="31"/>
      <c r="AB113" s="45">
        <v>0</v>
      </c>
      <c r="AC113" s="31"/>
      <c r="AD113" s="45">
        <v>0</v>
      </c>
      <c r="AE113" s="31"/>
      <c r="AF113" s="45">
        <v>0</v>
      </c>
      <c r="AG113" s="31"/>
      <c r="AH113" s="45">
        <v>0</v>
      </c>
      <c r="AJ113" s="45">
        <v>0</v>
      </c>
      <c r="AL113" s="45">
        <v>0</v>
      </c>
      <c r="AN113" s="45">
        <v>0</v>
      </c>
      <c r="AP113" s="45">
        <v>0</v>
      </c>
      <c r="AR113" s="45">
        <v>0</v>
      </c>
      <c r="AT113" s="45">
        <v>0</v>
      </c>
      <c r="AV113" s="45">
        <v>0</v>
      </c>
      <c r="AX113" s="45">
        <v>0</v>
      </c>
      <c r="AZ113" s="45">
        <v>0</v>
      </c>
      <c r="BB113" s="45">
        <v>0</v>
      </c>
      <c r="BD113" s="45">
        <v>0</v>
      </c>
      <c r="BF113" s="45">
        <v>0</v>
      </c>
      <c r="BH113" s="45">
        <v>0</v>
      </c>
      <c r="BJ113" s="45">
        <v>0</v>
      </c>
      <c r="BL113" s="45">
        <v>0</v>
      </c>
      <c r="BN113" s="43"/>
    </row>
    <row r="114" spans="2:66" s="6" customFormat="1" ht="14.45" customHeight="1" x14ac:dyDescent="0.25">
      <c r="B114" s="6" t="s">
        <v>8</v>
      </c>
      <c r="D114" s="38"/>
      <c r="E114" s="38"/>
      <c r="F114" s="42">
        <f>(F107*((F108*F113)+(F108*F111)+(F109*F112+F110)))</f>
        <v>0</v>
      </c>
      <c r="G114" s="38"/>
      <c r="H114" s="42">
        <f>(H107*((H108*H113)+(H108*H111)+(H109*H112+H110)))</f>
        <v>0</v>
      </c>
      <c r="I114" s="38"/>
      <c r="J114" s="42">
        <f>(J107*((J108*J113)+(J108*J111)+(J109*J112+J110)))</f>
        <v>0</v>
      </c>
      <c r="K114" s="38"/>
      <c r="L114" s="42">
        <f>(L107*((L108*L113)+(L108*L111)+(L109*L112+L110)))</f>
        <v>0</v>
      </c>
      <c r="M114" s="38"/>
      <c r="N114" s="42">
        <f>(N107*((N108*N113)+(N108*N111)+(N109*N112+N110)))</f>
        <v>0</v>
      </c>
      <c r="O114" s="38"/>
      <c r="P114" s="42">
        <f>(P107*((P108*P113)+(P108*P111)+(P109*P112+P110)))</f>
        <v>0</v>
      </c>
      <c r="Q114" s="38"/>
      <c r="R114" s="42">
        <f>(R107*((R108*R113)+(R108*R111)+(R109*R112+R110)))</f>
        <v>0</v>
      </c>
      <c r="S114" s="38"/>
      <c r="T114" s="42">
        <f>(T107*((T108*T113)+(T108*T111)+(T109*T112+T110)))</f>
        <v>0</v>
      </c>
      <c r="U114" s="38"/>
      <c r="V114" s="42">
        <f>(V107*((V108*V113)+(V108*V111)+(V109*V112+V110)))</f>
        <v>0</v>
      </c>
      <c r="W114" s="38"/>
      <c r="X114" s="42">
        <f>(X107*((X108*X113)+(X108*X111)+(X109*X112+X110)))</f>
        <v>0</v>
      </c>
      <c r="Y114" s="38"/>
      <c r="Z114" s="42">
        <f>(Z107*((Z108*Z113)+(Z108*Z111)+(Z109*Z112+Z110)))</f>
        <v>0</v>
      </c>
      <c r="AA114" s="38"/>
      <c r="AB114" s="42">
        <f>(AB107*((AB108*AB113)+(AB108*AB111)+(AB109*AB112+AB110)))</f>
        <v>0</v>
      </c>
      <c r="AC114" s="38"/>
      <c r="AD114" s="42">
        <f>(AD107*((AD108*AD113)+(AD108*AD111)+(AD109*AD112+AD110)))</f>
        <v>0</v>
      </c>
      <c r="AE114" s="38"/>
      <c r="AF114" s="42">
        <f>(AF107*((AF108*AF113)+(AF108*AF111)+(AF109*AF112+AF110)))</f>
        <v>0</v>
      </c>
      <c r="AG114" s="38"/>
      <c r="AH114" s="42">
        <f>(AH107*((AH108*AH113)+(AH108*AH111)+(AH109*AH112+AH110)))</f>
        <v>0</v>
      </c>
      <c r="AJ114" s="42">
        <f t="shared" ref="AJ114" si="137">(AJ107*((AJ108*AJ113)+(AJ108*AJ111)+(AJ109*AJ112+AJ110)))</f>
        <v>0</v>
      </c>
      <c r="AL114" s="42">
        <f t="shared" ref="AL114" si="138">(AL107*((AL108*AL113)+(AL108*AL111)+(AL109*AL112+AL110)))</f>
        <v>0</v>
      </c>
      <c r="AN114" s="42">
        <f t="shared" ref="AN114" si="139">(AN107*((AN108*AN113)+(AN108*AN111)+(AN109*AN112+AN110)))</f>
        <v>0</v>
      </c>
      <c r="AP114" s="42">
        <f t="shared" ref="AP114" si="140">(AP107*((AP108*AP113)+(AP108*AP111)+(AP109*AP112+AP110)))</f>
        <v>0</v>
      </c>
      <c r="AR114" s="42">
        <f t="shared" ref="AR114" si="141">(AR107*((AR108*AR113)+(AR108*AR111)+(AR109*AR112+AR110)))</f>
        <v>0</v>
      </c>
      <c r="AT114" s="42">
        <f t="shared" ref="AT114" si="142">(AT107*((AT108*AT113)+(AT108*AT111)+(AT109*AT112+AT110)))</f>
        <v>0</v>
      </c>
      <c r="AV114" s="42">
        <f t="shared" ref="AV114" si="143">(AV107*((AV108*AV113)+(AV108*AV111)+(AV109*AV112+AV110)))</f>
        <v>0</v>
      </c>
      <c r="AX114" s="42">
        <f t="shared" ref="AX114" si="144">(AX107*((AX108*AX113)+(AX108*AX111)+(AX109*AX112+AX110)))</f>
        <v>0</v>
      </c>
      <c r="AZ114" s="42">
        <f t="shared" ref="AZ114" si="145">(AZ107*((AZ108*AZ113)+(AZ108*AZ111)+(AZ109*AZ112+AZ110)))</f>
        <v>0</v>
      </c>
      <c r="BB114" s="42">
        <f t="shared" ref="BB114" si="146">(BB107*((BB108*BB113)+(BB108*BB111)+(BB109*BB112+BB110)))</f>
        <v>0</v>
      </c>
      <c r="BD114" s="42">
        <f t="shared" ref="BD114" si="147">(BD107*((BD108*BD113)+(BD108*BD111)+(BD109*BD112+BD110)))</f>
        <v>0</v>
      </c>
      <c r="BF114" s="42">
        <f t="shared" ref="BF114" si="148">(BF107*((BF108*BF113)+(BF108*BF111)+(BF109*BF112+BF110)))</f>
        <v>0</v>
      </c>
      <c r="BH114" s="42">
        <f t="shared" ref="BH114" si="149">(BH107*((BH108*BH113)+(BH108*BH111)+(BH109*BH112+BH110)))</f>
        <v>0</v>
      </c>
      <c r="BJ114" s="42">
        <f t="shared" ref="BJ114" si="150">(BJ107*((BJ108*BJ113)+(BJ108*BJ111)+(BJ109*BJ112+BJ110)))</f>
        <v>0</v>
      </c>
      <c r="BL114" s="42">
        <f t="shared" ref="BL114" si="151">(BL107*((BL108*BL113)+(BL108*BL111)+(BL109*BL112+BL110)))</f>
        <v>0</v>
      </c>
      <c r="BN114" s="84">
        <f>SUMIF(D$32:BO$32,"Dollar Value",D114:BO114)</f>
        <v>0</v>
      </c>
    </row>
    <row r="115" spans="2:66" ht="14.45" hidden="1" customHeight="1" x14ac:dyDescent="0.25">
      <c r="D115" s="31"/>
      <c r="E115" s="31"/>
      <c r="F115" s="42"/>
      <c r="G115" s="38"/>
      <c r="H115" s="42"/>
      <c r="I115" s="38"/>
      <c r="J115" s="42"/>
      <c r="K115" s="38"/>
      <c r="L115" s="42"/>
      <c r="M115" s="38"/>
      <c r="N115" s="42"/>
      <c r="O115" s="38"/>
      <c r="P115" s="42"/>
      <c r="Q115" s="38"/>
      <c r="R115" s="42"/>
      <c r="S115" s="38"/>
      <c r="T115" s="42"/>
      <c r="U115" s="38"/>
      <c r="V115" s="42"/>
      <c r="W115" s="38"/>
      <c r="X115" s="42"/>
      <c r="Y115" s="38"/>
      <c r="Z115" s="42"/>
      <c r="AA115" s="38"/>
      <c r="AB115" s="42"/>
      <c r="AC115" s="38"/>
      <c r="AD115" s="42"/>
      <c r="AE115" s="38"/>
      <c r="AF115" s="42"/>
      <c r="AG115" s="38"/>
      <c r="AH115" s="42"/>
      <c r="AI115" s="6"/>
      <c r="AJ115" s="42"/>
      <c r="AK115" s="6"/>
      <c r="AL115" s="42"/>
      <c r="AM115" s="6"/>
      <c r="AN115" s="42"/>
      <c r="AO115" s="6"/>
      <c r="AP115" s="42"/>
      <c r="AQ115" s="6"/>
      <c r="AR115" s="42"/>
      <c r="AS115" s="6"/>
      <c r="AT115" s="42"/>
      <c r="AU115" s="6"/>
      <c r="AV115" s="42"/>
      <c r="AW115" s="6"/>
      <c r="AX115" s="42"/>
      <c r="AY115" s="6"/>
      <c r="AZ115" s="42"/>
      <c r="BA115" s="6"/>
      <c r="BB115" s="42"/>
      <c r="BC115" s="6"/>
      <c r="BD115" s="42"/>
      <c r="BE115" s="6"/>
      <c r="BF115" s="42"/>
      <c r="BG115" s="6"/>
      <c r="BH115" s="42"/>
      <c r="BI115" s="6"/>
      <c r="BJ115" s="42"/>
      <c r="BK115" s="6"/>
      <c r="BL115" s="42"/>
      <c r="BM115" s="6"/>
      <c r="BN115" s="84">
        <f>SUMIF(D$32:BO$32,"Dollar Value",D115:BO115)</f>
        <v>0</v>
      </c>
    </row>
    <row r="116" spans="2:66" ht="14.45" hidden="1" customHeight="1" x14ac:dyDescent="0.25">
      <c r="B116" s="3" t="s">
        <v>85</v>
      </c>
      <c r="C116" s="3"/>
      <c r="D116" s="31"/>
      <c r="E116" s="39"/>
      <c r="F116" s="60" t="s">
        <v>101</v>
      </c>
      <c r="G116" s="39"/>
      <c r="H116" s="59" t="s">
        <v>101</v>
      </c>
      <c r="I116" s="39"/>
      <c r="J116" s="59" t="s">
        <v>101</v>
      </c>
      <c r="K116" s="39"/>
      <c r="L116" s="59" t="s">
        <v>101</v>
      </c>
      <c r="M116" s="39"/>
      <c r="N116" s="59" t="s">
        <v>101</v>
      </c>
      <c r="O116" s="39"/>
      <c r="P116" s="59" t="s">
        <v>101</v>
      </c>
      <c r="Q116" s="39"/>
      <c r="R116" s="59" t="s">
        <v>101</v>
      </c>
      <c r="S116" s="39"/>
      <c r="T116" s="59" t="s">
        <v>101</v>
      </c>
      <c r="U116" s="39"/>
      <c r="V116" s="59" t="s">
        <v>101</v>
      </c>
      <c r="W116" s="39"/>
      <c r="X116" s="46" t="s">
        <v>101</v>
      </c>
      <c r="Y116" s="39"/>
      <c r="Z116" s="46" t="s">
        <v>101</v>
      </c>
      <c r="AA116" s="39"/>
      <c r="AB116" s="46" t="s">
        <v>101</v>
      </c>
      <c r="AC116" s="39"/>
      <c r="AD116" s="46" t="s">
        <v>101</v>
      </c>
      <c r="AE116" s="39"/>
      <c r="AF116" s="46" t="s">
        <v>101</v>
      </c>
      <c r="AG116" s="39"/>
      <c r="AH116" s="59" t="s">
        <v>101</v>
      </c>
      <c r="AI116" s="70"/>
      <c r="AJ116" s="75" t="s">
        <v>101</v>
      </c>
      <c r="AK116" s="70"/>
      <c r="AL116" s="75" t="s">
        <v>101</v>
      </c>
      <c r="AM116" s="70"/>
      <c r="AN116" s="75" t="s">
        <v>101</v>
      </c>
      <c r="AO116" s="70"/>
      <c r="AP116" s="75" t="s">
        <v>101</v>
      </c>
      <c r="AQ116" s="70"/>
      <c r="AR116" s="75" t="s">
        <v>101</v>
      </c>
      <c r="AS116" s="70"/>
      <c r="AT116" s="75" t="s">
        <v>101</v>
      </c>
      <c r="AU116" s="70"/>
      <c r="AV116" s="75" t="s">
        <v>101</v>
      </c>
      <c r="AW116" s="70"/>
      <c r="AX116" s="75" t="s">
        <v>101</v>
      </c>
      <c r="AY116" s="70"/>
      <c r="AZ116" s="75" t="s">
        <v>101</v>
      </c>
      <c r="BA116" s="70"/>
      <c r="BB116" s="75" t="s">
        <v>101</v>
      </c>
      <c r="BC116" s="70"/>
      <c r="BD116" s="75" t="s">
        <v>101</v>
      </c>
      <c r="BE116" s="70"/>
      <c r="BF116" s="75" t="s">
        <v>101</v>
      </c>
      <c r="BG116" s="70"/>
      <c r="BH116" s="75" t="s">
        <v>101</v>
      </c>
      <c r="BI116" s="70"/>
      <c r="BJ116" s="75" t="s">
        <v>101</v>
      </c>
      <c r="BK116" s="70"/>
      <c r="BL116" s="75" t="s">
        <v>101</v>
      </c>
      <c r="BN116" s="43"/>
    </row>
    <row r="117" spans="2:66" ht="14.45" hidden="1" customHeight="1" x14ac:dyDescent="0.25">
      <c r="B117" s="3" t="s">
        <v>13</v>
      </c>
      <c r="C117" s="3"/>
      <c r="D117" s="31"/>
      <c r="E117" s="31"/>
      <c r="F117" s="44">
        <v>0</v>
      </c>
      <c r="G117" s="31"/>
      <c r="H117" s="44">
        <v>0</v>
      </c>
      <c r="I117" s="31"/>
      <c r="J117" s="44">
        <v>0</v>
      </c>
      <c r="K117" s="31"/>
      <c r="L117" s="44">
        <v>0</v>
      </c>
      <c r="M117" s="31"/>
      <c r="N117" s="44">
        <v>0</v>
      </c>
      <c r="O117" s="31"/>
      <c r="P117" s="44">
        <v>0</v>
      </c>
      <c r="Q117" s="31"/>
      <c r="R117" s="44">
        <v>0</v>
      </c>
      <c r="S117" s="31"/>
      <c r="T117" s="44">
        <v>0</v>
      </c>
      <c r="U117" s="31"/>
      <c r="V117" s="44">
        <v>0</v>
      </c>
      <c r="W117" s="31"/>
      <c r="X117" s="44">
        <v>0</v>
      </c>
      <c r="Y117" s="31"/>
      <c r="Z117" s="44">
        <v>0</v>
      </c>
      <c r="AA117" s="31"/>
      <c r="AB117" s="44">
        <v>0</v>
      </c>
      <c r="AC117" s="31"/>
      <c r="AD117" s="44">
        <v>0</v>
      </c>
      <c r="AE117" s="31"/>
      <c r="AF117" s="44">
        <v>0</v>
      </c>
      <c r="AG117" s="31"/>
      <c r="AH117" s="44">
        <v>0</v>
      </c>
      <c r="AJ117" s="44">
        <v>0</v>
      </c>
      <c r="AL117" s="44">
        <v>0</v>
      </c>
      <c r="AN117" s="44">
        <v>0</v>
      </c>
      <c r="AP117" s="44">
        <v>0</v>
      </c>
      <c r="AR117" s="44">
        <v>0</v>
      </c>
      <c r="AT117" s="44">
        <v>0</v>
      </c>
      <c r="AV117" s="44">
        <v>0</v>
      </c>
      <c r="AX117" s="44">
        <v>0</v>
      </c>
      <c r="AZ117" s="44">
        <v>0</v>
      </c>
      <c r="BB117" s="44">
        <v>0</v>
      </c>
      <c r="BD117" s="44">
        <v>0</v>
      </c>
      <c r="BF117" s="44">
        <v>0</v>
      </c>
      <c r="BH117" s="44">
        <v>0</v>
      </c>
      <c r="BJ117" s="44">
        <v>0</v>
      </c>
      <c r="BL117" s="44">
        <v>0</v>
      </c>
      <c r="BN117" s="43"/>
    </row>
    <row r="118" spans="2:66" ht="14.45" hidden="1" customHeight="1" x14ac:dyDescent="0.25">
      <c r="B118" s="3" t="s">
        <v>14</v>
      </c>
      <c r="C118" s="3"/>
      <c r="D118" s="31"/>
      <c r="E118" s="31"/>
      <c r="F118" s="44">
        <v>0</v>
      </c>
      <c r="G118" s="31"/>
      <c r="H118" s="44">
        <v>0</v>
      </c>
      <c r="I118" s="31"/>
      <c r="J118" s="44">
        <v>0</v>
      </c>
      <c r="K118" s="31"/>
      <c r="L118" s="44">
        <v>0</v>
      </c>
      <c r="M118" s="31"/>
      <c r="N118" s="44">
        <v>0</v>
      </c>
      <c r="O118" s="31"/>
      <c r="P118" s="44">
        <v>0</v>
      </c>
      <c r="Q118" s="31"/>
      <c r="R118" s="44">
        <v>0</v>
      </c>
      <c r="S118" s="31"/>
      <c r="T118" s="44">
        <v>0</v>
      </c>
      <c r="U118" s="31"/>
      <c r="V118" s="44">
        <v>0</v>
      </c>
      <c r="W118" s="31"/>
      <c r="X118" s="44">
        <v>0</v>
      </c>
      <c r="Y118" s="31"/>
      <c r="Z118" s="44">
        <v>0</v>
      </c>
      <c r="AA118" s="31"/>
      <c r="AB118" s="44">
        <v>0</v>
      </c>
      <c r="AC118" s="31"/>
      <c r="AD118" s="44">
        <v>0</v>
      </c>
      <c r="AE118" s="31"/>
      <c r="AF118" s="44">
        <v>0</v>
      </c>
      <c r="AG118" s="31"/>
      <c r="AH118" s="44">
        <v>0</v>
      </c>
      <c r="AJ118" s="44">
        <v>0</v>
      </c>
      <c r="AL118" s="44">
        <v>0</v>
      </c>
      <c r="AN118" s="44">
        <v>0</v>
      </c>
      <c r="AP118" s="44">
        <v>0</v>
      </c>
      <c r="AR118" s="44">
        <v>0</v>
      </c>
      <c r="AT118" s="44">
        <v>0</v>
      </c>
      <c r="AV118" s="44">
        <v>0</v>
      </c>
      <c r="AX118" s="44">
        <v>0</v>
      </c>
      <c r="AZ118" s="44">
        <v>0</v>
      </c>
      <c r="BB118" s="44">
        <v>0</v>
      </c>
      <c r="BD118" s="44">
        <v>0</v>
      </c>
      <c r="BF118" s="44">
        <v>0</v>
      </c>
      <c r="BH118" s="44">
        <v>0</v>
      </c>
      <c r="BJ118" s="44">
        <v>0</v>
      </c>
      <c r="BL118" s="44">
        <v>0</v>
      </c>
      <c r="BN118" s="43"/>
    </row>
    <row r="119" spans="2:66" ht="14.45" hidden="1" customHeight="1" x14ac:dyDescent="0.25">
      <c r="B119" s="3" t="s">
        <v>65</v>
      </c>
      <c r="C119" s="3"/>
      <c r="D119" s="31"/>
      <c r="E119" s="31"/>
      <c r="F119" s="44">
        <v>0</v>
      </c>
      <c r="G119" s="31"/>
      <c r="H119" s="44">
        <v>0</v>
      </c>
      <c r="I119" s="31"/>
      <c r="J119" s="44">
        <v>0</v>
      </c>
      <c r="K119" s="31"/>
      <c r="L119" s="44">
        <v>0</v>
      </c>
      <c r="M119" s="31"/>
      <c r="N119" s="44">
        <v>0</v>
      </c>
      <c r="O119" s="31"/>
      <c r="P119" s="44">
        <v>0</v>
      </c>
      <c r="Q119" s="31"/>
      <c r="R119" s="44">
        <v>0</v>
      </c>
      <c r="S119" s="31"/>
      <c r="T119" s="44">
        <v>0</v>
      </c>
      <c r="U119" s="31"/>
      <c r="V119" s="44">
        <v>0</v>
      </c>
      <c r="W119" s="31"/>
      <c r="X119" s="44">
        <v>0</v>
      </c>
      <c r="Y119" s="31"/>
      <c r="Z119" s="44">
        <v>0</v>
      </c>
      <c r="AA119" s="31"/>
      <c r="AB119" s="44">
        <v>0</v>
      </c>
      <c r="AC119" s="31"/>
      <c r="AD119" s="44">
        <v>0</v>
      </c>
      <c r="AE119" s="31"/>
      <c r="AF119" s="44">
        <v>0</v>
      </c>
      <c r="AG119" s="31"/>
      <c r="AH119" s="44">
        <v>0</v>
      </c>
      <c r="AJ119" s="44">
        <v>0</v>
      </c>
      <c r="AL119" s="44">
        <v>0</v>
      </c>
      <c r="AN119" s="44">
        <v>0</v>
      </c>
      <c r="AP119" s="44">
        <v>0</v>
      </c>
      <c r="AR119" s="44">
        <v>0</v>
      </c>
      <c r="AT119" s="44">
        <v>0</v>
      </c>
      <c r="AV119" s="44">
        <v>0</v>
      </c>
      <c r="AX119" s="44">
        <v>0</v>
      </c>
      <c r="AZ119" s="44">
        <v>0</v>
      </c>
      <c r="BB119" s="44">
        <v>0</v>
      </c>
      <c r="BD119" s="44">
        <v>0</v>
      </c>
      <c r="BF119" s="44">
        <v>0</v>
      </c>
      <c r="BH119" s="44">
        <v>0</v>
      </c>
      <c r="BJ119" s="44">
        <v>0</v>
      </c>
      <c r="BL119" s="44">
        <v>0</v>
      </c>
      <c r="BN119" s="43"/>
    </row>
    <row r="120" spans="2:66" ht="14.45" hidden="1" customHeight="1" x14ac:dyDescent="0.25">
      <c r="B120" s="3" t="s">
        <v>67</v>
      </c>
      <c r="C120" s="3"/>
      <c r="D120" s="31"/>
      <c r="E120" s="31"/>
      <c r="F120" s="45">
        <v>0</v>
      </c>
      <c r="G120" s="31"/>
      <c r="H120" s="45">
        <v>0</v>
      </c>
      <c r="I120" s="31"/>
      <c r="J120" s="45">
        <v>0</v>
      </c>
      <c r="K120" s="31"/>
      <c r="L120" s="45">
        <v>0</v>
      </c>
      <c r="M120" s="31"/>
      <c r="N120" s="45">
        <v>0</v>
      </c>
      <c r="O120" s="31"/>
      <c r="P120" s="45">
        <v>0</v>
      </c>
      <c r="Q120" s="31"/>
      <c r="R120" s="45">
        <v>0</v>
      </c>
      <c r="S120" s="31"/>
      <c r="T120" s="45">
        <v>0</v>
      </c>
      <c r="U120" s="31"/>
      <c r="V120" s="45">
        <v>0</v>
      </c>
      <c r="W120" s="31"/>
      <c r="X120" s="45">
        <v>0</v>
      </c>
      <c r="Y120" s="31"/>
      <c r="Z120" s="45">
        <v>0</v>
      </c>
      <c r="AA120" s="31"/>
      <c r="AB120" s="45">
        <v>0</v>
      </c>
      <c r="AC120" s="31"/>
      <c r="AD120" s="45">
        <v>0</v>
      </c>
      <c r="AE120" s="31"/>
      <c r="AF120" s="45">
        <v>0</v>
      </c>
      <c r="AG120" s="31"/>
      <c r="AH120" s="45">
        <v>0</v>
      </c>
      <c r="AJ120" s="45">
        <v>0</v>
      </c>
      <c r="AL120" s="45">
        <v>0</v>
      </c>
      <c r="AN120" s="45">
        <v>0</v>
      </c>
      <c r="AP120" s="45">
        <v>0</v>
      </c>
      <c r="AR120" s="45">
        <v>0</v>
      </c>
      <c r="AT120" s="45">
        <v>0</v>
      </c>
      <c r="AV120" s="45">
        <v>0</v>
      </c>
      <c r="AX120" s="45">
        <v>0</v>
      </c>
      <c r="AZ120" s="45">
        <v>0</v>
      </c>
      <c r="BB120" s="45">
        <v>0</v>
      </c>
      <c r="BD120" s="45">
        <v>0</v>
      </c>
      <c r="BF120" s="45">
        <v>0</v>
      </c>
      <c r="BH120" s="45">
        <v>0</v>
      </c>
      <c r="BJ120" s="45">
        <v>0</v>
      </c>
      <c r="BL120" s="45">
        <v>0</v>
      </c>
      <c r="BN120" s="43"/>
    </row>
    <row r="121" spans="2:66" ht="14.45" hidden="1" customHeight="1" x14ac:dyDescent="0.25">
      <c r="B121" s="3" t="s">
        <v>66</v>
      </c>
      <c r="C121" s="3"/>
      <c r="D121" s="31"/>
      <c r="E121" s="31"/>
      <c r="F121" s="45">
        <v>0</v>
      </c>
      <c r="G121" s="31"/>
      <c r="H121" s="45">
        <v>0</v>
      </c>
      <c r="I121" s="31"/>
      <c r="J121" s="45">
        <v>0</v>
      </c>
      <c r="K121" s="31"/>
      <c r="L121" s="45">
        <v>0</v>
      </c>
      <c r="M121" s="31"/>
      <c r="N121" s="45">
        <v>0</v>
      </c>
      <c r="O121" s="31"/>
      <c r="P121" s="45">
        <v>0</v>
      </c>
      <c r="Q121" s="31"/>
      <c r="R121" s="45">
        <v>0</v>
      </c>
      <c r="S121" s="31"/>
      <c r="T121" s="45">
        <v>0</v>
      </c>
      <c r="U121" s="31"/>
      <c r="V121" s="45">
        <v>0</v>
      </c>
      <c r="W121" s="31"/>
      <c r="X121" s="45">
        <v>0</v>
      </c>
      <c r="Y121" s="31"/>
      <c r="Z121" s="45">
        <v>0</v>
      </c>
      <c r="AA121" s="31"/>
      <c r="AB121" s="45">
        <v>0</v>
      </c>
      <c r="AC121" s="31"/>
      <c r="AD121" s="45">
        <v>0</v>
      </c>
      <c r="AE121" s="31"/>
      <c r="AF121" s="45">
        <v>0</v>
      </c>
      <c r="AG121" s="31"/>
      <c r="AH121" s="45">
        <v>0</v>
      </c>
      <c r="AJ121" s="45">
        <v>0</v>
      </c>
      <c r="AL121" s="45">
        <v>0</v>
      </c>
      <c r="AN121" s="45">
        <v>0</v>
      </c>
      <c r="AP121" s="45">
        <v>0</v>
      </c>
      <c r="AR121" s="45">
        <v>0</v>
      </c>
      <c r="AT121" s="45">
        <v>0</v>
      </c>
      <c r="AV121" s="45">
        <v>0</v>
      </c>
      <c r="AX121" s="45">
        <v>0</v>
      </c>
      <c r="AZ121" s="45">
        <v>0</v>
      </c>
      <c r="BB121" s="45">
        <v>0</v>
      </c>
      <c r="BD121" s="45">
        <v>0</v>
      </c>
      <c r="BF121" s="45">
        <v>0</v>
      </c>
      <c r="BH121" s="45">
        <v>0</v>
      </c>
      <c r="BJ121" s="45">
        <v>0</v>
      </c>
      <c r="BL121" s="45">
        <v>0</v>
      </c>
      <c r="BN121" s="43"/>
    </row>
    <row r="122" spans="2:66" ht="14.45" hidden="1" customHeight="1" x14ac:dyDescent="0.25">
      <c r="B122" s="3" t="s">
        <v>16</v>
      </c>
      <c r="C122" s="3"/>
      <c r="D122" s="31"/>
      <c r="E122" s="31"/>
      <c r="F122" s="45">
        <v>0</v>
      </c>
      <c r="G122" s="31"/>
      <c r="H122" s="45">
        <v>0</v>
      </c>
      <c r="I122" s="31"/>
      <c r="J122" s="45">
        <v>0</v>
      </c>
      <c r="K122" s="31"/>
      <c r="L122" s="45">
        <v>0</v>
      </c>
      <c r="M122" s="31"/>
      <c r="N122" s="45">
        <v>0</v>
      </c>
      <c r="O122" s="31"/>
      <c r="P122" s="45">
        <v>0</v>
      </c>
      <c r="Q122" s="31"/>
      <c r="R122" s="45">
        <v>0</v>
      </c>
      <c r="S122" s="31"/>
      <c r="T122" s="45">
        <v>0</v>
      </c>
      <c r="U122" s="31"/>
      <c r="V122" s="45">
        <v>0</v>
      </c>
      <c r="W122" s="31"/>
      <c r="X122" s="45">
        <v>0</v>
      </c>
      <c r="Y122" s="31"/>
      <c r="Z122" s="45">
        <v>0</v>
      </c>
      <c r="AA122" s="31"/>
      <c r="AB122" s="45">
        <v>0</v>
      </c>
      <c r="AC122" s="31"/>
      <c r="AD122" s="45">
        <v>0</v>
      </c>
      <c r="AE122" s="31"/>
      <c r="AF122" s="45">
        <v>0</v>
      </c>
      <c r="AG122" s="31"/>
      <c r="AH122" s="45">
        <v>0</v>
      </c>
      <c r="AJ122" s="45">
        <v>0</v>
      </c>
      <c r="AL122" s="45">
        <v>0</v>
      </c>
      <c r="AN122" s="45">
        <v>0</v>
      </c>
      <c r="AP122" s="45">
        <v>0</v>
      </c>
      <c r="AR122" s="45">
        <v>0</v>
      </c>
      <c r="AT122" s="45">
        <v>0</v>
      </c>
      <c r="AV122" s="45">
        <v>0</v>
      </c>
      <c r="AX122" s="45">
        <v>0</v>
      </c>
      <c r="AZ122" s="45">
        <v>0</v>
      </c>
      <c r="BB122" s="45">
        <v>0</v>
      </c>
      <c r="BD122" s="45">
        <v>0</v>
      </c>
      <c r="BF122" s="45">
        <v>0</v>
      </c>
      <c r="BH122" s="45">
        <v>0</v>
      </c>
      <c r="BJ122" s="45">
        <v>0</v>
      </c>
      <c r="BL122" s="45">
        <v>0</v>
      </c>
      <c r="BN122" s="43"/>
    </row>
    <row r="123" spans="2:66" ht="14.45" hidden="1" customHeight="1" x14ac:dyDescent="0.25">
      <c r="B123" s="3" t="s">
        <v>17</v>
      </c>
      <c r="C123" s="3"/>
      <c r="D123" s="31"/>
      <c r="E123" s="31"/>
      <c r="F123" s="45">
        <v>0</v>
      </c>
      <c r="G123" s="31"/>
      <c r="H123" s="45">
        <v>0</v>
      </c>
      <c r="I123" s="31"/>
      <c r="J123" s="45">
        <v>0</v>
      </c>
      <c r="K123" s="31"/>
      <c r="L123" s="45">
        <v>0</v>
      </c>
      <c r="M123" s="31"/>
      <c r="N123" s="45">
        <v>0</v>
      </c>
      <c r="O123" s="31"/>
      <c r="P123" s="45">
        <v>0</v>
      </c>
      <c r="Q123" s="31"/>
      <c r="R123" s="45">
        <v>0</v>
      </c>
      <c r="S123" s="31"/>
      <c r="T123" s="45">
        <v>0</v>
      </c>
      <c r="U123" s="31"/>
      <c r="V123" s="45">
        <v>0</v>
      </c>
      <c r="W123" s="31"/>
      <c r="X123" s="45">
        <v>0</v>
      </c>
      <c r="Y123" s="31"/>
      <c r="Z123" s="45">
        <v>0</v>
      </c>
      <c r="AA123" s="31"/>
      <c r="AB123" s="45">
        <v>0</v>
      </c>
      <c r="AC123" s="31"/>
      <c r="AD123" s="45">
        <v>0</v>
      </c>
      <c r="AE123" s="31"/>
      <c r="AF123" s="45">
        <v>0</v>
      </c>
      <c r="AG123" s="31"/>
      <c r="AH123" s="45">
        <v>0</v>
      </c>
      <c r="AJ123" s="45">
        <v>0</v>
      </c>
      <c r="AL123" s="45">
        <v>0</v>
      </c>
      <c r="AN123" s="45">
        <v>0</v>
      </c>
      <c r="AP123" s="45">
        <v>0</v>
      </c>
      <c r="AR123" s="45">
        <v>0</v>
      </c>
      <c r="AT123" s="45">
        <v>0</v>
      </c>
      <c r="AV123" s="45">
        <v>0</v>
      </c>
      <c r="AX123" s="45">
        <v>0</v>
      </c>
      <c r="AZ123" s="45">
        <v>0</v>
      </c>
      <c r="BB123" s="45">
        <v>0</v>
      </c>
      <c r="BD123" s="45">
        <v>0</v>
      </c>
      <c r="BF123" s="45">
        <v>0</v>
      </c>
      <c r="BH123" s="45">
        <v>0</v>
      </c>
      <c r="BJ123" s="45">
        <v>0</v>
      </c>
      <c r="BL123" s="45">
        <v>0</v>
      </c>
      <c r="BN123" s="43"/>
    </row>
    <row r="124" spans="2:66" s="6" customFormat="1" ht="14.45" hidden="1" customHeight="1" x14ac:dyDescent="0.25">
      <c r="B124" s="6" t="s">
        <v>8</v>
      </c>
      <c r="D124" s="38"/>
      <c r="E124" s="38"/>
      <c r="F124" s="42">
        <f>(F117*((F118*F123)+(F118*F121)+(F119*F122+F120)))</f>
        <v>0</v>
      </c>
      <c r="G124" s="38"/>
      <c r="H124" s="42">
        <f>(H117*((H118*H123)+(H118*H121)+(H119*H122+H120)))</f>
        <v>0</v>
      </c>
      <c r="I124" s="38"/>
      <c r="J124" s="42">
        <f>(J117*((J118*J123)+(J118*J121)+(J119*J122+J120)))</f>
        <v>0</v>
      </c>
      <c r="K124" s="38"/>
      <c r="L124" s="42">
        <f>(L117*((L118*L123)+(L118*L121)+(L119*L122+L120)))</f>
        <v>0</v>
      </c>
      <c r="M124" s="38"/>
      <c r="N124" s="42">
        <f>(N117*((N118*N123)+(N118*N121)+(N119*N122+N120)))</f>
        <v>0</v>
      </c>
      <c r="O124" s="38"/>
      <c r="P124" s="42">
        <f>(P117*((P118*P123)+(P118*P121)+(P119*P122+P120)))</f>
        <v>0</v>
      </c>
      <c r="Q124" s="38"/>
      <c r="R124" s="42">
        <f>(R117*((R118*R123)+(R118*R121)+(R119*R122+R120)))</f>
        <v>0</v>
      </c>
      <c r="S124" s="38"/>
      <c r="T124" s="42">
        <f>(T117*((T118*T123)+(T118*T121)+(T119*T122+T120)))</f>
        <v>0</v>
      </c>
      <c r="U124" s="38"/>
      <c r="V124" s="42">
        <f>(V117*((V118*V123)+(V118*V121)+(V119*V122+V120)))</f>
        <v>0</v>
      </c>
      <c r="W124" s="38"/>
      <c r="X124" s="42">
        <f>(X117*((X118*X123)+(X118*X121)+(X119*X122+X120)))</f>
        <v>0</v>
      </c>
      <c r="Y124" s="38"/>
      <c r="Z124" s="42">
        <f>(Z117*((Z118*Z123)+(Z118*Z121)+(Z119*Z122+Z120)))</f>
        <v>0</v>
      </c>
      <c r="AA124" s="38"/>
      <c r="AB124" s="42">
        <f>(AB117*((AB118*AB123)+(AB118*AB121)+(AB119*AB122+AB120)))</f>
        <v>0</v>
      </c>
      <c r="AC124" s="38"/>
      <c r="AD124" s="42">
        <f>(AD117*((AD118*AD123)+(AD118*AD121)+(AD119*AD122+AD120)))</f>
        <v>0</v>
      </c>
      <c r="AE124" s="38"/>
      <c r="AF124" s="42">
        <f>(AF117*((AF118*AF123)+(AF118*AF121)+(AF119*AF122+AF120)))</f>
        <v>0</v>
      </c>
      <c r="AG124" s="38"/>
      <c r="AH124" s="42">
        <f>(AH117*((AH118*AH123)+(AH118*AH121)+(AH119*AH122+AH120)))</f>
        <v>0</v>
      </c>
      <c r="AJ124" s="42">
        <f t="shared" ref="AJ124" si="152">(AJ117*((AJ118*AJ123)+(AJ118*AJ121)+(AJ119*AJ122+AJ120)))</f>
        <v>0</v>
      </c>
      <c r="AL124" s="42">
        <f t="shared" ref="AL124" si="153">(AL117*((AL118*AL123)+(AL118*AL121)+(AL119*AL122+AL120)))</f>
        <v>0</v>
      </c>
      <c r="AN124" s="42">
        <f t="shared" ref="AN124" si="154">(AN117*((AN118*AN123)+(AN118*AN121)+(AN119*AN122+AN120)))</f>
        <v>0</v>
      </c>
      <c r="AP124" s="42">
        <f t="shared" ref="AP124" si="155">(AP117*((AP118*AP123)+(AP118*AP121)+(AP119*AP122+AP120)))</f>
        <v>0</v>
      </c>
      <c r="AR124" s="42">
        <f t="shared" ref="AR124" si="156">(AR117*((AR118*AR123)+(AR118*AR121)+(AR119*AR122+AR120)))</f>
        <v>0</v>
      </c>
      <c r="AT124" s="42">
        <f t="shared" ref="AT124" si="157">(AT117*((AT118*AT123)+(AT118*AT121)+(AT119*AT122+AT120)))</f>
        <v>0</v>
      </c>
      <c r="AV124" s="42">
        <f t="shared" ref="AV124" si="158">(AV117*((AV118*AV123)+(AV118*AV121)+(AV119*AV122+AV120)))</f>
        <v>0</v>
      </c>
      <c r="AX124" s="42">
        <f t="shared" ref="AX124" si="159">(AX117*((AX118*AX123)+(AX118*AX121)+(AX119*AX122+AX120)))</f>
        <v>0</v>
      </c>
      <c r="AZ124" s="42">
        <f t="shared" ref="AZ124" si="160">(AZ117*((AZ118*AZ123)+(AZ118*AZ121)+(AZ119*AZ122+AZ120)))</f>
        <v>0</v>
      </c>
      <c r="BB124" s="42">
        <f t="shared" ref="BB124" si="161">(BB117*((BB118*BB123)+(BB118*BB121)+(BB119*BB122+BB120)))</f>
        <v>0</v>
      </c>
      <c r="BD124" s="42">
        <f t="shared" ref="BD124" si="162">(BD117*((BD118*BD123)+(BD118*BD121)+(BD119*BD122+BD120)))</f>
        <v>0</v>
      </c>
      <c r="BF124" s="42">
        <f t="shared" ref="BF124" si="163">(BF117*((BF118*BF123)+(BF118*BF121)+(BF119*BF122+BF120)))</f>
        <v>0</v>
      </c>
      <c r="BH124" s="42">
        <f t="shared" ref="BH124" si="164">(BH117*((BH118*BH123)+(BH118*BH121)+(BH119*BH122+BH120)))</f>
        <v>0</v>
      </c>
      <c r="BJ124" s="42">
        <f t="shared" ref="BJ124" si="165">(BJ117*((BJ118*BJ123)+(BJ118*BJ121)+(BJ119*BJ122+BJ120)))</f>
        <v>0</v>
      </c>
      <c r="BL124" s="42">
        <f t="shared" ref="BL124" si="166">(BL117*((BL118*BL123)+(BL118*BL121)+(BL119*BL122+BL120)))</f>
        <v>0</v>
      </c>
      <c r="BN124" s="84">
        <f>SUMIF(D$32:BO$32,"Dollar Value",D124:BO124)</f>
        <v>0</v>
      </c>
    </row>
    <row r="125" spans="2:66" ht="14.45" hidden="1" customHeight="1" x14ac:dyDescent="0.25">
      <c r="D125" s="31"/>
      <c r="E125" s="31"/>
      <c r="F125" s="42"/>
      <c r="G125" s="38"/>
      <c r="H125" s="42"/>
      <c r="I125" s="38"/>
      <c r="J125" s="42"/>
      <c r="K125" s="38"/>
      <c r="L125" s="42"/>
      <c r="M125" s="38"/>
      <c r="N125" s="42"/>
      <c r="O125" s="38"/>
      <c r="P125" s="42"/>
      <c r="Q125" s="38"/>
      <c r="R125" s="42"/>
      <c r="S125" s="38"/>
      <c r="T125" s="42"/>
      <c r="U125" s="38"/>
      <c r="V125" s="42"/>
      <c r="W125" s="38"/>
      <c r="X125" s="42"/>
      <c r="Y125" s="38"/>
      <c r="Z125" s="42"/>
      <c r="AA125" s="38"/>
      <c r="AB125" s="42"/>
      <c r="AC125" s="38"/>
      <c r="AD125" s="42"/>
      <c r="AE125" s="38"/>
      <c r="AF125" s="42"/>
      <c r="AG125" s="38"/>
      <c r="AH125" s="42"/>
      <c r="AI125" s="6"/>
      <c r="AJ125" s="42"/>
      <c r="AK125" s="6"/>
      <c r="AL125" s="42"/>
      <c r="AM125" s="6"/>
      <c r="AN125" s="42"/>
      <c r="AO125" s="6"/>
      <c r="AP125" s="42"/>
      <c r="AQ125" s="6"/>
      <c r="AR125" s="42"/>
      <c r="AS125" s="6"/>
      <c r="AT125" s="42"/>
      <c r="AU125" s="6"/>
      <c r="AV125" s="42"/>
      <c r="AW125" s="6"/>
      <c r="AX125" s="42"/>
      <c r="AY125" s="6"/>
      <c r="AZ125" s="42"/>
      <c r="BA125" s="6"/>
      <c r="BB125" s="42"/>
      <c r="BC125" s="6"/>
      <c r="BD125" s="42"/>
      <c r="BE125" s="6"/>
      <c r="BF125" s="42"/>
      <c r="BG125" s="6"/>
      <c r="BH125" s="42"/>
      <c r="BI125" s="6"/>
      <c r="BJ125" s="42"/>
      <c r="BK125" s="6"/>
      <c r="BL125" s="42"/>
      <c r="BM125" s="6"/>
      <c r="BN125" s="84">
        <f>SUMIF(D$32:BO$32,"Dollar Value",D125:BO125)</f>
        <v>0</v>
      </c>
    </row>
    <row r="126" spans="2:66" ht="14.45" hidden="1" customHeight="1" x14ac:dyDescent="0.25">
      <c r="B126" s="3" t="s">
        <v>86</v>
      </c>
      <c r="C126" s="3"/>
      <c r="D126" s="31"/>
      <c r="E126" s="39"/>
      <c r="F126" s="60" t="s">
        <v>101</v>
      </c>
      <c r="G126" s="39"/>
      <c r="H126" s="59" t="s">
        <v>101</v>
      </c>
      <c r="I126" s="39"/>
      <c r="J126" s="59" t="s">
        <v>101</v>
      </c>
      <c r="K126" s="39"/>
      <c r="L126" s="59" t="s">
        <v>101</v>
      </c>
      <c r="M126" s="39"/>
      <c r="N126" s="59" t="s">
        <v>101</v>
      </c>
      <c r="O126" s="39"/>
      <c r="P126" s="59" t="s">
        <v>101</v>
      </c>
      <c r="Q126" s="39"/>
      <c r="R126" s="59" t="s">
        <v>101</v>
      </c>
      <c r="S126" s="39"/>
      <c r="T126" s="59" t="s">
        <v>101</v>
      </c>
      <c r="U126" s="39"/>
      <c r="V126" s="59" t="s">
        <v>101</v>
      </c>
      <c r="W126" s="39"/>
      <c r="X126" s="46" t="s">
        <v>101</v>
      </c>
      <c r="Y126" s="39"/>
      <c r="Z126" s="46" t="s">
        <v>101</v>
      </c>
      <c r="AA126" s="39"/>
      <c r="AB126" s="46" t="s">
        <v>101</v>
      </c>
      <c r="AC126" s="39"/>
      <c r="AD126" s="46" t="s">
        <v>101</v>
      </c>
      <c r="AE126" s="39"/>
      <c r="AF126" s="46" t="s">
        <v>101</v>
      </c>
      <c r="AG126" s="39"/>
      <c r="AH126" s="59" t="s">
        <v>101</v>
      </c>
      <c r="AI126" s="70"/>
      <c r="AJ126" s="75" t="s">
        <v>101</v>
      </c>
      <c r="AK126" s="70"/>
      <c r="AL126" s="75" t="s">
        <v>101</v>
      </c>
      <c r="AM126" s="70"/>
      <c r="AN126" s="75" t="s">
        <v>101</v>
      </c>
      <c r="AO126" s="70"/>
      <c r="AP126" s="75" t="s">
        <v>101</v>
      </c>
      <c r="AQ126" s="70"/>
      <c r="AR126" s="75" t="s">
        <v>101</v>
      </c>
      <c r="AS126" s="70"/>
      <c r="AT126" s="75" t="s">
        <v>101</v>
      </c>
      <c r="AU126" s="70"/>
      <c r="AV126" s="75" t="s">
        <v>101</v>
      </c>
      <c r="AW126" s="70"/>
      <c r="AX126" s="75" t="s">
        <v>101</v>
      </c>
      <c r="AY126" s="70"/>
      <c r="AZ126" s="75" t="s">
        <v>101</v>
      </c>
      <c r="BA126" s="70"/>
      <c r="BB126" s="75" t="s">
        <v>101</v>
      </c>
      <c r="BC126" s="70"/>
      <c r="BD126" s="75" t="s">
        <v>101</v>
      </c>
      <c r="BE126" s="70"/>
      <c r="BF126" s="75" t="s">
        <v>101</v>
      </c>
      <c r="BG126" s="70"/>
      <c r="BH126" s="75" t="s">
        <v>101</v>
      </c>
      <c r="BI126" s="70"/>
      <c r="BJ126" s="75" t="s">
        <v>101</v>
      </c>
      <c r="BK126" s="70"/>
      <c r="BL126" s="75" t="s">
        <v>101</v>
      </c>
      <c r="BN126" s="43"/>
    </row>
    <row r="127" spans="2:66" ht="14.45" hidden="1" customHeight="1" x14ac:dyDescent="0.25">
      <c r="B127" s="3" t="s">
        <v>13</v>
      </c>
      <c r="C127" s="3"/>
      <c r="D127" s="31"/>
      <c r="E127" s="31"/>
      <c r="F127" s="44">
        <v>0</v>
      </c>
      <c r="G127" s="31"/>
      <c r="H127" s="44">
        <v>0</v>
      </c>
      <c r="I127" s="31"/>
      <c r="J127" s="44">
        <v>0</v>
      </c>
      <c r="K127" s="31"/>
      <c r="L127" s="44">
        <v>0</v>
      </c>
      <c r="M127" s="31"/>
      <c r="N127" s="44">
        <v>0</v>
      </c>
      <c r="O127" s="31"/>
      <c r="P127" s="44">
        <v>0</v>
      </c>
      <c r="Q127" s="31"/>
      <c r="R127" s="44">
        <v>0</v>
      </c>
      <c r="S127" s="31"/>
      <c r="T127" s="44">
        <v>0</v>
      </c>
      <c r="U127" s="31"/>
      <c r="V127" s="44">
        <v>0</v>
      </c>
      <c r="W127" s="31"/>
      <c r="X127" s="44">
        <v>0</v>
      </c>
      <c r="Y127" s="31"/>
      <c r="Z127" s="44">
        <v>0</v>
      </c>
      <c r="AA127" s="31"/>
      <c r="AB127" s="44">
        <v>0</v>
      </c>
      <c r="AC127" s="31"/>
      <c r="AD127" s="44">
        <v>0</v>
      </c>
      <c r="AE127" s="31"/>
      <c r="AF127" s="44">
        <v>0</v>
      </c>
      <c r="AG127" s="31"/>
      <c r="AH127" s="44">
        <v>0</v>
      </c>
      <c r="AJ127" s="44">
        <v>0</v>
      </c>
      <c r="AL127" s="44">
        <v>0</v>
      </c>
      <c r="AN127" s="44">
        <v>0</v>
      </c>
      <c r="AP127" s="44">
        <v>0</v>
      </c>
      <c r="AR127" s="44">
        <v>0</v>
      </c>
      <c r="AT127" s="44">
        <v>0</v>
      </c>
      <c r="AV127" s="44">
        <v>0</v>
      </c>
      <c r="AX127" s="44">
        <v>0</v>
      </c>
      <c r="AZ127" s="44">
        <v>0</v>
      </c>
      <c r="BB127" s="44">
        <v>0</v>
      </c>
      <c r="BD127" s="44">
        <v>0</v>
      </c>
      <c r="BF127" s="44">
        <v>0</v>
      </c>
      <c r="BH127" s="44">
        <v>0</v>
      </c>
      <c r="BJ127" s="44">
        <v>0</v>
      </c>
      <c r="BL127" s="44">
        <v>0</v>
      </c>
      <c r="BN127" s="43"/>
    </row>
    <row r="128" spans="2:66" ht="14.45" hidden="1" customHeight="1" x14ac:dyDescent="0.25">
      <c r="B128" s="3" t="s">
        <v>14</v>
      </c>
      <c r="C128" s="3"/>
      <c r="D128" s="31"/>
      <c r="E128" s="31"/>
      <c r="F128" s="44">
        <v>0</v>
      </c>
      <c r="G128" s="31"/>
      <c r="H128" s="44">
        <v>0</v>
      </c>
      <c r="I128" s="31"/>
      <c r="J128" s="44">
        <v>0</v>
      </c>
      <c r="K128" s="31"/>
      <c r="L128" s="44">
        <v>0</v>
      </c>
      <c r="M128" s="31"/>
      <c r="N128" s="44">
        <v>0</v>
      </c>
      <c r="O128" s="31"/>
      <c r="P128" s="44">
        <v>0</v>
      </c>
      <c r="Q128" s="31"/>
      <c r="R128" s="44">
        <v>0</v>
      </c>
      <c r="S128" s="31"/>
      <c r="T128" s="44">
        <v>0</v>
      </c>
      <c r="U128" s="31"/>
      <c r="V128" s="44">
        <v>0</v>
      </c>
      <c r="W128" s="31"/>
      <c r="X128" s="44">
        <v>0</v>
      </c>
      <c r="Y128" s="31"/>
      <c r="Z128" s="44">
        <v>0</v>
      </c>
      <c r="AA128" s="31"/>
      <c r="AB128" s="44">
        <v>0</v>
      </c>
      <c r="AC128" s="31"/>
      <c r="AD128" s="44">
        <v>0</v>
      </c>
      <c r="AE128" s="31"/>
      <c r="AF128" s="44">
        <v>0</v>
      </c>
      <c r="AG128" s="31"/>
      <c r="AH128" s="44">
        <v>0</v>
      </c>
      <c r="AJ128" s="44">
        <v>0</v>
      </c>
      <c r="AL128" s="44">
        <v>0</v>
      </c>
      <c r="AN128" s="44">
        <v>0</v>
      </c>
      <c r="AP128" s="44">
        <v>0</v>
      </c>
      <c r="AR128" s="44">
        <v>0</v>
      </c>
      <c r="AT128" s="44">
        <v>0</v>
      </c>
      <c r="AV128" s="44">
        <v>0</v>
      </c>
      <c r="AX128" s="44">
        <v>0</v>
      </c>
      <c r="AZ128" s="44">
        <v>0</v>
      </c>
      <c r="BB128" s="44">
        <v>0</v>
      </c>
      <c r="BD128" s="44">
        <v>0</v>
      </c>
      <c r="BF128" s="44">
        <v>0</v>
      </c>
      <c r="BH128" s="44">
        <v>0</v>
      </c>
      <c r="BJ128" s="44">
        <v>0</v>
      </c>
      <c r="BL128" s="44">
        <v>0</v>
      </c>
      <c r="BN128" s="43"/>
    </row>
    <row r="129" spans="2:66" ht="14.45" hidden="1" customHeight="1" x14ac:dyDescent="0.25">
      <c r="B129" s="3" t="s">
        <v>65</v>
      </c>
      <c r="C129" s="3"/>
      <c r="D129" s="31"/>
      <c r="E129" s="31"/>
      <c r="F129" s="44">
        <v>0</v>
      </c>
      <c r="G129" s="31"/>
      <c r="H129" s="44">
        <v>0</v>
      </c>
      <c r="I129" s="31"/>
      <c r="J129" s="44">
        <v>0</v>
      </c>
      <c r="K129" s="31"/>
      <c r="L129" s="44">
        <v>0</v>
      </c>
      <c r="M129" s="31"/>
      <c r="N129" s="44">
        <v>0</v>
      </c>
      <c r="O129" s="31"/>
      <c r="P129" s="44">
        <v>0</v>
      </c>
      <c r="Q129" s="31"/>
      <c r="R129" s="44">
        <v>0</v>
      </c>
      <c r="S129" s="31"/>
      <c r="T129" s="44">
        <v>0</v>
      </c>
      <c r="U129" s="31"/>
      <c r="V129" s="44">
        <v>0</v>
      </c>
      <c r="W129" s="31"/>
      <c r="X129" s="44">
        <v>0</v>
      </c>
      <c r="Y129" s="31"/>
      <c r="Z129" s="44">
        <v>0</v>
      </c>
      <c r="AA129" s="31"/>
      <c r="AB129" s="44">
        <v>0</v>
      </c>
      <c r="AC129" s="31"/>
      <c r="AD129" s="44">
        <v>0</v>
      </c>
      <c r="AE129" s="31"/>
      <c r="AF129" s="44">
        <v>0</v>
      </c>
      <c r="AG129" s="31"/>
      <c r="AH129" s="44">
        <v>0</v>
      </c>
      <c r="AJ129" s="44">
        <v>0</v>
      </c>
      <c r="AL129" s="44">
        <v>0</v>
      </c>
      <c r="AN129" s="44">
        <v>0</v>
      </c>
      <c r="AP129" s="44">
        <v>0</v>
      </c>
      <c r="AR129" s="44">
        <v>0</v>
      </c>
      <c r="AT129" s="44">
        <v>0</v>
      </c>
      <c r="AV129" s="44">
        <v>0</v>
      </c>
      <c r="AX129" s="44">
        <v>0</v>
      </c>
      <c r="AZ129" s="44">
        <v>0</v>
      </c>
      <c r="BB129" s="44">
        <v>0</v>
      </c>
      <c r="BD129" s="44">
        <v>0</v>
      </c>
      <c r="BF129" s="44">
        <v>0</v>
      </c>
      <c r="BH129" s="44">
        <v>0</v>
      </c>
      <c r="BJ129" s="44">
        <v>0</v>
      </c>
      <c r="BL129" s="44">
        <v>0</v>
      </c>
      <c r="BN129" s="43"/>
    </row>
    <row r="130" spans="2:66" ht="14.45" hidden="1" customHeight="1" x14ac:dyDescent="0.25">
      <c r="B130" s="3" t="s">
        <v>67</v>
      </c>
      <c r="C130" s="3"/>
      <c r="D130" s="31"/>
      <c r="E130" s="31"/>
      <c r="F130" s="45">
        <v>0</v>
      </c>
      <c r="G130" s="31"/>
      <c r="H130" s="45">
        <v>0</v>
      </c>
      <c r="I130" s="31"/>
      <c r="J130" s="45">
        <v>0</v>
      </c>
      <c r="K130" s="31"/>
      <c r="L130" s="45">
        <v>0</v>
      </c>
      <c r="M130" s="31"/>
      <c r="N130" s="45">
        <v>0</v>
      </c>
      <c r="O130" s="31"/>
      <c r="P130" s="45">
        <v>0</v>
      </c>
      <c r="Q130" s="31"/>
      <c r="R130" s="45">
        <v>0</v>
      </c>
      <c r="S130" s="31"/>
      <c r="T130" s="45">
        <v>0</v>
      </c>
      <c r="U130" s="31"/>
      <c r="V130" s="45">
        <v>0</v>
      </c>
      <c r="W130" s="31"/>
      <c r="X130" s="45">
        <v>0</v>
      </c>
      <c r="Y130" s="31"/>
      <c r="Z130" s="45">
        <v>0</v>
      </c>
      <c r="AA130" s="31"/>
      <c r="AB130" s="45">
        <v>0</v>
      </c>
      <c r="AC130" s="31"/>
      <c r="AD130" s="45">
        <v>0</v>
      </c>
      <c r="AE130" s="31"/>
      <c r="AF130" s="45">
        <v>0</v>
      </c>
      <c r="AG130" s="31"/>
      <c r="AH130" s="45">
        <v>0</v>
      </c>
      <c r="AJ130" s="45">
        <v>0</v>
      </c>
      <c r="AL130" s="45">
        <v>0</v>
      </c>
      <c r="AN130" s="45">
        <v>0</v>
      </c>
      <c r="AP130" s="45">
        <v>0</v>
      </c>
      <c r="AR130" s="45">
        <v>0</v>
      </c>
      <c r="AT130" s="45">
        <v>0</v>
      </c>
      <c r="AV130" s="45">
        <v>0</v>
      </c>
      <c r="AX130" s="45">
        <v>0</v>
      </c>
      <c r="AZ130" s="45">
        <v>0</v>
      </c>
      <c r="BB130" s="45">
        <v>0</v>
      </c>
      <c r="BD130" s="45">
        <v>0</v>
      </c>
      <c r="BF130" s="45">
        <v>0</v>
      </c>
      <c r="BH130" s="45">
        <v>0</v>
      </c>
      <c r="BJ130" s="45">
        <v>0</v>
      </c>
      <c r="BL130" s="45">
        <v>0</v>
      </c>
      <c r="BN130" s="43"/>
    </row>
    <row r="131" spans="2:66" ht="14.45" hidden="1" customHeight="1" x14ac:dyDescent="0.25">
      <c r="B131" s="3" t="s">
        <v>66</v>
      </c>
      <c r="C131" s="3"/>
      <c r="D131" s="31"/>
      <c r="E131" s="31"/>
      <c r="F131" s="45">
        <v>0</v>
      </c>
      <c r="G131" s="31"/>
      <c r="H131" s="45">
        <v>0</v>
      </c>
      <c r="I131" s="31"/>
      <c r="J131" s="45">
        <v>0</v>
      </c>
      <c r="K131" s="31"/>
      <c r="L131" s="45">
        <v>0</v>
      </c>
      <c r="M131" s="31"/>
      <c r="N131" s="45">
        <v>0</v>
      </c>
      <c r="O131" s="31"/>
      <c r="P131" s="45">
        <v>0</v>
      </c>
      <c r="Q131" s="31"/>
      <c r="R131" s="45">
        <v>0</v>
      </c>
      <c r="S131" s="31"/>
      <c r="T131" s="45">
        <v>0</v>
      </c>
      <c r="U131" s="31"/>
      <c r="V131" s="45">
        <v>0</v>
      </c>
      <c r="W131" s="31"/>
      <c r="X131" s="45">
        <v>0</v>
      </c>
      <c r="Y131" s="31"/>
      <c r="Z131" s="45">
        <v>0</v>
      </c>
      <c r="AA131" s="31"/>
      <c r="AB131" s="45">
        <v>0</v>
      </c>
      <c r="AC131" s="31"/>
      <c r="AD131" s="45">
        <v>0</v>
      </c>
      <c r="AE131" s="31"/>
      <c r="AF131" s="45">
        <v>0</v>
      </c>
      <c r="AG131" s="31"/>
      <c r="AH131" s="45">
        <v>0</v>
      </c>
      <c r="AJ131" s="45">
        <v>0</v>
      </c>
      <c r="AL131" s="45">
        <v>0</v>
      </c>
      <c r="AN131" s="45">
        <v>0</v>
      </c>
      <c r="AP131" s="45">
        <v>0</v>
      </c>
      <c r="AR131" s="45">
        <v>0</v>
      </c>
      <c r="AT131" s="45">
        <v>0</v>
      </c>
      <c r="AV131" s="45">
        <v>0</v>
      </c>
      <c r="AX131" s="45">
        <v>0</v>
      </c>
      <c r="AZ131" s="45">
        <v>0</v>
      </c>
      <c r="BB131" s="45">
        <v>0</v>
      </c>
      <c r="BD131" s="45">
        <v>0</v>
      </c>
      <c r="BF131" s="45">
        <v>0</v>
      </c>
      <c r="BH131" s="45">
        <v>0</v>
      </c>
      <c r="BJ131" s="45">
        <v>0</v>
      </c>
      <c r="BL131" s="45">
        <v>0</v>
      </c>
      <c r="BN131" s="43"/>
    </row>
    <row r="132" spans="2:66" ht="14.45" hidden="1" customHeight="1" x14ac:dyDescent="0.25">
      <c r="B132" s="3" t="s">
        <v>16</v>
      </c>
      <c r="C132" s="3"/>
      <c r="D132" s="31"/>
      <c r="E132" s="31"/>
      <c r="F132" s="45">
        <v>0</v>
      </c>
      <c r="G132" s="31"/>
      <c r="H132" s="45">
        <v>0</v>
      </c>
      <c r="I132" s="31"/>
      <c r="J132" s="45">
        <v>0</v>
      </c>
      <c r="K132" s="31"/>
      <c r="L132" s="45">
        <v>0</v>
      </c>
      <c r="M132" s="31"/>
      <c r="N132" s="45">
        <v>0</v>
      </c>
      <c r="O132" s="31"/>
      <c r="P132" s="45">
        <v>0</v>
      </c>
      <c r="Q132" s="31"/>
      <c r="R132" s="45">
        <v>0</v>
      </c>
      <c r="S132" s="31"/>
      <c r="T132" s="45">
        <v>0</v>
      </c>
      <c r="U132" s="31"/>
      <c r="V132" s="45">
        <v>0</v>
      </c>
      <c r="W132" s="31"/>
      <c r="X132" s="45">
        <v>0</v>
      </c>
      <c r="Y132" s="31"/>
      <c r="Z132" s="45">
        <v>0</v>
      </c>
      <c r="AA132" s="31"/>
      <c r="AB132" s="45">
        <v>0</v>
      </c>
      <c r="AC132" s="31"/>
      <c r="AD132" s="45">
        <v>0</v>
      </c>
      <c r="AE132" s="31"/>
      <c r="AF132" s="45">
        <v>0</v>
      </c>
      <c r="AG132" s="31"/>
      <c r="AH132" s="45">
        <v>0</v>
      </c>
      <c r="AJ132" s="45">
        <v>0</v>
      </c>
      <c r="AL132" s="45">
        <v>0</v>
      </c>
      <c r="AN132" s="45">
        <v>0</v>
      </c>
      <c r="AP132" s="45">
        <v>0</v>
      </c>
      <c r="AR132" s="45">
        <v>0</v>
      </c>
      <c r="AT132" s="45">
        <v>0</v>
      </c>
      <c r="AV132" s="45">
        <v>0</v>
      </c>
      <c r="AX132" s="45">
        <v>0</v>
      </c>
      <c r="AZ132" s="45">
        <v>0</v>
      </c>
      <c r="BB132" s="45">
        <v>0</v>
      </c>
      <c r="BD132" s="45">
        <v>0</v>
      </c>
      <c r="BF132" s="45">
        <v>0</v>
      </c>
      <c r="BH132" s="45">
        <v>0</v>
      </c>
      <c r="BJ132" s="45">
        <v>0</v>
      </c>
      <c r="BL132" s="45">
        <v>0</v>
      </c>
      <c r="BN132" s="43"/>
    </row>
    <row r="133" spans="2:66" ht="14.45" hidden="1" customHeight="1" x14ac:dyDescent="0.25">
      <c r="B133" s="3" t="s">
        <v>17</v>
      </c>
      <c r="C133" s="3"/>
      <c r="D133" s="31"/>
      <c r="E133" s="31"/>
      <c r="F133" s="45">
        <v>0</v>
      </c>
      <c r="G133" s="31"/>
      <c r="H133" s="45">
        <v>0</v>
      </c>
      <c r="I133" s="31"/>
      <c r="J133" s="45">
        <v>0</v>
      </c>
      <c r="K133" s="31"/>
      <c r="L133" s="45">
        <v>0</v>
      </c>
      <c r="M133" s="31"/>
      <c r="N133" s="45">
        <v>0</v>
      </c>
      <c r="O133" s="31"/>
      <c r="P133" s="45">
        <v>0</v>
      </c>
      <c r="Q133" s="31"/>
      <c r="R133" s="45">
        <v>0</v>
      </c>
      <c r="S133" s="31"/>
      <c r="T133" s="45">
        <v>0</v>
      </c>
      <c r="U133" s="31"/>
      <c r="V133" s="45">
        <v>0</v>
      </c>
      <c r="W133" s="31"/>
      <c r="X133" s="45">
        <v>0</v>
      </c>
      <c r="Y133" s="31"/>
      <c r="Z133" s="45">
        <v>0</v>
      </c>
      <c r="AA133" s="31"/>
      <c r="AB133" s="45">
        <v>0</v>
      </c>
      <c r="AC133" s="31"/>
      <c r="AD133" s="45">
        <v>0</v>
      </c>
      <c r="AE133" s="31"/>
      <c r="AF133" s="45">
        <v>0</v>
      </c>
      <c r="AG133" s="31"/>
      <c r="AH133" s="45">
        <v>0</v>
      </c>
      <c r="AJ133" s="45">
        <v>0</v>
      </c>
      <c r="AL133" s="45">
        <v>0</v>
      </c>
      <c r="AN133" s="45">
        <v>0</v>
      </c>
      <c r="AP133" s="45">
        <v>0</v>
      </c>
      <c r="AR133" s="45">
        <v>0</v>
      </c>
      <c r="AT133" s="45">
        <v>0</v>
      </c>
      <c r="AV133" s="45">
        <v>0</v>
      </c>
      <c r="AX133" s="45">
        <v>0</v>
      </c>
      <c r="AZ133" s="45">
        <v>0</v>
      </c>
      <c r="BB133" s="45">
        <v>0</v>
      </c>
      <c r="BD133" s="45">
        <v>0</v>
      </c>
      <c r="BF133" s="45">
        <v>0</v>
      </c>
      <c r="BH133" s="45">
        <v>0</v>
      </c>
      <c r="BJ133" s="45">
        <v>0</v>
      </c>
      <c r="BL133" s="45">
        <v>0</v>
      </c>
      <c r="BN133" s="43"/>
    </row>
    <row r="134" spans="2:66" s="6" customFormat="1" ht="14.45" hidden="1" customHeight="1" x14ac:dyDescent="0.25">
      <c r="B134" s="6" t="s">
        <v>8</v>
      </c>
      <c r="D134" s="38"/>
      <c r="E134" s="38"/>
      <c r="F134" s="42">
        <f>(F127*((F128*F133)+(F128*F131)+(F129*F132+F130)))</f>
        <v>0</v>
      </c>
      <c r="G134" s="38"/>
      <c r="H134" s="42">
        <f>(H127*((H128*H133)+(H128*H131)+(H129*H132+H130)))</f>
        <v>0</v>
      </c>
      <c r="I134" s="38"/>
      <c r="J134" s="42">
        <f>(J127*((J128*J133)+(J128*J131)+(J129*J132+J130)))</f>
        <v>0</v>
      </c>
      <c r="K134" s="38"/>
      <c r="L134" s="42">
        <f>(L127*((L128*L133)+(L128*L131)+(L129*L132+L130)))</f>
        <v>0</v>
      </c>
      <c r="M134" s="38"/>
      <c r="N134" s="42">
        <f>(N127*((N128*N133)+(N128*N131)+(N129*N132+N130)))</f>
        <v>0</v>
      </c>
      <c r="O134" s="38"/>
      <c r="P134" s="42">
        <f>(P127*((P128*P133)+(P128*P131)+(P129*P132+P130)))</f>
        <v>0</v>
      </c>
      <c r="Q134" s="38"/>
      <c r="R134" s="42">
        <f>(R127*((R128*R133)+(R128*R131)+(R129*R132+R130)))</f>
        <v>0</v>
      </c>
      <c r="S134" s="38"/>
      <c r="T134" s="42">
        <f>(T127*((T128*T133)+(T128*T131)+(T129*T132+T130)))</f>
        <v>0</v>
      </c>
      <c r="U134" s="38"/>
      <c r="V134" s="42">
        <f>(V127*((V128*V133)+(V128*V131)+(V129*V132+V130)))</f>
        <v>0</v>
      </c>
      <c r="W134" s="38"/>
      <c r="X134" s="42">
        <f>(X127*((X128*X133)+(X128*X131)+(X129*X132+X130)))</f>
        <v>0</v>
      </c>
      <c r="Y134" s="38"/>
      <c r="Z134" s="42">
        <f>(Z127*((Z128*Z133)+(Z128*Z131)+(Z129*Z132+Z130)))</f>
        <v>0</v>
      </c>
      <c r="AA134" s="38"/>
      <c r="AB134" s="42">
        <f>(AB127*((AB128*AB133)+(AB128*AB131)+(AB129*AB132+AB130)))</f>
        <v>0</v>
      </c>
      <c r="AC134" s="38"/>
      <c r="AD134" s="42">
        <f>(AD127*((AD128*AD133)+(AD128*AD131)+(AD129*AD132+AD130)))</f>
        <v>0</v>
      </c>
      <c r="AE134" s="38"/>
      <c r="AF134" s="42">
        <f>(AF127*((AF128*AF133)+(AF128*AF131)+(AF129*AF132+AF130)))</f>
        <v>0</v>
      </c>
      <c r="AG134" s="38"/>
      <c r="AH134" s="42">
        <f>(AH127*((AH128*AH133)+(AH128*AH131)+(AH129*AH132+AH130)))</f>
        <v>0</v>
      </c>
      <c r="AJ134" s="42">
        <f t="shared" ref="AJ134" si="167">(AJ127*((AJ128*AJ133)+(AJ128*AJ131)+(AJ129*AJ132+AJ130)))</f>
        <v>0</v>
      </c>
      <c r="AL134" s="42">
        <f t="shared" ref="AL134" si="168">(AL127*((AL128*AL133)+(AL128*AL131)+(AL129*AL132+AL130)))</f>
        <v>0</v>
      </c>
      <c r="AN134" s="42">
        <f t="shared" ref="AN134" si="169">(AN127*((AN128*AN133)+(AN128*AN131)+(AN129*AN132+AN130)))</f>
        <v>0</v>
      </c>
      <c r="AP134" s="42">
        <f t="shared" ref="AP134" si="170">(AP127*((AP128*AP133)+(AP128*AP131)+(AP129*AP132+AP130)))</f>
        <v>0</v>
      </c>
      <c r="AR134" s="42">
        <f t="shared" ref="AR134" si="171">(AR127*((AR128*AR133)+(AR128*AR131)+(AR129*AR132+AR130)))</f>
        <v>0</v>
      </c>
      <c r="AT134" s="42">
        <f t="shared" ref="AT134" si="172">(AT127*((AT128*AT133)+(AT128*AT131)+(AT129*AT132+AT130)))</f>
        <v>0</v>
      </c>
      <c r="AV134" s="42">
        <f t="shared" ref="AV134" si="173">(AV127*((AV128*AV133)+(AV128*AV131)+(AV129*AV132+AV130)))</f>
        <v>0</v>
      </c>
      <c r="AX134" s="42">
        <f t="shared" ref="AX134" si="174">(AX127*((AX128*AX133)+(AX128*AX131)+(AX129*AX132+AX130)))</f>
        <v>0</v>
      </c>
      <c r="AZ134" s="42">
        <f t="shared" ref="AZ134" si="175">(AZ127*((AZ128*AZ133)+(AZ128*AZ131)+(AZ129*AZ132+AZ130)))</f>
        <v>0</v>
      </c>
      <c r="BB134" s="42">
        <f t="shared" ref="BB134" si="176">(BB127*((BB128*BB133)+(BB128*BB131)+(BB129*BB132+BB130)))</f>
        <v>0</v>
      </c>
      <c r="BD134" s="42">
        <f t="shared" ref="BD134" si="177">(BD127*((BD128*BD133)+(BD128*BD131)+(BD129*BD132+BD130)))</f>
        <v>0</v>
      </c>
      <c r="BF134" s="42">
        <f t="shared" ref="BF134" si="178">(BF127*((BF128*BF133)+(BF128*BF131)+(BF129*BF132+BF130)))</f>
        <v>0</v>
      </c>
      <c r="BH134" s="42">
        <f t="shared" ref="BH134" si="179">(BH127*((BH128*BH133)+(BH128*BH131)+(BH129*BH132+BH130)))</f>
        <v>0</v>
      </c>
      <c r="BJ134" s="42">
        <f t="shared" ref="BJ134" si="180">(BJ127*((BJ128*BJ133)+(BJ128*BJ131)+(BJ129*BJ132+BJ130)))</f>
        <v>0</v>
      </c>
      <c r="BL134" s="42">
        <f t="shared" ref="BL134" si="181">(BL127*((BL128*BL133)+(BL128*BL131)+(BL129*BL132+BL130)))</f>
        <v>0</v>
      </c>
      <c r="BN134" s="84">
        <f>SUMIF(D$32:BO$32,"Dollar Value",D134:BO134)</f>
        <v>0</v>
      </c>
    </row>
    <row r="135" spans="2:66" ht="14.45" hidden="1" customHeight="1" x14ac:dyDescent="0.25">
      <c r="D135" s="31"/>
      <c r="E135" s="31"/>
      <c r="F135" s="42"/>
      <c r="G135" s="38"/>
      <c r="H135" s="42"/>
      <c r="I135" s="38"/>
      <c r="J135" s="42"/>
      <c r="K135" s="38"/>
      <c r="L135" s="42"/>
      <c r="M135" s="38"/>
      <c r="N135" s="42"/>
      <c r="O135" s="38"/>
      <c r="P135" s="42"/>
      <c r="Q135" s="38"/>
      <c r="R135" s="42"/>
      <c r="S135" s="38"/>
      <c r="T135" s="42"/>
      <c r="U135" s="38"/>
      <c r="V135" s="42"/>
      <c r="W135" s="38"/>
      <c r="X135" s="42"/>
      <c r="Y135" s="38"/>
      <c r="Z135" s="42"/>
      <c r="AA135" s="38"/>
      <c r="AB135" s="42"/>
      <c r="AC135" s="38"/>
      <c r="AD135" s="42"/>
      <c r="AE135" s="38"/>
      <c r="AF135" s="42"/>
      <c r="AG135" s="38"/>
      <c r="AH135" s="42"/>
      <c r="AI135" s="6"/>
      <c r="AJ135" s="42"/>
      <c r="AK135" s="6"/>
      <c r="AL135" s="42"/>
      <c r="AM135" s="6"/>
      <c r="AN135" s="42"/>
      <c r="AO135" s="6"/>
      <c r="AP135" s="42"/>
      <c r="AQ135" s="6"/>
      <c r="AR135" s="42"/>
      <c r="AS135" s="6"/>
      <c r="AT135" s="42"/>
      <c r="AU135" s="6"/>
      <c r="AV135" s="42"/>
      <c r="AW135" s="6"/>
      <c r="AX135" s="42"/>
      <c r="AY135" s="6"/>
      <c r="AZ135" s="42"/>
      <c r="BA135" s="6"/>
      <c r="BB135" s="42"/>
      <c r="BC135" s="6"/>
      <c r="BD135" s="42"/>
      <c r="BE135" s="6"/>
      <c r="BF135" s="42"/>
      <c r="BG135" s="6"/>
      <c r="BH135" s="42"/>
      <c r="BI135" s="6"/>
      <c r="BJ135" s="42"/>
      <c r="BK135" s="6"/>
      <c r="BL135" s="42"/>
      <c r="BM135" s="6"/>
      <c r="BN135" s="84">
        <f>SUMIF(D$32:BO$32,"Dollar Value",D135:BO135)</f>
        <v>0</v>
      </c>
    </row>
    <row r="136" spans="2:66" ht="14.45" hidden="1" customHeight="1" x14ac:dyDescent="0.25">
      <c r="B136" s="3" t="s">
        <v>87</v>
      </c>
      <c r="C136" s="3"/>
      <c r="D136" s="31"/>
      <c r="E136" s="39"/>
      <c r="F136" s="60" t="s">
        <v>101</v>
      </c>
      <c r="G136" s="39"/>
      <c r="H136" s="59" t="s">
        <v>101</v>
      </c>
      <c r="I136" s="39"/>
      <c r="J136" s="59" t="s">
        <v>101</v>
      </c>
      <c r="K136" s="39"/>
      <c r="L136" s="59" t="s">
        <v>101</v>
      </c>
      <c r="M136" s="39"/>
      <c r="N136" s="59" t="s">
        <v>101</v>
      </c>
      <c r="O136" s="39"/>
      <c r="P136" s="59" t="s">
        <v>101</v>
      </c>
      <c r="Q136" s="39"/>
      <c r="R136" s="59" t="s">
        <v>101</v>
      </c>
      <c r="S136" s="39"/>
      <c r="T136" s="59" t="s">
        <v>101</v>
      </c>
      <c r="U136" s="39"/>
      <c r="V136" s="59" t="s">
        <v>101</v>
      </c>
      <c r="W136" s="39"/>
      <c r="X136" s="46" t="s">
        <v>101</v>
      </c>
      <c r="Y136" s="39"/>
      <c r="Z136" s="46" t="s">
        <v>101</v>
      </c>
      <c r="AA136" s="39"/>
      <c r="AB136" s="46" t="s">
        <v>101</v>
      </c>
      <c r="AC136" s="39"/>
      <c r="AD136" s="46" t="s">
        <v>101</v>
      </c>
      <c r="AE136" s="39"/>
      <c r="AF136" s="46" t="s">
        <v>101</v>
      </c>
      <c r="AG136" s="39"/>
      <c r="AH136" s="59" t="s">
        <v>101</v>
      </c>
      <c r="AI136" s="70"/>
      <c r="AJ136" s="75" t="s">
        <v>101</v>
      </c>
      <c r="AK136" s="70"/>
      <c r="AL136" s="75" t="s">
        <v>101</v>
      </c>
      <c r="AM136" s="70"/>
      <c r="AN136" s="75" t="s">
        <v>101</v>
      </c>
      <c r="AO136" s="70"/>
      <c r="AP136" s="75" t="s">
        <v>101</v>
      </c>
      <c r="AQ136" s="70"/>
      <c r="AR136" s="75" t="s">
        <v>101</v>
      </c>
      <c r="AS136" s="70"/>
      <c r="AT136" s="75" t="s">
        <v>101</v>
      </c>
      <c r="AU136" s="70"/>
      <c r="AV136" s="75" t="s">
        <v>101</v>
      </c>
      <c r="AW136" s="70"/>
      <c r="AX136" s="75" t="s">
        <v>101</v>
      </c>
      <c r="AY136" s="70"/>
      <c r="AZ136" s="75" t="s">
        <v>101</v>
      </c>
      <c r="BA136" s="70"/>
      <c r="BB136" s="75" t="s">
        <v>101</v>
      </c>
      <c r="BC136" s="70"/>
      <c r="BD136" s="75" t="s">
        <v>101</v>
      </c>
      <c r="BE136" s="70"/>
      <c r="BF136" s="75" t="s">
        <v>101</v>
      </c>
      <c r="BG136" s="70"/>
      <c r="BH136" s="75" t="s">
        <v>101</v>
      </c>
      <c r="BI136" s="70"/>
      <c r="BJ136" s="75" t="s">
        <v>101</v>
      </c>
      <c r="BK136" s="70"/>
      <c r="BL136" s="75" t="s">
        <v>101</v>
      </c>
      <c r="BN136" s="43"/>
    </row>
    <row r="137" spans="2:66" ht="14.45" hidden="1" customHeight="1" x14ac:dyDescent="0.25">
      <c r="B137" s="3" t="s">
        <v>13</v>
      </c>
      <c r="C137" s="3"/>
      <c r="D137" s="31"/>
      <c r="E137" s="31"/>
      <c r="F137" s="44">
        <v>0</v>
      </c>
      <c r="G137" s="31"/>
      <c r="H137" s="44">
        <v>0</v>
      </c>
      <c r="I137" s="31"/>
      <c r="J137" s="44">
        <v>0</v>
      </c>
      <c r="K137" s="31"/>
      <c r="L137" s="44">
        <v>0</v>
      </c>
      <c r="M137" s="31"/>
      <c r="N137" s="44">
        <v>0</v>
      </c>
      <c r="O137" s="31"/>
      <c r="P137" s="44">
        <v>0</v>
      </c>
      <c r="Q137" s="31"/>
      <c r="R137" s="44">
        <v>0</v>
      </c>
      <c r="S137" s="31"/>
      <c r="T137" s="44">
        <v>0</v>
      </c>
      <c r="U137" s="31"/>
      <c r="V137" s="44">
        <v>0</v>
      </c>
      <c r="W137" s="31"/>
      <c r="X137" s="44">
        <v>0</v>
      </c>
      <c r="Y137" s="31"/>
      <c r="Z137" s="44">
        <v>0</v>
      </c>
      <c r="AA137" s="31"/>
      <c r="AB137" s="44">
        <v>0</v>
      </c>
      <c r="AC137" s="31"/>
      <c r="AD137" s="44">
        <v>0</v>
      </c>
      <c r="AE137" s="31"/>
      <c r="AF137" s="44">
        <v>0</v>
      </c>
      <c r="AG137" s="31"/>
      <c r="AH137" s="44">
        <v>0</v>
      </c>
      <c r="AJ137" s="44">
        <v>0</v>
      </c>
      <c r="AL137" s="44">
        <v>0</v>
      </c>
      <c r="AN137" s="44">
        <v>0</v>
      </c>
      <c r="AP137" s="44">
        <v>0</v>
      </c>
      <c r="AR137" s="44">
        <v>0</v>
      </c>
      <c r="AT137" s="44">
        <v>0</v>
      </c>
      <c r="AV137" s="44">
        <v>0</v>
      </c>
      <c r="AX137" s="44">
        <v>0</v>
      </c>
      <c r="AZ137" s="44">
        <v>0</v>
      </c>
      <c r="BB137" s="44">
        <v>0</v>
      </c>
      <c r="BD137" s="44">
        <v>0</v>
      </c>
      <c r="BF137" s="44">
        <v>0</v>
      </c>
      <c r="BH137" s="44">
        <v>0</v>
      </c>
      <c r="BJ137" s="44">
        <v>0</v>
      </c>
      <c r="BL137" s="44">
        <v>0</v>
      </c>
      <c r="BN137" s="43"/>
    </row>
    <row r="138" spans="2:66" ht="14.45" hidden="1" customHeight="1" x14ac:dyDescent="0.25">
      <c r="B138" s="3" t="s">
        <v>14</v>
      </c>
      <c r="C138" s="3"/>
      <c r="D138" s="31"/>
      <c r="E138" s="31"/>
      <c r="F138" s="44">
        <v>0</v>
      </c>
      <c r="G138" s="31"/>
      <c r="H138" s="44">
        <v>0</v>
      </c>
      <c r="I138" s="31"/>
      <c r="J138" s="44">
        <v>0</v>
      </c>
      <c r="K138" s="31"/>
      <c r="L138" s="44">
        <v>0</v>
      </c>
      <c r="M138" s="31"/>
      <c r="N138" s="44">
        <v>0</v>
      </c>
      <c r="O138" s="31"/>
      <c r="P138" s="44">
        <v>0</v>
      </c>
      <c r="Q138" s="31"/>
      <c r="R138" s="44">
        <v>0</v>
      </c>
      <c r="S138" s="31"/>
      <c r="T138" s="44">
        <v>0</v>
      </c>
      <c r="U138" s="31"/>
      <c r="V138" s="44">
        <v>0</v>
      </c>
      <c r="W138" s="31"/>
      <c r="X138" s="44">
        <v>0</v>
      </c>
      <c r="Y138" s="31"/>
      <c r="Z138" s="44">
        <v>0</v>
      </c>
      <c r="AA138" s="31"/>
      <c r="AB138" s="44">
        <v>0</v>
      </c>
      <c r="AC138" s="31"/>
      <c r="AD138" s="44">
        <v>0</v>
      </c>
      <c r="AE138" s="31"/>
      <c r="AF138" s="44">
        <v>0</v>
      </c>
      <c r="AG138" s="31"/>
      <c r="AH138" s="44">
        <v>0</v>
      </c>
      <c r="AJ138" s="44">
        <v>0</v>
      </c>
      <c r="AL138" s="44">
        <v>0</v>
      </c>
      <c r="AN138" s="44">
        <v>0</v>
      </c>
      <c r="AP138" s="44">
        <v>0</v>
      </c>
      <c r="AR138" s="44">
        <v>0</v>
      </c>
      <c r="AT138" s="44">
        <v>0</v>
      </c>
      <c r="AV138" s="44">
        <v>0</v>
      </c>
      <c r="AX138" s="44">
        <v>0</v>
      </c>
      <c r="AZ138" s="44">
        <v>0</v>
      </c>
      <c r="BB138" s="44">
        <v>0</v>
      </c>
      <c r="BD138" s="44">
        <v>0</v>
      </c>
      <c r="BF138" s="44">
        <v>0</v>
      </c>
      <c r="BH138" s="44">
        <v>0</v>
      </c>
      <c r="BJ138" s="44">
        <v>0</v>
      </c>
      <c r="BL138" s="44">
        <v>0</v>
      </c>
      <c r="BN138" s="43"/>
    </row>
    <row r="139" spans="2:66" ht="14.45" hidden="1" customHeight="1" x14ac:dyDescent="0.25">
      <c r="B139" s="3" t="s">
        <v>65</v>
      </c>
      <c r="C139" s="3"/>
      <c r="D139" s="31"/>
      <c r="E139" s="31"/>
      <c r="F139" s="44">
        <v>0</v>
      </c>
      <c r="G139" s="31"/>
      <c r="H139" s="44">
        <v>0</v>
      </c>
      <c r="I139" s="31"/>
      <c r="J139" s="44">
        <v>0</v>
      </c>
      <c r="K139" s="31"/>
      <c r="L139" s="44">
        <v>0</v>
      </c>
      <c r="M139" s="31"/>
      <c r="N139" s="44">
        <v>0</v>
      </c>
      <c r="O139" s="31"/>
      <c r="P139" s="44">
        <v>0</v>
      </c>
      <c r="Q139" s="31"/>
      <c r="R139" s="44">
        <v>0</v>
      </c>
      <c r="S139" s="31"/>
      <c r="T139" s="44">
        <v>0</v>
      </c>
      <c r="U139" s="31"/>
      <c r="V139" s="44">
        <v>0</v>
      </c>
      <c r="W139" s="31"/>
      <c r="X139" s="44">
        <v>0</v>
      </c>
      <c r="Y139" s="31"/>
      <c r="Z139" s="44">
        <v>0</v>
      </c>
      <c r="AA139" s="31"/>
      <c r="AB139" s="44">
        <v>0</v>
      </c>
      <c r="AC139" s="31"/>
      <c r="AD139" s="44">
        <v>0</v>
      </c>
      <c r="AE139" s="31"/>
      <c r="AF139" s="44">
        <v>0</v>
      </c>
      <c r="AG139" s="31"/>
      <c r="AH139" s="44">
        <v>0</v>
      </c>
      <c r="AJ139" s="44">
        <v>0</v>
      </c>
      <c r="AL139" s="44">
        <v>0</v>
      </c>
      <c r="AN139" s="44">
        <v>0</v>
      </c>
      <c r="AP139" s="44">
        <v>0</v>
      </c>
      <c r="AR139" s="44">
        <v>0</v>
      </c>
      <c r="AT139" s="44">
        <v>0</v>
      </c>
      <c r="AV139" s="44">
        <v>0</v>
      </c>
      <c r="AX139" s="44">
        <v>0</v>
      </c>
      <c r="AZ139" s="44">
        <v>0</v>
      </c>
      <c r="BB139" s="44">
        <v>0</v>
      </c>
      <c r="BD139" s="44">
        <v>0</v>
      </c>
      <c r="BF139" s="44">
        <v>0</v>
      </c>
      <c r="BH139" s="44">
        <v>0</v>
      </c>
      <c r="BJ139" s="44">
        <v>0</v>
      </c>
      <c r="BL139" s="44">
        <v>0</v>
      </c>
      <c r="BN139" s="43"/>
    </row>
    <row r="140" spans="2:66" ht="14.45" hidden="1" customHeight="1" x14ac:dyDescent="0.25">
      <c r="B140" s="3" t="s">
        <v>67</v>
      </c>
      <c r="C140" s="3"/>
      <c r="D140" s="31"/>
      <c r="E140" s="31"/>
      <c r="F140" s="45">
        <v>0</v>
      </c>
      <c r="G140" s="31"/>
      <c r="H140" s="45">
        <v>0</v>
      </c>
      <c r="I140" s="31"/>
      <c r="J140" s="45">
        <v>0</v>
      </c>
      <c r="K140" s="31"/>
      <c r="L140" s="45">
        <v>0</v>
      </c>
      <c r="M140" s="31"/>
      <c r="N140" s="45">
        <v>0</v>
      </c>
      <c r="O140" s="31"/>
      <c r="P140" s="45">
        <v>0</v>
      </c>
      <c r="Q140" s="31"/>
      <c r="R140" s="45">
        <v>0</v>
      </c>
      <c r="S140" s="31"/>
      <c r="T140" s="45">
        <v>0</v>
      </c>
      <c r="U140" s="31"/>
      <c r="V140" s="45">
        <v>0</v>
      </c>
      <c r="W140" s="31"/>
      <c r="X140" s="45">
        <v>0</v>
      </c>
      <c r="Y140" s="31"/>
      <c r="Z140" s="45">
        <v>0</v>
      </c>
      <c r="AA140" s="31"/>
      <c r="AB140" s="45">
        <v>0</v>
      </c>
      <c r="AC140" s="31"/>
      <c r="AD140" s="45">
        <v>0</v>
      </c>
      <c r="AE140" s="31"/>
      <c r="AF140" s="45">
        <v>0</v>
      </c>
      <c r="AG140" s="31"/>
      <c r="AH140" s="45">
        <v>0</v>
      </c>
      <c r="AJ140" s="45">
        <v>0</v>
      </c>
      <c r="AL140" s="45">
        <v>0</v>
      </c>
      <c r="AN140" s="45">
        <v>0</v>
      </c>
      <c r="AP140" s="45">
        <v>0</v>
      </c>
      <c r="AR140" s="45">
        <v>0</v>
      </c>
      <c r="AT140" s="45">
        <v>0</v>
      </c>
      <c r="AV140" s="45">
        <v>0</v>
      </c>
      <c r="AX140" s="45">
        <v>0</v>
      </c>
      <c r="AZ140" s="45">
        <v>0</v>
      </c>
      <c r="BB140" s="45">
        <v>0</v>
      </c>
      <c r="BD140" s="45">
        <v>0</v>
      </c>
      <c r="BF140" s="45">
        <v>0</v>
      </c>
      <c r="BH140" s="45">
        <v>0</v>
      </c>
      <c r="BJ140" s="45">
        <v>0</v>
      </c>
      <c r="BL140" s="45">
        <v>0</v>
      </c>
      <c r="BN140" s="43"/>
    </row>
    <row r="141" spans="2:66" ht="14.45" hidden="1" customHeight="1" x14ac:dyDescent="0.25">
      <c r="B141" s="3" t="s">
        <v>66</v>
      </c>
      <c r="C141" s="3"/>
      <c r="D141" s="31"/>
      <c r="E141" s="31"/>
      <c r="F141" s="45">
        <v>0</v>
      </c>
      <c r="G141" s="31"/>
      <c r="H141" s="45">
        <v>0</v>
      </c>
      <c r="I141" s="31"/>
      <c r="J141" s="45">
        <v>0</v>
      </c>
      <c r="K141" s="31"/>
      <c r="L141" s="45">
        <v>0</v>
      </c>
      <c r="M141" s="31"/>
      <c r="N141" s="45">
        <v>0</v>
      </c>
      <c r="O141" s="31"/>
      <c r="P141" s="45">
        <v>0</v>
      </c>
      <c r="Q141" s="31"/>
      <c r="R141" s="45">
        <v>0</v>
      </c>
      <c r="S141" s="31"/>
      <c r="T141" s="45">
        <v>0</v>
      </c>
      <c r="U141" s="31"/>
      <c r="V141" s="45">
        <v>0</v>
      </c>
      <c r="W141" s="31"/>
      <c r="X141" s="45">
        <v>0</v>
      </c>
      <c r="Y141" s="31"/>
      <c r="Z141" s="45">
        <v>0</v>
      </c>
      <c r="AA141" s="31"/>
      <c r="AB141" s="45">
        <v>0</v>
      </c>
      <c r="AC141" s="31"/>
      <c r="AD141" s="45">
        <v>0</v>
      </c>
      <c r="AE141" s="31"/>
      <c r="AF141" s="45">
        <v>0</v>
      </c>
      <c r="AG141" s="31"/>
      <c r="AH141" s="45">
        <v>0</v>
      </c>
      <c r="AJ141" s="45">
        <v>0</v>
      </c>
      <c r="AL141" s="45">
        <v>0</v>
      </c>
      <c r="AN141" s="45">
        <v>0</v>
      </c>
      <c r="AP141" s="45">
        <v>0</v>
      </c>
      <c r="AR141" s="45">
        <v>0</v>
      </c>
      <c r="AT141" s="45">
        <v>0</v>
      </c>
      <c r="AV141" s="45">
        <v>0</v>
      </c>
      <c r="AX141" s="45">
        <v>0</v>
      </c>
      <c r="AZ141" s="45">
        <v>0</v>
      </c>
      <c r="BB141" s="45">
        <v>0</v>
      </c>
      <c r="BD141" s="45">
        <v>0</v>
      </c>
      <c r="BF141" s="45">
        <v>0</v>
      </c>
      <c r="BH141" s="45">
        <v>0</v>
      </c>
      <c r="BJ141" s="45">
        <v>0</v>
      </c>
      <c r="BL141" s="45">
        <v>0</v>
      </c>
      <c r="BN141" s="43"/>
    </row>
    <row r="142" spans="2:66" ht="14.45" hidden="1" customHeight="1" x14ac:dyDescent="0.25">
      <c r="B142" s="3" t="s">
        <v>16</v>
      </c>
      <c r="C142" s="3"/>
      <c r="D142" s="31"/>
      <c r="E142" s="31"/>
      <c r="F142" s="45">
        <v>0</v>
      </c>
      <c r="G142" s="31"/>
      <c r="H142" s="45">
        <v>0</v>
      </c>
      <c r="I142" s="31"/>
      <c r="J142" s="45">
        <v>0</v>
      </c>
      <c r="K142" s="31"/>
      <c r="L142" s="45">
        <v>0</v>
      </c>
      <c r="M142" s="31"/>
      <c r="N142" s="45">
        <v>0</v>
      </c>
      <c r="O142" s="31"/>
      <c r="P142" s="45">
        <v>0</v>
      </c>
      <c r="Q142" s="31"/>
      <c r="R142" s="45">
        <v>0</v>
      </c>
      <c r="S142" s="31"/>
      <c r="T142" s="45">
        <v>0</v>
      </c>
      <c r="U142" s="31"/>
      <c r="V142" s="45">
        <v>0</v>
      </c>
      <c r="W142" s="31"/>
      <c r="X142" s="45">
        <v>0</v>
      </c>
      <c r="Y142" s="31"/>
      <c r="Z142" s="45">
        <v>0</v>
      </c>
      <c r="AA142" s="31"/>
      <c r="AB142" s="45">
        <v>0</v>
      </c>
      <c r="AC142" s="31"/>
      <c r="AD142" s="45">
        <v>0</v>
      </c>
      <c r="AE142" s="31"/>
      <c r="AF142" s="45">
        <v>0</v>
      </c>
      <c r="AG142" s="31"/>
      <c r="AH142" s="45">
        <v>0</v>
      </c>
      <c r="AJ142" s="45">
        <v>0</v>
      </c>
      <c r="AL142" s="45">
        <v>0</v>
      </c>
      <c r="AN142" s="45">
        <v>0</v>
      </c>
      <c r="AP142" s="45">
        <v>0</v>
      </c>
      <c r="AR142" s="45">
        <v>0</v>
      </c>
      <c r="AT142" s="45">
        <v>0</v>
      </c>
      <c r="AV142" s="45">
        <v>0</v>
      </c>
      <c r="AX142" s="45">
        <v>0</v>
      </c>
      <c r="AZ142" s="45">
        <v>0</v>
      </c>
      <c r="BB142" s="45">
        <v>0</v>
      </c>
      <c r="BD142" s="45">
        <v>0</v>
      </c>
      <c r="BF142" s="45">
        <v>0</v>
      </c>
      <c r="BH142" s="45">
        <v>0</v>
      </c>
      <c r="BJ142" s="45">
        <v>0</v>
      </c>
      <c r="BL142" s="45">
        <v>0</v>
      </c>
      <c r="BN142" s="43"/>
    </row>
    <row r="143" spans="2:66" ht="14.45" hidden="1" customHeight="1" x14ac:dyDescent="0.25">
      <c r="B143" s="3" t="s">
        <v>17</v>
      </c>
      <c r="C143" s="3"/>
      <c r="D143" s="31"/>
      <c r="E143" s="31"/>
      <c r="F143" s="45">
        <v>0</v>
      </c>
      <c r="G143" s="31"/>
      <c r="H143" s="45">
        <v>0</v>
      </c>
      <c r="I143" s="31"/>
      <c r="J143" s="45">
        <v>0</v>
      </c>
      <c r="K143" s="31"/>
      <c r="L143" s="45">
        <v>0</v>
      </c>
      <c r="M143" s="31"/>
      <c r="N143" s="45">
        <v>0</v>
      </c>
      <c r="O143" s="31"/>
      <c r="P143" s="45">
        <v>0</v>
      </c>
      <c r="Q143" s="31"/>
      <c r="R143" s="45">
        <v>0</v>
      </c>
      <c r="S143" s="31"/>
      <c r="T143" s="45">
        <v>0</v>
      </c>
      <c r="U143" s="31"/>
      <c r="V143" s="45">
        <v>0</v>
      </c>
      <c r="W143" s="31"/>
      <c r="X143" s="45">
        <v>0</v>
      </c>
      <c r="Y143" s="31"/>
      <c r="Z143" s="45">
        <v>0</v>
      </c>
      <c r="AA143" s="31"/>
      <c r="AB143" s="45">
        <v>0</v>
      </c>
      <c r="AC143" s="31"/>
      <c r="AD143" s="45">
        <v>0</v>
      </c>
      <c r="AE143" s="31"/>
      <c r="AF143" s="45">
        <v>0</v>
      </c>
      <c r="AG143" s="31"/>
      <c r="AH143" s="45">
        <v>0</v>
      </c>
      <c r="AJ143" s="45">
        <v>0</v>
      </c>
      <c r="AL143" s="45">
        <v>0</v>
      </c>
      <c r="AN143" s="45">
        <v>0</v>
      </c>
      <c r="AP143" s="45">
        <v>0</v>
      </c>
      <c r="AR143" s="45">
        <v>0</v>
      </c>
      <c r="AT143" s="45">
        <v>0</v>
      </c>
      <c r="AV143" s="45">
        <v>0</v>
      </c>
      <c r="AX143" s="45">
        <v>0</v>
      </c>
      <c r="AZ143" s="45">
        <v>0</v>
      </c>
      <c r="BB143" s="45">
        <v>0</v>
      </c>
      <c r="BD143" s="45">
        <v>0</v>
      </c>
      <c r="BF143" s="45">
        <v>0</v>
      </c>
      <c r="BH143" s="45">
        <v>0</v>
      </c>
      <c r="BJ143" s="45">
        <v>0</v>
      </c>
      <c r="BL143" s="45">
        <v>0</v>
      </c>
      <c r="BN143" s="43"/>
    </row>
    <row r="144" spans="2:66" s="6" customFormat="1" ht="14.45" hidden="1" customHeight="1" x14ac:dyDescent="0.25">
      <c r="B144" s="6" t="s">
        <v>8</v>
      </c>
      <c r="D144" s="38"/>
      <c r="F144" s="42">
        <f>(F137*((F138*F143)+(F138*F141)+(F139*F142+F140)))</f>
        <v>0</v>
      </c>
      <c r="G144" s="74"/>
      <c r="H144" s="42">
        <f>(H137*((H138*H143)+(H138*H141)+(H139*H142+H140)))</f>
        <v>0</v>
      </c>
      <c r="I144" s="74"/>
      <c r="J144" s="42">
        <f>(J137*((J138*J143)+(J138*J141)+(J139*J142+J140)))</f>
        <v>0</v>
      </c>
      <c r="K144" s="40"/>
      <c r="L144" s="42">
        <f>(L137*((L138*L143)+(L138*L141)+(L139*L142+L140)))</f>
        <v>0</v>
      </c>
      <c r="M144" s="74"/>
      <c r="N144" s="42">
        <f>(N137*((N138*N143)+(N138*N141)+(N139*N142+N140)))</f>
        <v>0</v>
      </c>
      <c r="O144" s="40"/>
      <c r="P144" s="42">
        <f>(P137*((P138*P143)+(P138*P141)+(P139*P142+P140)))</f>
        <v>0</v>
      </c>
      <c r="Q144" s="40"/>
      <c r="R144" s="42">
        <f>(R137*((R138*R143)+(R138*R141)+(R139*R142+R140)))</f>
        <v>0</v>
      </c>
      <c r="S144" s="40"/>
      <c r="T144" s="42">
        <f>(T137*((T138*T143)+(T138*T141)+(T139*T142+T140)))</f>
        <v>0</v>
      </c>
      <c r="U144" s="40"/>
      <c r="V144" s="42">
        <f>(V137*((V138*V143)+(V138*V141)+(V139*V142+V140)))</f>
        <v>0</v>
      </c>
      <c r="W144" s="40"/>
      <c r="X144" s="42">
        <f>(X137*((X138*X143)+(X138*X141)+(X139*X142+X140)))</f>
        <v>0</v>
      </c>
      <c r="Y144" s="40"/>
      <c r="Z144" s="42">
        <f>(Z137*((Z138*Z143)+(Z138*Z141)+(Z139*Z142+Z140)))</f>
        <v>0</v>
      </c>
      <c r="AA144" s="40"/>
      <c r="AB144" s="42">
        <f>(AB137*((AB138*AB143)+(AB138*AB141)+(AB139*AB142+AB140)))</f>
        <v>0</v>
      </c>
      <c r="AC144" s="40"/>
      <c r="AD144" s="42">
        <f>(AD137*((AD138*AD143)+(AD138*AD141)+(AD139*AD142+AD140)))</f>
        <v>0</v>
      </c>
      <c r="AE144" s="74"/>
      <c r="AF144" s="42">
        <f>(AF137*((AF138*AF143)+(AF138*AF141)+(AF139*AF142+AF140)))</f>
        <v>0</v>
      </c>
      <c r="AG144" s="40"/>
      <c r="AH144" s="42">
        <f>(AH137*((AH138*AH143)+(AH138*AH141)+(AH139*AH142+AH140)))</f>
        <v>0</v>
      </c>
      <c r="AJ144" s="42">
        <f t="shared" ref="AJ144" si="182">(AJ137*((AJ138*AJ143)+(AJ138*AJ141)+(AJ139*AJ142+AJ140)))</f>
        <v>0</v>
      </c>
      <c r="AL144" s="42">
        <f t="shared" ref="AL144" si="183">(AL137*((AL138*AL143)+(AL138*AL141)+(AL139*AL142+AL140)))</f>
        <v>0</v>
      </c>
      <c r="AN144" s="42">
        <f t="shared" ref="AN144" si="184">(AN137*((AN138*AN143)+(AN138*AN141)+(AN139*AN142+AN140)))</f>
        <v>0</v>
      </c>
      <c r="AP144" s="42">
        <f t="shared" ref="AP144" si="185">(AP137*((AP138*AP143)+(AP138*AP141)+(AP139*AP142+AP140)))</f>
        <v>0</v>
      </c>
      <c r="AR144" s="42">
        <f t="shared" ref="AR144" si="186">(AR137*((AR138*AR143)+(AR138*AR141)+(AR139*AR142+AR140)))</f>
        <v>0</v>
      </c>
      <c r="AT144" s="42">
        <f t="shared" ref="AT144" si="187">(AT137*((AT138*AT143)+(AT138*AT141)+(AT139*AT142+AT140)))</f>
        <v>0</v>
      </c>
      <c r="AV144" s="42">
        <f t="shared" ref="AV144" si="188">(AV137*((AV138*AV143)+(AV138*AV141)+(AV139*AV142+AV140)))</f>
        <v>0</v>
      </c>
      <c r="AX144" s="42">
        <f t="shared" ref="AX144" si="189">(AX137*((AX138*AX143)+(AX138*AX141)+(AX139*AX142+AX140)))</f>
        <v>0</v>
      </c>
      <c r="AZ144" s="42">
        <f t="shared" ref="AZ144" si="190">(AZ137*((AZ138*AZ143)+(AZ138*AZ141)+(AZ139*AZ142+AZ140)))</f>
        <v>0</v>
      </c>
      <c r="BB144" s="42">
        <f t="shared" ref="BB144" si="191">(BB137*((BB138*BB143)+(BB138*BB141)+(BB139*BB142+BB140)))</f>
        <v>0</v>
      </c>
      <c r="BD144" s="42">
        <f t="shared" ref="BD144" si="192">(BD137*((BD138*BD143)+(BD138*BD141)+(BD139*BD142+BD140)))</f>
        <v>0</v>
      </c>
      <c r="BF144" s="42">
        <f t="shared" ref="BF144" si="193">(BF137*((BF138*BF143)+(BF138*BF141)+(BF139*BF142+BF140)))</f>
        <v>0</v>
      </c>
      <c r="BH144" s="42">
        <f t="shared" ref="BH144" si="194">(BH137*((BH138*BH143)+(BH138*BH141)+(BH139*BH142+BH140)))</f>
        <v>0</v>
      </c>
      <c r="BJ144" s="42">
        <f t="shared" ref="BJ144" si="195">(BJ137*((BJ138*BJ143)+(BJ138*BJ141)+(BJ139*BJ142+BJ140)))</f>
        <v>0</v>
      </c>
      <c r="BL144" s="42">
        <f t="shared" ref="BL144" si="196">(BL137*((BL138*BL143)+(BL138*BL141)+(BL139*BL142+BL140)))</f>
        <v>0</v>
      </c>
      <c r="BN144" s="84">
        <f>SUMIF(D$32:BO$32,"Dollar Value",D144:BO144)</f>
        <v>0</v>
      </c>
    </row>
    <row r="145" spans="2:66" s="6" customFormat="1" ht="14.45" customHeight="1" collapsed="1" x14ac:dyDescent="0.25">
      <c r="D145" s="38"/>
      <c r="F145" s="42"/>
      <c r="G145" s="69"/>
      <c r="H145" s="42"/>
      <c r="I145" s="69"/>
      <c r="J145" s="42"/>
      <c r="K145" s="69"/>
      <c r="L145" s="42"/>
      <c r="M145" s="69"/>
      <c r="N145" s="42"/>
      <c r="O145" s="69"/>
      <c r="P145" s="42"/>
      <c r="Q145" s="69"/>
      <c r="R145" s="42"/>
      <c r="S145" s="69"/>
      <c r="T145" s="42"/>
      <c r="U145" s="69"/>
      <c r="V145" s="42"/>
      <c r="W145" s="69"/>
      <c r="X145" s="42"/>
      <c r="Y145" s="69"/>
      <c r="Z145" s="42"/>
      <c r="AA145" s="69"/>
      <c r="AB145" s="42"/>
      <c r="AC145" s="69"/>
      <c r="AD145" s="42"/>
      <c r="AE145" s="69"/>
      <c r="AF145" s="42"/>
      <c r="AG145" s="69"/>
      <c r="AH145" s="42"/>
      <c r="AJ145" s="42"/>
      <c r="AL145" s="42"/>
      <c r="AN145" s="42"/>
      <c r="AP145" s="42"/>
      <c r="AR145" s="42"/>
      <c r="AT145" s="42"/>
      <c r="AV145" s="42"/>
      <c r="AX145" s="42"/>
      <c r="AZ145" s="42"/>
      <c r="BB145" s="42"/>
      <c r="BD145" s="42"/>
      <c r="BF145" s="42"/>
      <c r="BH145" s="42"/>
      <c r="BJ145" s="42"/>
      <c r="BL145" s="42"/>
      <c r="BN145" s="84">
        <f>SUMIF(D$32:BO$32,"Dollar Value",D145:BO145)</f>
        <v>0</v>
      </c>
    </row>
    <row r="146" spans="2:66" ht="14.45" customHeight="1" x14ac:dyDescent="0.25">
      <c r="B146" s="4" t="s">
        <v>19</v>
      </c>
      <c r="C146" s="4"/>
      <c r="D146" s="31"/>
      <c r="F146" s="43">
        <f>SUM(F114+F104+F83+F81+F79+F77+F75+F85+F87+F89+F91+F93+F124+F134+F144)</f>
        <v>0</v>
      </c>
      <c r="H146" s="43">
        <f>SUM(H114+H104+H83+H81+H79+H77+H75+H85+H87+H89+H91+H93+H124+H134+H144)</f>
        <v>0</v>
      </c>
      <c r="J146" s="43">
        <f>SUM(J114+J104+J83+J81+J79+J77+J75+J85+J87+J89+J91+J93+J124+J134+J144)</f>
        <v>0</v>
      </c>
      <c r="K146" s="55"/>
      <c r="L146" s="43">
        <f>SUM(L114+L104+L83+L81+L79+L77+L75+L85+L87+L89+L91+L93+L124+L134+L144)</f>
        <v>0</v>
      </c>
      <c r="M146" s="55"/>
      <c r="N146" s="43">
        <f>SUM(N114+N104+N83+N81+N79+N77+N75+N85+N87+N89+N91+N93+N124+N134+N144)</f>
        <v>0</v>
      </c>
      <c r="O146" s="55"/>
      <c r="P146" s="43">
        <f>SUM(P114+P104+P83+P81+P79+P77+P75+P85+P87+P89+P91+P93+P124+P134+P144)</f>
        <v>0</v>
      </c>
      <c r="Q146" s="55"/>
      <c r="R146" s="43">
        <f>SUM(R114+R104+R83+R81+R79+R77+R75+R85+R87+R89+R91+R93+R124+R134+R144)</f>
        <v>0</v>
      </c>
      <c r="S146" s="55"/>
      <c r="T146" s="43">
        <f>SUM(T114+T104+T83+T81+T79+T77+T75+T85+T87+T89+T91+T93+T124+T134+T144)</f>
        <v>0</v>
      </c>
      <c r="V146" s="43">
        <f>SUM(V114+V104+V83+V81+V79+V77+V75+V85+V87+V89+V91+V93+V124+V134+V144)</f>
        <v>0</v>
      </c>
      <c r="W146" s="55"/>
      <c r="X146" s="43">
        <f>SUM(X114+X104+X83+X81+X79+X77+X75+X85+X87+X89+X91+X93+X124+X134+X144)</f>
        <v>0</v>
      </c>
      <c r="Y146" s="55"/>
      <c r="Z146" s="43">
        <f>SUM(Z114+Z104+Z83+Z81+Z79+Z77+Z75+Z85+Z87+Z89+Z91+Z93+Z124+Z134+Z144)</f>
        <v>0</v>
      </c>
      <c r="AB146" s="43">
        <f>SUM(AB114+AB104+AB83+AB81+AB79+AB77+AB75+AB85+AB87+AB89+AB91+AB93+AB124+AB134+AB144)</f>
        <v>0</v>
      </c>
      <c r="AC146" s="55"/>
      <c r="AD146" s="43">
        <f>SUM(AD114+AD104+AD83+AD81+AD79+AD77+AD75+AD85+AD87+AD89+AD91+AD93+AD124+AD134+AD144)</f>
        <v>0</v>
      </c>
      <c r="AE146" s="55"/>
      <c r="AF146" s="43">
        <f>SUM(AF114+AF104+AF83+AF81+AF79+AF77+AF75+AF85+AF87+AF89+AF91+AF93+AF124+AF134+AF144)</f>
        <v>0</v>
      </c>
      <c r="AG146" s="55"/>
      <c r="AH146" s="43">
        <f>SUM(AH114+AH104+AH83+AH81+AH79+AH77+AH75+AH85+AH87+AH89+AH91+AH93+AH124+AH134+AH144)</f>
        <v>0</v>
      </c>
      <c r="AJ146" s="43">
        <f t="shared" ref="AJ146" si="197">SUM(AJ114+AJ104+AJ83+AJ81+AJ79+AJ77+AJ75+AJ85+AJ87+AJ89+AJ91+AJ93+AJ124+AJ134+AJ144)</f>
        <v>0</v>
      </c>
      <c r="AL146" s="43">
        <f t="shared" ref="AL146" si="198">SUM(AL114+AL104+AL83+AL81+AL79+AL77+AL75+AL85+AL87+AL89+AL91+AL93+AL124+AL134+AL144)</f>
        <v>0</v>
      </c>
      <c r="AN146" s="43">
        <f t="shared" ref="AN146" si="199">SUM(AN114+AN104+AN83+AN81+AN79+AN77+AN75+AN85+AN87+AN89+AN91+AN93+AN124+AN134+AN144)</f>
        <v>0</v>
      </c>
      <c r="AP146" s="43">
        <f t="shared" ref="AP146" si="200">SUM(AP114+AP104+AP83+AP81+AP79+AP77+AP75+AP85+AP87+AP89+AP91+AP93+AP124+AP134+AP144)</f>
        <v>0</v>
      </c>
      <c r="AR146" s="43">
        <f t="shared" ref="AR146" si="201">SUM(AR114+AR104+AR83+AR81+AR79+AR77+AR75+AR85+AR87+AR89+AR91+AR93+AR124+AR134+AR144)</f>
        <v>0</v>
      </c>
      <c r="AT146" s="43">
        <f t="shared" ref="AT146" si="202">SUM(AT114+AT104+AT83+AT81+AT79+AT77+AT75+AT85+AT87+AT89+AT91+AT93+AT124+AT134+AT144)</f>
        <v>0</v>
      </c>
      <c r="AV146" s="43">
        <f t="shared" ref="AV146" si="203">SUM(AV114+AV104+AV83+AV81+AV79+AV77+AV75+AV85+AV87+AV89+AV91+AV93+AV124+AV134+AV144)</f>
        <v>0</v>
      </c>
      <c r="AX146" s="43">
        <f t="shared" ref="AX146" si="204">SUM(AX114+AX104+AX83+AX81+AX79+AX77+AX75+AX85+AX87+AX89+AX91+AX93+AX124+AX134+AX144)</f>
        <v>0</v>
      </c>
      <c r="AZ146" s="43">
        <f t="shared" ref="AZ146" si="205">SUM(AZ114+AZ104+AZ83+AZ81+AZ79+AZ77+AZ75+AZ85+AZ87+AZ89+AZ91+AZ93+AZ124+AZ134+AZ144)</f>
        <v>0</v>
      </c>
      <c r="BB146" s="43">
        <f t="shared" ref="BB146" si="206">SUM(BB114+BB104+BB83+BB81+BB79+BB77+BB75+BB85+BB87+BB89+BB91+BB93+BB124+BB134+BB144)</f>
        <v>0</v>
      </c>
      <c r="BD146" s="43">
        <f t="shared" ref="BD146" si="207">SUM(BD114+BD104+BD83+BD81+BD79+BD77+BD75+BD85+BD87+BD89+BD91+BD93+BD124+BD134+BD144)</f>
        <v>0</v>
      </c>
      <c r="BF146" s="43">
        <f t="shared" ref="BF146" si="208">SUM(BF114+BF104+BF83+BF81+BF79+BF77+BF75+BF85+BF87+BF89+BF91+BF93+BF124+BF134+BF144)</f>
        <v>0</v>
      </c>
      <c r="BH146" s="43">
        <f t="shared" ref="BH146" si="209">SUM(BH114+BH104+BH83+BH81+BH79+BH77+BH75+BH85+BH87+BH89+BH91+BH93+BH124+BH134+BH144)</f>
        <v>0</v>
      </c>
      <c r="BJ146" s="43">
        <f t="shared" ref="BJ146" si="210">SUM(BJ114+BJ104+BJ83+BJ81+BJ79+BJ77+BJ75+BJ85+BJ87+BJ89+BJ91+BJ93+BJ124+BJ134+BJ144)</f>
        <v>0</v>
      </c>
      <c r="BL146" s="43">
        <f t="shared" ref="BL146" si="211">SUM(BL114+BL104+BL83+BL81+BL79+BL77+BL75+BL85+BL87+BL89+BL91+BL93+BL124+BL134+BL144)</f>
        <v>0</v>
      </c>
      <c r="BN146" s="34">
        <f>SUMIF(D$32:BO$32,"Dollar Value",D146:BO146)</f>
        <v>0</v>
      </c>
    </row>
    <row r="147" spans="2:66" ht="14.45" customHeight="1" x14ac:dyDescent="0.25">
      <c r="D147" s="31"/>
      <c r="F147" s="35"/>
      <c r="G147" s="41"/>
      <c r="H147" s="35"/>
      <c r="I147" s="41"/>
      <c r="J147" s="35"/>
      <c r="K147" s="41"/>
      <c r="L147" s="35"/>
      <c r="M147" s="41"/>
      <c r="N147" s="35"/>
      <c r="O147" s="41"/>
      <c r="P147" s="35"/>
      <c r="Q147" s="41"/>
      <c r="R147" s="35"/>
      <c r="S147" s="41"/>
      <c r="T147" s="35"/>
      <c r="U147" s="41"/>
      <c r="V147" s="35"/>
      <c r="W147" s="41"/>
      <c r="X147" s="35"/>
      <c r="Y147" s="41"/>
      <c r="Z147" s="35"/>
      <c r="AA147" s="41"/>
      <c r="AB147" s="35"/>
      <c r="AC147" s="41"/>
      <c r="AD147" s="35"/>
      <c r="AE147" s="41"/>
      <c r="AF147" s="35"/>
      <c r="AG147" s="41"/>
      <c r="AH147" s="35"/>
      <c r="AJ147" s="35"/>
      <c r="AL147" s="35"/>
      <c r="AN147" s="35"/>
      <c r="AP147" s="35"/>
      <c r="AR147" s="35"/>
      <c r="AT147" s="35"/>
      <c r="AV147" s="35"/>
      <c r="AX147" s="35"/>
      <c r="AZ147" s="35"/>
      <c r="BB147" s="35"/>
      <c r="BD147" s="35"/>
      <c r="BF147" s="35"/>
      <c r="BH147" s="35"/>
      <c r="BJ147" s="35"/>
      <c r="BL147" s="35"/>
      <c r="BN147" s="43"/>
    </row>
    <row r="148" spans="2:66" x14ac:dyDescent="0.25">
      <c r="B148" t="s">
        <v>20</v>
      </c>
      <c r="D148" s="31"/>
      <c r="F148" s="36">
        <f>IF(ISERROR(F146+F72), "$0",F146+F72)</f>
        <v>16.3216</v>
      </c>
      <c r="H148" s="36">
        <f>IF(ISERROR(H146+H72), "$0",H146+H72)</f>
        <v>76.507499999999993</v>
      </c>
      <c r="J148" s="36">
        <f>IF(ISERROR(J146+J72), "$0",J146+J72)</f>
        <v>76.507499999999993</v>
      </c>
      <c r="L148" s="36">
        <f>IF(ISERROR(L146+L72), "$0",L146+L72)</f>
        <v>16.3216</v>
      </c>
      <c r="N148" s="36">
        <f>IF(ISERROR(N146+N72), "$0",N146+N72)</f>
        <v>76.507499999999993</v>
      </c>
      <c r="P148" s="36">
        <f>IF(ISERROR(P146+P72), "$0",P146+P72)</f>
        <v>76.507499999999993</v>
      </c>
      <c r="R148" s="36">
        <f>IF(ISERROR(R146+R72), "$0",R146+R72)</f>
        <v>76.507499999999993</v>
      </c>
      <c r="T148" s="36">
        <f>IF(ISERROR(T146+T72), "$0",T146+T72)</f>
        <v>76.507499999999993</v>
      </c>
      <c r="V148" s="36">
        <f>IF(ISERROR(V146+V72), "$0",V146+V72)</f>
        <v>76.507499999999993</v>
      </c>
      <c r="X148" s="36">
        <f>IF(ISERROR(X146+X72), "$0",X146+X72)</f>
        <v>76.507499999999993</v>
      </c>
      <c r="Z148" s="36">
        <f>IF(ISERROR(Z146+Z72), "$0",Z146+Z72)</f>
        <v>76.507499999999993</v>
      </c>
      <c r="AB148" s="36">
        <f>IF(ISERROR(AB146+AB72), "$0",AB146+AB72)</f>
        <v>76.507499999999993</v>
      </c>
      <c r="AD148" s="36">
        <f>IF(ISERROR(AD146+AD72), "$0",AD146+AD72)</f>
        <v>76.507499999999993</v>
      </c>
      <c r="AF148" s="36">
        <f>IF(ISERROR(AF146+AF72), "$0",AF146+AF72)</f>
        <v>0</v>
      </c>
      <c r="AH148" s="36">
        <f>IF(ISERROR(AH146+AH72), "$0",AH146+AH72)</f>
        <v>0</v>
      </c>
      <c r="AI148" s="1"/>
      <c r="AJ148" s="36">
        <f t="shared" ref="AJ148" si="212">IF(ISERROR(AJ146+AJ72), "$0",AJ146+AJ72)</f>
        <v>0</v>
      </c>
      <c r="AK148" s="1"/>
      <c r="AL148" s="36">
        <f t="shared" ref="AL148" si="213">IF(ISERROR(AL146+AL72), "$0",AL146+AL72)</f>
        <v>0</v>
      </c>
      <c r="AM148" s="1"/>
      <c r="AN148" s="36">
        <f t="shared" ref="AN148" si="214">IF(ISERROR(AN146+AN72), "$0",AN146+AN72)</f>
        <v>0</v>
      </c>
      <c r="AO148" s="1"/>
      <c r="AP148" s="36">
        <f t="shared" ref="AP148" si="215">IF(ISERROR(AP146+AP72), "$0",AP146+AP72)</f>
        <v>0</v>
      </c>
      <c r="AQ148" s="1"/>
      <c r="AR148" s="36">
        <f t="shared" ref="AR148" si="216">IF(ISERROR(AR146+AR72), "$0",AR146+AR72)</f>
        <v>0</v>
      </c>
      <c r="AT148" s="36">
        <f t="shared" ref="AT148" si="217">IF(ISERROR(AT146+AT72), "$0",AT146+AT72)</f>
        <v>0</v>
      </c>
      <c r="AU148" s="1"/>
      <c r="AV148" s="36">
        <f t="shared" ref="AV148" si="218">IF(ISERROR(AV146+AV72), "$0",AV146+AV72)</f>
        <v>0</v>
      </c>
      <c r="AW148" s="1"/>
      <c r="AX148" s="36">
        <f t="shared" ref="AX148" si="219">IF(ISERROR(AX146+AX72), "$0",AX146+AX72)</f>
        <v>0</v>
      </c>
      <c r="AY148" s="1"/>
      <c r="AZ148" s="36">
        <f t="shared" ref="AZ148" si="220">IF(ISERROR(AZ146+AZ72), "$0",AZ146+AZ72)</f>
        <v>0</v>
      </c>
      <c r="BA148" s="1"/>
      <c r="BB148" s="36">
        <f t="shared" ref="BB148" si="221">IF(ISERROR(BB146+BB72), "$0",BB146+BB72)</f>
        <v>0</v>
      </c>
      <c r="BC148" s="1"/>
      <c r="BD148" s="36">
        <f t="shared" ref="BD148" si="222">IF(ISERROR(BD146+BD72), "$0",BD146+BD72)</f>
        <v>0</v>
      </c>
      <c r="BE148" s="1"/>
      <c r="BF148" s="36">
        <f t="shared" ref="BF148" si="223">IF(ISERROR(BF146+BF72), "$0",BF146+BF72)</f>
        <v>0</v>
      </c>
      <c r="BG148" s="1"/>
      <c r="BH148" s="36">
        <f t="shared" ref="BH148" si="224">IF(ISERROR(BH146+BH72), "$0",BH146+BH72)</f>
        <v>0</v>
      </c>
      <c r="BI148" s="1"/>
      <c r="BJ148" s="36">
        <f t="shared" ref="BJ148" si="225">IF(ISERROR(BJ146+BJ72), "$0",BJ146+BJ72)</f>
        <v>0</v>
      </c>
      <c r="BK148" s="1"/>
      <c r="BL148" s="36">
        <f t="shared" ref="BL148" si="226">IF(ISERROR(BL146+BL72), "$0",BL146+BL72)</f>
        <v>0</v>
      </c>
      <c r="BN148" s="34">
        <f>SUMIF(D$32:BO$32,"Dollar Value",D148:BO148)</f>
        <v>874.22569999999973</v>
      </c>
    </row>
    <row r="149" spans="2:66" x14ac:dyDescent="0.25">
      <c r="B149" t="s">
        <v>182</v>
      </c>
      <c r="D149" s="96">
        <v>0.12</v>
      </c>
      <c r="F149" s="34">
        <f>F146*$D$149</f>
        <v>0</v>
      </c>
      <c r="H149" s="34">
        <f>H146*$D$149</f>
        <v>0</v>
      </c>
      <c r="J149" s="34">
        <f>J146*$D$149</f>
        <v>0</v>
      </c>
      <c r="L149" s="34">
        <f>L146*$D$149</f>
        <v>0</v>
      </c>
      <c r="N149" s="34">
        <f>N146*$D$149</f>
        <v>0</v>
      </c>
      <c r="P149" s="34">
        <f>P146*$D$149</f>
        <v>0</v>
      </c>
      <c r="R149" s="34">
        <f>R146*$D$149</f>
        <v>0</v>
      </c>
      <c r="T149" s="34">
        <f>T146*$D$149</f>
        <v>0</v>
      </c>
      <c r="V149" s="34">
        <f>V146*$D$149</f>
        <v>0</v>
      </c>
      <c r="X149" s="34">
        <f>X146*$D$149</f>
        <v>0</v>
      </c>
      <c r="Z149" s="34">
        <f>Z146*$D$149</f>
        <v>0</v>
      </c>
      <c r="AB149" s="34">
        <f>AB146*$D$149</f>
        <v>0</v>
      </c>
      <c r="AD149" s="34">
        <f>AD146*$D$149</f>
        <v>0</v>
      </c>
      <c r="AF149" s="34">
        <f>AF146*$D$149</f>
        <v>0</v>
      </c>
      <c r="AH149" s="34">
        <f>AH146*$D$149</f>
        <v>0</v>
      </c>
      <c r="AI149" s="1"/>
      <c r="AJ149" s="34">
        <f>IF(ISERROR(AJ148*AH149), "$", AJ148*$D$149)</f>
        <v>0</v>
      </c>
      <c r="AK149" s="1"/>
      <c r="AL149" s="34">
        <f>IF(ISERROR(AL148*AJ149), "$", AL148*$D$149)</f>
        <v>0</v>
      </c>
      <c r="AM149" s="1"/>
      <c r="AN149" s="34">
        <f>IF(ISERROR(AN148*AL149), "$", AN148*$D$149)</f>
        <v>0</v>
      </c>
      <c r="AO149" s="1"/>
      <c r="AP149" s="34">
        <f>IF(ISERROR(AP148*AN149), "$", AP148*$D$149)</f>
        <v>0</v>
      </c>
      <c r="AQ149" s="1"/>
      <c r="AR149" s="34">
        <f>IF(ISERROR(AR148*AP149), "$", AR148*$D$149)</f>
        <v>0</v>
      </c>
      <c r="AT149" s="34">
        <f>IF(ISERROR(AT148*AR149), "$", AT148*$D$149)</f>
        <v>0</v>
      </c>
      <c r="AU149" s="1"/>
      <c r="AV149" s="34">
        <f>IF(ISERROR(AV148*AT149), "$", AV148*$D$149)</f>
        <v>0</v>
      </c>
      <c r="AW149" s="1"/>
      <c r="AX149" s="34">
        <f>IF(ISERROR(AX148*AV149), "$", AX148*$D$149)</f>
        <v>0</v>
      </c>
      <c r="AY149" s="1"/>
      <c r="AZ149" s="34">
        <f>IF(ISERROR(AZ148*AX149), "$", AZ148*$D$149)</f>
        <v>0</v>
      </c>
      <c r="BA149" s="1"/>
      <c r="BB149" s="34">
        <f>IF(ISERROR(BB148*AZ149), "$", BB148*$D$149)</f>
        <v>0</v>
      </c>
      <c r="BC149" s="1"/>
      <c r="BD149" s="34">
        <f>IF(ISERROR(BD148*BB149), "$", BD148*$D$149)</f>
        <v>0</v>
      </c>
      <c r="BE149" s="1"/>
      <c r="BF149" s="34">
        <f>IF(ISERROR(BF148*BD149), "$", BF148*$D$149)</f>
        <v>0</v>
      </c>
      <c r="BG149" s="1"/>
      <c r="BH149" s="34">
        <f>IF(ISERROR(BH148*BF149), "$", BH148*$D$149)</f>
        <v>0</v>
      </c>
      <c r="BI149" s="1"/>
      <c r="BJ149" s="34">
        <f>IF(ISERROR(BJ148*BH149), "$", BJ148*$D$149)</f>
        <v>0</v>
      </c>
      <c r="BK149" s="1"/>
      <c r="BL149" s="34">
        <f>IF(ISERROR(BL148*BJ149), "$", BL148*$D$149)</f>
        <v>0</v>
      </c>
      <c r="BN149" s="34">
        <f>SUMIF(D$32:BO$32,"Dollar Value",D149:BO149)</f>
        <v>0</v>
      </c>
    </row>
    <row r="150" spans="2:66" x14ac:dyDescent="0.25">
      <c r="B150" t="s">
        <v>183</v>
      </c>
      <c r="D150" s="96">
        <v>0.14299999999999999</v>
      </c>
      <c r="F150" s="34">
        <f>F72*$D150</f>
        <v>2.3339887999999998</v>
      </c>
      <c r="H150" s="34">
        <f>H72*$D150</f>
        <v>10.940572499999998</v>
      </c>
      <c r="J150" s="34">
        <f>J72*$D150</f>
        <v>10.940572499999998</v>
      </c>
      <c r="L150" s="34">
        <f>L72*$D150</f>
        <v>2.3339887999999998</v>
      </c>
      <c r="N150" s="34">
        <f>N72*$D150</f>
        <v>10.940572499999998</v>
      </c>
      <c r="P150" s="34">
        <f>P72*$D150</f>
        <v>10.940572499999998</v>
      </c>
      <c r="R150" s="34">
        <f>R72*$D150</f>
        <v>10.940572499999998</v>
      </c>
      <c r="T150" s="34">
        <f>T72*$D150</f>
        <v>10.940572499999998</v>
      </c>
      <c r="V150" s="34">
        <f>V72*$D150</f>
        <v>10.940572499999998</v>
      </c>
      <c r="X150" s="34">
        <f>X72*$D150</f>
        <v>10.940572499999998</v>
      </c>
      <c r="Z150" s="34">
        <f>Z72*$D150</f>
        <v>10.940572499999998</v>
      </c>
      <c r="AB150" s="34">
        <f>AB72*$D150</f>
        <v>10.940572499999998</v>
      </c>
      <c r="AD150" s="34">
        <f>AD72*$D150</f>
        <v>10.940572499999998</v>
      </c>
      <c r="AF150" s="34">
        <f>AF72*$D150</f>
        <v>0</v>
      </c>
      <c r="AH150" s="34">
        <f>AH72*$D150</f>
        <v>0</v>
      </c>
      <c r="AI150" s="1"/>
      <c r="AJ150" s="34">
        <f>IF(ISERROR(AJ149*AH150), "$", AJ149*$D$149)</f>
        <v>0</v>
      </c>
      <c r="AK150" s="1"/>
      <c r="AL150" s="34">
        <f>IF(ISERROR(AL149*AJ150), "$", AL149*$D$149)</f>
        <v>0</v>
      </c>
      <c r="AM150" s="1"/>
      <c r="AN150" s="34">
        <f>IF(ISERROR(AN149*AL150), "$", AN149*$D$149)</f>
        <v>0</v>
      </c>
      <c r="AO150" s="1"/>
      <c r="AP150" s="34">
        <f>IF(ISERROR(AP149*AN150), "$", AP149*$D$149)</f>
        <v>0</v>
      </c>
      <c r="AQ150" s="1"/>
      <c r="AR150" s="34">
        <f>IF(ISERROR(AR149*AP150), "$", AR149*$D$149)</f>
        <v>0</v>
      </c>
      <c r="AT150" s="34">
        <f>IF(ISERROR(AT149*AR150), "$", AT149*$D$149)</f>
        <v>0</v>
      </c>
      <c r="AU150" s="1"/>
      <c r="AV150" s="34">
        <f>IF(ISERROR(AV149*AT150), "$", AV149*$D$149)</f>
        <v>0</v>
      </c>
      <c r="AW150" s="1"/>
      <c r="AX150" s="34">
        <f>IF(ISERROR(AX149*AV150), "$", AX149*$D$149)</f>
        <v>0</v>
      </c>
      <c r="AY150" s="1"/>
      <c r="AZ150" s="34">
        <f>IF(ISERROR(AZ149*AX150), "$", AZ149*$D$149)</f>
        <v>0</v>
      </c>
      <c r="BA150" s="1"/>
      <c r="BB150" s="34">
        <f>IF(ISERROR(BB149*AZ150), "$", BB149*$D$149)</f>
        <v>0</v>
      </c>
      <c r="BC150" s="1"/>
      <c r="BD150" s="34">
        <f>IF(ISERROR(BD149*BB150), "$", BD149*$D$149)</f>
        <v>0</v>
      </c>
      <c r="BE150" s="1"/>
      <c r="BF150" s="34">
        <f>IF(ISERROR(BF149*BD150), "$", BF149*$D$149)</f>
        <v>0</v>
      </c>
      <c r="BG150" s="1"/>
      <c r="BH150" s="34">
        <f>IF(ISERROR(BH149*BF150), "$", BH149*$D$149)</f>
        <v>0</v>
      </c>
      <c r="BI150" s="1"/>
      <c r="BJ150" s="34">
        <f>IF(ISERROR(BJ149*BH150), "$", BJ149*$D$149)</f>
        <v>0</v>
      </c>
      <c r="BK150" s="1"/>
      <c r="BL150" s="34">
        <f>IF(ISERROR(BL149*BJ150), "$", BL149*$D$149)</f>
        <v>0</v>
      </c>
      <c r="BN150" s="34">
        <f>SUMIF(D$32:BO$32,"Dollar Value",D150:BO150)</f>
        <v>125.01427510000001</v>
      </c>
    </row>
    <row r="151" spans="2:66" x14ac:dyDescent="0.25">
      <c r="D151" s="31"/>
      <c r="F151" s="37"/>
      <c r="H151" s="37"/>
      <c r="J151" s="37"/>
      <c r="L151" s="37"/>
      <c r="N151" s="37"/>
      <c r="P151" s="37"/>
      <c r="R151" s="37"/>
      <c r="T151" s="37"/>
      <c r="V151" s="37"/>
      <c r="X151" s="37"/>
      <c r="Z151" s="37"/>
      <c r="AB151" s="37"/>
      <c r="AD151" s="37"/>
      <c r="AF151" s="37"/>
      <c r="AH151" s="37"/>
      <c r="AI151" s="1"/>
      <c r="AJ151" s="37"/>
      <c r="AK151" s="1"/>
      <c r="AL151" s="37"/>
      <c r="AM151" s="1"/>
      <c r="AN151" s="37"/>
      <c r="AO151" s="1"/>
      <c r="AP151" s="37"/>
      <c r="AQ151" s="1"/>
      <c r="AR151" s="37"/>
      <c r="AT151" s="37"/>
      <c r="AU151" s="1"/>
      <c r="AV151" s="37"/>
      <c r="AW151" s="1"/>
      <c r="AX151" s="37"/>
      <c r="AY151" s="1"/>
      <c r="AZ151" s="37"/>
      <c r="BA151" s="1"/>
      <c r="BB151" s="37"/>
      <c r="BC151" s="1"/>
      <c r="BD151" s="37"/>
      <c r="BE151" s="1"/>
      <c r="BF151" s="37"/>
      <c r="BG151" s="1"/>
      <c r="BH151" s="37"/>
      <c r="BI151" s="1"/>
      <c r="BJ151" s="37"/>
      <c r="BK151" s="1"/>
      <c r="BL151" s="37"/>
      <c r="BN151" s="43"/>
    </row>
    <row r="152" spans="2:66" x14ac:dyDescent="0.25">
      <c r="B152" s="4" t="s">
        <v>21</v>
      </c>
      <c r="C152" s="4"/>
      <c r="D152" s="31"/>
      <c r="F152" s="36">
        <f>SUM(F148:F150)</f>
        <v>18.6555888</v>
      </c>
      <c r="H152" s="36">
        <f>SUM(H148:H150)</f>
        <v>87.448072499999995</v>
      </c>
      <c r="J152" s="36">
        <f>SUM(J148:J150)</f>
        <v>87.448072499999995</v>
      </c>
      <c r="L152" s="36">
        <f>SUM(L148:L150)</f>
        <v>18.6555888</v>
      </c>
      <c r="N152" s="36">
        <f>SUM(N148:N150)</f>
        <v>87.448072499999995</v>
      </c>
      <c r="P152" s="36">
        <f>SUM(P148:P150)</f>
        <v>87.448072499999995</v>
      </c>
      <c r="R152" s="36">
        <f>SUM(R148:R150)</f>
        <v>87.448072499999995</v>
      </c>
      <c r="T152" s="36">
        <f>SUM(T148:T150)</f>
        <v>87.448072499999995</v>
      </c>
      <c r="V152" s="36">
        <f>SUM(V148:V150)</f>
        <v>87.448072499999995</v>
      </c>
      <c r="X152" s="36">
        <f>SUM(X148:X150)</f>
        <v>87.448072499999995</v>
      </c>
      <c r="Z152" s="36">
        <f>SUM(Z148:Z150)</f>
        <v>87.448072499999995</v>
      </c>
      <c r="AB152" s="36">
        <f>SUM(AB148:AB150)</f>
        <v>87.448072499999995</v>
      </c>
      <c r="AD152" s="36">
        <f>SUM(AD148:AD150)</f>
        <v>87.448072499999995</v>
      </c>
      <c r="AF152" s="36">
        <f>SUM(AF148:AF150)</f>
        <v>0</v>
      </c>
      <c r="AH152" s="36">
        <f>SUM(AH148:AH150)</f>
        <v>0</v>
      </c>
      <c r="AI152" s="1"/>
      <c r="AJ152" s="36">
        <f t="shared" ref="AJ152" si="227">SUM(AJ148:AJ149)</f>
        <v>0</v>
      </c>
      <c r="AK152" s="1"/>
      <c r="AL152" s="36">
        <f t="shared" ref="AL152" si="228">SUM(AL148:AL149)</f>
        <v>0</v>
      </c>
      <c r="AM152" s="1"/>
      <c r="AN152" s="36">
        <f t="shared" ref="AN152" si="229">SUM(AN148:AN149)</f>
        <v>0</v>
      </c>
      <c r="AO152" s="1"/>
      <c r="AP152" s="36">
        <f t="shared" ref="AP152" si="230">SUM(AP148:AP149)</f>
        <v>0</v>
      </c>
      <c r="AQ152" s="1"/>
      <c r="AR152" s="36">
        <f t="shared" ref="AR152" si="231">SUM(AR148:AR149)</f>
        <v>0</v>
      </c>
      <c r="AT152" s="36">
        <f t="shared" ref="AT152" si="232">SUM(AT148:AT149)</f>
        <v>0</v>
      </c>
      <c r="AU152" s="1"/>
      <c r="AV152" s="36">
        <f t="shared" ref="AV152" si="233">SUM(AV148:AV149)</f>
        <v>0</v>
      </c>
      <c r="AW152" s="1"/>
      <c r="AX152" s="36">
        <f t="shared" ref="AX152" si="234">SUM(AX148:AX149)</f>
        <v>0</v>
      </c>
      <c r="AY152" s="1"/>
      <c r="AZ152" s="36">
        <f t="shared" ref="AZ152" si="235">SUM(AZ148:AZ149)</f>
        <v>0</v>
      </c>
      <c r="BA152" s="1"/>
      <c r="BB152" s="36">
        <f t="shared" ref="BB152" si="236">SUM(BB148:BB149)</f>
        <v>0</v>
      </c>
      <c r="BC152" s="1"/>
      <c r="BD152" s="36">
        <f t="shared" ref="BD152" si="237">SUM(BD148:BD149)</f>
        <v>0</v>
      </c>
      <c r="BE152" s="1"/>
      <c r="BF152" s="36">
        <f t="shared" ref="BF152" si="238">SUM(BF148:BF149)</f>
        <v>0</v>
      </c>
      <c r="BG152" s="1"/>
      <c r="BH152" s="36">
        <f t="shared" ref="BH152" si="239">SUM(BH148:BH149)</f>
        <v>0</v>
      </c>
      <c r="BI152" s="1"/>
      <c r="BJ152" s="36">
        <f t="shared" ref="BJ152" si="240">SUM(BJ148:BJ149)</f>
        <v>0</v>
      </c>
      <c r="BK152" s="1"/>
      <c r="BL152" s="36">
        <f t="shared" ref="BL152" si="241">SUM(BL148:BL149)</f>
        <v>0</v>
      </c>
      <c r="BM152" s="5"/>
      <c r="BN152" s="34">
        <f>SUMIF(D$32:BO$32,"Dollar Value",D152:BO152)</f>
        <v>999.2399750999997</v>
      </c>
    </row>
    <row r="153" spans="2:66" x14ac:dyDescent="0.25">
      <c r="B153" t="s">
        <v>184</v>
      </c>
      <c r="D153" s="96">
        <v>0.08</v>
      </c>
      <c r="F153" s="36">
        <f>(F150+F148-F146)*$D153</f>
        <v>1.492447104</v>
      </c>
      <c r="H153" s="36">
        <f>(H150+H148-H146)*$D153</f>
        <v>6.9958457999999997</v>
      </c>
      <c r="J153" s="36">
        <f>(J150+J148-J146)*$D153</f>
        <v>6.9958457999999997</v>
      </c>
      <c r="L153" s="36">
        <f>(L150+L148-L146)*$D153</f>
        <v>1.492447104</v>
      </c>
      <c r="N153" s="36">
        <f>(N150+N148-N146)*$D153</f>
        <v>6.9958457999999997</v>
      </c>
      <c r="P153" s="36">
        <f>(P150+P148-P146)*$D153</f>
        <v>6.9958457999999997</v>
      </c>
      <c r="R153" s="36">
        <f>(R150+R148-R146)*$D153</f>
        <v>6.9958457999999997</v>
      </c>
      <c r="T153" s="36">
        <f>(T150+T148-T146)*$D153</f>
        <v>6.9958457999999997</v>
      </c>
      <c r="V153" s="36">
        <f>(V150+V148-V146)*$D153</f>
        <v>6.9958457999999997</v>
      </c>
      <c r="X153" s="36">
        <f>(X150+X148-X146)*$D153</f>
        <v>6.9958457999999997</v>
      </c>
      <c r="Z153" s="36">
        <f>(Z150+Z148-Z146)*$D153</f>
        <v>6.9958457999999997</v>
      </c>
      <c r="AB153" s="36">
        <f>(AB150+AB148-AB146)*$D153</f>
        <v>6.9958457999999997</v>
      </c>
      <c r="AD153" s="36">
        <f>(AD150+AD148-AD146)*$D153</f>
        <v>6.9958457999999997</v>
      </c>
      <c r="AF153" s="36">
        <f>(AF150+AF148-AF146)*$D153</f>
        <v>0</v>
      </c>
      <c r="AH153" s="36">
        <f>IF(ISERROR((AH152-AH149-AH146)*AF153), "$", AH152*$D$153)</f>
        <v>0</v>
      </c>
      <c r="AI153" s="1"/>
      <c r="AJ153" s="36">
        <f>IF(ISERROR(AJ152*AH153), "$", AJ152*$D$153)</f>
        <v>0</v>
      </c>
      <c r="AK153" s="1"/>
      <c r="AL153" s="36">
        <f>IF(ISERROR(AL152*AJ153), "$", AL152*$D$153)</f>
        <v>0</v>
      </c>
      <c r="AM153" s="1"/>
      <c r="AN153" s="36">
        <f>IF(ISERROR(AN152*AL153), "$", AN152*$D$153)</f>
        <v>0</v>
      </c>
      <c r="AO153" s="1"/>
      <c r="AP153" s="36">
        <f>IF(ISERROR(AP152*AN153), "$", AP152*$D$153)</f>
        <v>0</v>
      </c>
      <c r="AQ153" s="1"/>
      <c r="AR153" s="36">
        <f>IF(ISERROR(AR152*AP153), "$", AR152*$D$153)</f>
        <v>0</v>
      </c>
      <c r="AT153" s="36">
        <f>IF(ISERROR(AT152*AR153), "$", AT152*$D$153)</f>
        <v>0</v>
      </c>
      <c r="AU153" s="1"/>
      <c r="AV153" s="36">
        <f>IF(ISERROR(AV152*AT153), "$", AV152*$D$153)</f>
        <v>0</v>
      </c>
      <c r="AW153" s="1"/>
      <c r="AX153" s="36">
        <f>IF(ISERROR(AX152*AV153), "$", AX152*$D$153)</f>
        <v>0</v>
      </c>
      <c r="AY153" s="1"/>
      <c r="AZ153" s="36">
        <f>IF(ISERROR(AZ152*AX153), "$", AZ152*$D$153)</f>
        <v>0</v>
      </c>
      <c r="BA153" s="1"/>
      <c r="BB153" s="36">
        <f>IF(ISERROR(BB152*AZ153), "$", BB152*$D$153)</f>
        <v>0</v>
      </c>
      <c r="BC153" s="1"/>
      <c r="BD153" s="36">
        <f>IF(ISERROR(BD152*BB153), "$", BD152*$D$153)</f>
        <v>0</v>
      </c>
      <c r="BE153" s="1"/>
      <c r="BF153" s="36">
        <f>IF(ISERROR(BF152*BD153), "$", BF152*$D$153)</f>
        <v>0</v>
      </c>
      <c r="BG153" s="1"/>
      <c r="BH153" s="36">
        <f>IF(ISERROR(BH152*BF153), "$", BH152*$D$153)</f>
        <v>0</v>
      </c>
      <c r="BI153" s="1"/>
      <c r="BJ153" s="36">
        <f>IF(ISERROR(BJ152*BH153), "$", BJ152*$D$153)</f>
        <v>0</v>
      </c>
      <c r="BK153" s="1"/>
      <c r="BL153" s="36">
        <f>IF(ISERROR(BL152*BJ153), "$", BL152*$D$153)</f>
        <v>0</v>
      </c>
      <c r="BN153" s="34">
        <f>SUMIF(D$32:BO$32,"Dollar Value",D153:BO153)</f>
        <v>79.939198007999991</v>
      </c>
    </row>
    <row r="154" spans="2:66" ht="15.75" thickBot="1" x14ac:dyDescent="0.3">
      <c r="B154" s="98" t="s">
        <v>23</v>
      </c>
      <c r="C154" s="98"/>
      <c r="D154" s="66"/>
      <c r="E154" s="66"/>
      <c r="F154" s="33">
        <f>SUM(F152:F153)</f>
        <v>20.148035904</v>
      </c>
      <c r="G154" s="66"/>
      <c r="H154" s="33">
        <f>SUM(H152:H153)</f>
        <v>94.443918299999993</v>
      </c>
      <c r="I154" s="93"/>
      <c r="J154" s="33">
        <f>SUM(J152:J153)</f>
        <v>94.443918299999993</v>
      </c>
      <c r="K154" s="66"/>
      <c r="L154" s="33">
        <f>SUM(L152:L153)</f>
        <v>20.148035904</v>
      </c>
      <c r="M154" s="66"/>
      <c r="N154" s="33">
        <f>SUM(N152:N153)</f>
        <v>94.443918299999993</v>
      </c>
      <c r="O154" s="66"/>
      <c r="P154" s="33">
        <f>SUM(P152:P153)</f>
        <v>94.443918299999993</v>
      </c>
      <c r="Q154" s="66"/>
      <c r="R154" s="33">
        <f>SUM(R152:R153)</f>
        <v>94.443918299999993</v>
      </c>
      <c r="S154" s="66"/>
      <c r="T154" s="33">
        <f>SUM(T152:T153)</f>
        <v>94.443918299999993</v>
      </c>
      <c r="U154" s="66"/>
      <c r="V154" s="33">
        <f>SUM(V152:V153)</f>
        <v>94.443918299999993</v>
      </c>
      <c r="W154" s="93"/>
      <c r="X154" s="33">
        <f>SUM(X152:X153)</f>
        <v>94.443918299999993</v>
      </c>
      <c r="Y154" s="66"/>
      <c r="Z154" s="33">
        <f>SUM(Z152:Z153)</f>
        <v>94.443918299999993</v>
      </c>
      <c r="AA154" s="66"/>
      <c r="AB154" s="33">
        <f>SUM(AB152:AB153)</f>
        <v>94.443918299999993</v>
      </c>
      <c r="AC154" s="66"/>
      <c r="AD154" s="33">
        <f>SUM(AD152:AD153)</f>
        <v>94.443918299999993</v>
      </c>
      <c r="AE154" s="66"/>
      <c r="AF154" s="33">
        <f>SUM(AF152:AF153)</f>
        <v>0</v>
      </c>
      <c r="AG154" s="93"/>
      <c r="AH154" s="33">
        <f>SUM(AH152:AH153)</f>
        <v>0</v>
      </c>
      <c r="AI154" s="99"/>
      <c r="AJ154" s="76">
        <f t="shared" ref="AJ154" si="242">SUM(AJ152:AJ153)</f>
        <v>0</v>
      </c>
      <c r="AK154" s="99"/>
      <c r="AL154" s="76">
        <f t="shared" ref="AL154" si="243">SUM(AL152:AL153)</f>
        <v>0</v>
      </c>
      <c r="AM154" s="100"/>
      <c r="AN154" s="76">
        <f t="shared" ref="AN154" si="244">SUM(AN152:AN153)</f>
        <v>0</v>
      </c>
      <c r="AO154" s="101"/>
      <c r="AP154" s="76">
        <f t="shared" ref="AP154" si="245">SUM(AP152:AP153)</f>
        <v>0</v>
      </c>
      <c r="AQ154" s="99"/>
      <c r="AR154" s="76">
        <f t="shared" ref="AR154" si="246">SUM(AR152:AR153)</f>
        <v>0</v>
      </c>
      <c r="AS154" s="80"/>
      <c r="AT154" s="76">
        <f t="shared" ref="AT154" si="247">SUM(AT152:AT153)</f>
        <v>0</v>
      </c>
      <c r="AU154" s="100"/>
      <c r="AV154" s="76">
        <f t="shared" ref="AV154" si="248">SUM(AV152:AV153)</f>
        <v>0</v>
      </c>
      <c r="AW154" s="101"/>
      <c r="AX154" s="76">
        <f t="shared" ref="AX154" si="249">SUM(AX152:AX153)</f>
        <v>0</v>
      </c>
      <c r="AY154" s="99"/>
      <c r="AZ154" s="76">
        <f t="shared" ref="AZ154" si="250">SUM(AZ152:AZ153)</f>
        <v>0</v>
      </c>
      <c r="BA154" s="99"/>
      <c r="BB154" s="76">
        <f t="shared" ref="BB154" si="251">SUM(BB152:BB153)</f>
        <v>0</v>
      </c>
      <c r="BC154" s="99"/>
      <c r="BD154" s="76">
        <f t="shared" ref="BD154" si="252">SUM(BD152:BD153)</f>
        <v>0</v>
      </c>
      <c r="BE154" s="100"/>
      <c r="BF154" s="76">
        <f t="shared" ref="BF154" si="253">SUM(BF152:BF153)</f>
        <v>0</v>
      </c>
      <c r="BG154" s="102"/>
      <c r="BH154" s="76">
        <f t="shared" ref="BH154" si="254">SUM(BH152:BH153)</f>
        <v>0</v>
      </c>
      <c r="BI154" s="101"/>
      <c r="BJ154" s="76">
        <f t="shared" ref="BJ154" si="255">SUM(BJ152:BJ153)</f>
        <v>0</v>
      </c>
      <c r="BK154" s="99"/>
      <c r="BL154" s="76">
        <f t="shared" ref="BL154" si="256">SUM(BL152:BL153)</f>
        <v>0</v>
      </c>
      <c r="BM154" s="66"/>
      <c r="BN154" s="85">
        <f>SUMIF(D$32:BO$32,"Dollar Value",D154:BO154)</f>
        <v>1079.1791731079998</v>
      </c>
    </row>
  </sheetData>
  <sheetProtection formatColumns="0" formatRows="0"/>
  <dataConsolidate/>
  <mergeCells count="94">
    <mergeCell ref="E30:F30"/>
    <mergeCell ref="E31:F31"/>
    <mergeCell ref="S30:T30"/>
    <mergeCell ref="M31:N31"/>
    <mergeCell ref="O31:P31"/>
    <mergeCell ref="Q31:R31"/>
    <mergeCell ref="S31:T31"/>
    <mergeCell ref="K31:L31"/>
    <mergeCell ref="M30:N30"/>
    <mergeCell ref="O30:P30"/>
    <mergeCell ref="Q30:R30"/>
    <mergeCell ref="G30:H30"/>
    <mergeCell ref="G31:H31"/>
    <mergeCell ref="I30:J30"/>
    <mergeCell ref="AQ31:AR31"/>
    <mergeCell ref="W31:X31"/>
    <mergeCell ref="U30:V30"/>
    <mergeCell ref="U31:V31"/>
    <mergeCell ref="E29:F29"/>
    <mergeCell ref="G29:H29"/>
    <mergeCell ref="I29:J29"/>
    <mergeCell ref="K29:L29"/>
    <mergeCell ref="M29:N29"/>
    <mergeCell ref="O29:P29"/>
    <mergeCell ref="Q29:R29"/>
    <mergeCell ref="S29:T29"/>
    <mergeCell ref="U29:V29"/>
    <mergeCell ref="W29:X29"/>
    <mergeCell ref="K30:L30"/>
    <mergeCell ref="I31:J31"/>
    <mergeCell ref="AO30:AP30"/>
    <mergeCell ref="AQ30:AR30"/>
    <mergeCell ref="AI29:AJ29"/>
    <mergeCell ref="AK29:AL29"/>
    <mergeCell ref="AM29:AN29"/>
    <mergeCell ref="AO29:AP29"/>
    <mergeCell ref="BK29:BL29"/>
    <mergeCell ref="AS30:AT30"/>
    <mergeCell ref="BA30:BB30"/>
    <mergeCell ref="Y31:Z31"/>
    <mergeCell ref="AA31:AB31"/>
    <mergeCell ref="AC31:AD31"/>
    <mergeCell ref="AE31:AF31"/>
    <mergeCell ref="AG31:AH31"/>
    <mergeCell ref="AI31:AJ31"/>
    <mergeCell ref="AK31:AL31"/>
    <mergeCell ref="AM31:AN31"/>
    <mergeCell ref="AO31:AP31"/>
    <mergeCell ref="AQ29:AR29"/>
    <mergeCell ref="AI30:AJ30"/>
    <mergeCell ref="AK30:AL30"/>
    <mergeCell ref="AM30:AN30"/>
    <mergeCell ref="BC29:BD29"/>
    <mergeCell ref="BE29:BF29"/>
    <mergeCell ref="BG29:BH29"/>
    <mergeCell ref="BI29:BJ29"/>
    <mergeCell ref="AU30:AV30"/>
    <mergeCell ref="AW30:AX30"/>
    <mergeCell ref="AY30:AZ30"/>
    <mergeCell ref="BC30:BD30"/>
    <mergeCell ref="BG30:BH30"/>
    <mergeCell ref="BI30:BJ30"/>
    <mergeCell ref="AS29:AT29"/>
    <mergeCell ref="AU29:AV29"/>
    <mergeCell ref="AW29:AX29"/>
    <mergeCell ref="AY29:AZ29"/>
    <mergeCell ref="BA29:BB29"/>
    <mergeCell ref="B1:D1"/>
    <mergeCell ref="B2:D2"/>
    <mergeCell ref="B3:D3"/>
    <mergeCell ref="B4:D4"/>
    <mergeCell ref="BE30:BF30"/>
    <mergeCell ref="Y30:Z30"/>
    <mergeCell ref="AA30:AB30"/>
    <mergeCell ref="AC30:AD30"/>
    <mergeCell ref="AE30:AF30"/>
    <mergeCell ref="AG30:AH30"/>
    <mergeCell ref="Y29:Z29"/>
    <mergeCell ref="AA29:AB29"/>
    <mergeCell ref="AC29:AD29"/>
    <mergeCell ref="AE29:AF29"/>
    <mergeCell ref="AG29:AH29"/>
    <mergeCell ref="W30:X30"/>
    <mergeCell ref="BK30:BL30"/>
    <mergeCell ref="BK31:BL31"/>
    <mergeCell ref="AS31:AT31"/>
    <mergeCell ref="AU31:AV31"/>
    <mergeCell ref="AW31:AX31"/>
    <mergeCell ref="AY31:AZ31"/>
    <mergeCell ref="BA31:BB31"/>
    <mergeCell ref="BC31:BD31"/>
    <mergeCell ref="BE31:BF31"/>
    <mergeCell ref="BG31:BH31"/>
    <mergeCell ref="BI31:BJ31"/>
  </mergeCells>
  <pageMargins left="0.7" right="0.7" top="0.75" bottom="0.75" header="0.3" footer="0.3"/>
  <pageSetup scale="60" orientation="landscape" r:id="rId1"/>
  <headerFooter>
    <oddFooter>&amp;CUse or disclosure of data contained on this page is subject to the restriction on the title page of this proposal.</oddFooter>
  </headerFooter>
  <rowBreaks count="1" manualBreakCount="1">
    <brk id="93" min="2" max="66" man="1"/>
  </rowBreaks>
  <colBreaks count="1" manualBreakCount="1">
    <brk id="14" min="31" max="152" man="1"/>
  </colBreaks>
  <ignoredErrors>
    <ignoredError sqref="Q66 AC66 AE66 AG66 AA66 AO66 AW66 AI66 AK66 AM66 G66 I66 K66 M66 O66 S66 U66 W66 Y66 AQ66 AS66 AY66 BA66 BC66 BE66 BG66 BI66 BK66" formula="1"/>
    <ignoredError sqref="C13 A12 A15 A13 A19:B19 A16 A17 A22:B22 A20 A21 A14 A18"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O154"/>
  <sheetViews>
    <sheetView showGridLines="0" zoomScale="80" zoomScaleNormal="80" workbookViewId="0">
      <selection activeCell="D36" sqref="D36"/>
    </sheetView>
  </sheetViews>
  <sheetFormatPr defaultRowHeight="15" x14ac:dyDescent="0.25"/>
  <cols>
    <col min="1" max="1" width="21.5703125" customWidth="1"/>
    <col min="2" max="3" width="34.140625" customWidth="1"/>
    <col min="4" max="4" width="24.5703125" customWidth="1"/>
    <col min="5" max="5" width="15.7109375" customWidth="1"/>
    <col min="6" max="6" width="16.28515625" customWidth="1"/>
    <col min="7" max="7" width="15.7109375" customWidth="1"/>
    <col min="8" max="8" width="17" customWidth="1"/>
    <col min="9" max="9" width="15.7109375" customWidth="1"/>
    <col min="10" max="10" width="16.5703125" customWidth="1"/>
    <col min="11" max="11" width="15.7109375" customWidth="1"/>
    <col min="12" max="12" width="17.140625" customWidth="1"/>
    <col min="13" max="13" width="15.7109375" customWidth="1"/>
    <col min="14" max="14" width="17.140625" customWidth="1"/>
    <col min="15" max="15" width="15.7109375" customWidth="1"/>
    <col min="16" max="16" width="17.140625" customWidth="1"/>
    <col min="17" max="17" width="15.7109375" customWidth="1"/>
    <col min="18" max="18" width="17.140625" customWidth="1"/>
    <col min="19" max="19" width="15.7109375" customWidth="1"/>
    <col min="20" max="20" width="17.140625" customWidth="1"/>
    <col min="21" max="21" width="15.7109375" customWidth="1"/>
    <col min="22" max="22" width="17" customWidth="1"/>
    <col min="23" max="23" width="15.7109375" customWidth="1"/>
    <col min="24" max="24" width="17.140625" customWidth="1"/>
    <col min="25" max="25" width="15.7109375" customWidth="1"/>
    <col min="26" max="26" width="17.5703125" customWidth="1"/>
    <col min="27" max="27" width="15.7109375" customWidth="1"/>
    <col min="28" max="28" width="17.5703125" customWidth="1"/>
    <col min="29" max="29" width="15.7109375" customWidth="1"/>
    <col min="30" max="30" width="17.140625" customWidth="1"/>
    <col min="31" max="31" width="15.7109375" customWidth="1"/>
    <col min="32" max="32" width="17.140625" customWidth="1"/>
    <col min="33" max="33" width="15.7109375" customWidth="1"/>
    <col min="34" max="34" width="17.5703125" customWidth="1"/>
    <col min="35" max="35" width="15.7109375" hidden="1" customWidth="1"/>
    <col min="36" max="36" width="17.28515625" hidden="1" customWidth="1"/>
    <col min="37" max="37" width="15.7109375" hidden="1" customWidth="1"/>
    <col min="38" max="38" width="17.5703125" hidden="1" customWidth="1"/>
    <col min="39" max="39" width="15.7109375" hidden="1" customWidth="1"/>
    <col min="40" max="40" width="17.42578125" hidden="1" customWidth="1"/>
    <col min="41" max="41" width="15.7109375" hidden="1" customWidth="1"/>
    <col min="42" max="42" width="17" hidden="1" customWidth="1"/>
    <col min="43" max="43" width="15.7109375" hidden="1" customWidth="1"/>
    <col min="44" max="44" width="16.7109375" hidden="1" customWidth="1"/>
    <col min="45" max="45" width="15.7109375" hidden="1" customWidth="1"/>
    <col min="46" max="46" width="17.140625" hidden="1" customWidth="1"/>
    <col min="47" max="47" width="15.7109375" hidden="1" customWidth="1"/>
    <col min="48" max="48" width="17.140625" hidden="1" customWidth="1"/>
    <col min="49" max="49" width="15.7109375" hidden="1" customWidth="1"/>
    <col min="50" max="50" width="17" hidden="1" customWidth="1"/>
    <col min="51" max="51" width="15.7109375" hidden="1" customWidth="1"/>
    <col min="52" max="52" width="16.7109375" hidden="1" customWidth="1"/>
    <col min="53" max="53" width="15.7109375" hidden="1" customWidth="1"/>
    <col min="54" max="54" width="16.7109375" hidden="1" customWidth="1"/>
    <col min="55" max="55" width="15.7109375" hidden="1" customWidth="1"/>
    <col min="56" max="56" width="16.7109375" hidden="1" customWidth="1"/>
    <col min="57" max="57" width="15.7109375" hidden="1" customWidth="1"/>
    <col min="58" max="58" width="16.7109375" hidden="1" customWidth="1"/>
    <col min="59" max="59" width="15.7109375" hidden="1" customWidth="1"/>
    <col min="60" max="60" width="17" hidden="1" customWidth="1"/>
    <col min="61" max="61" width="15.7109375" hidden="1" customWidth="1"/>
    <col min="62" max="62" width="17.140625" hidden="1" customWidth="1"/>
    <col min="63" max="63" width="15.7109375" hidden="1" customWidth="1"/>
    <col min="64" max="64" width="16.7109375" hidden="1" customWidth="1"/>
    <col min="65" max="65" width="14.5703125" bestFit="1" customWidth="1" collapsed="1"/>
    <col min="66" max="66" width="15.85546875" bestFit="1" customWidth="1"/>
  </cols>
  <sheetData>
    <row r="1" spans="1:64" x14ac:dyDescent="0.25">
      <c r="A1" s="2"/>
      <c r="B1" s="185" t="str">
        <f>YR1_First</f>
        <v>Vendor</v>
      </c>
      <c r="C1" s="185"/>
      <c r="D1" s="185"/>
    </row>
    <row r="2" spans="1:64" x14ac:dyDescent="0.25">
      <c r="B2" s="185" t="str">
        <f>'Base Period'!B2:D2</f>
        <v>Description of Contract</v>
      </c>
      <c r="C2" s="185"/>
      <c r="D2" s="185"/>
    </row>
    <row r="3" spans="1:64" x14ac:dyDescent="0.25">
      <c r="B3" s="185" t="str">
        <f>'Base Period'!B3:D3</f>
        <v>Centers for Medicare and Medicaid Services</v>
      </c>
      <c r="C3" s="185"/>
      <c r="D3" s="185"/>
    </row>
    <row r="4" spans="1:64" x14ac:dyDescent="0.25">
      <c r="B4" s="175" t="s">
        <v>145</v>
      </c>
      <c r="C4" s="175"/>
      <c r="D4" s="175"/>
    </row>
    <row r="5" spans="1:64" x14ac:dyDescent="0.25">
      <c r="B5" s="2"/>
      <c r="C5" s="2"/>
    </row>
    <row r="6" spans="1:64" x14ac:dyDescent="0.25">
      <c r="B6" s="2"/>
      <c r="C6" s="156" t="s">
        <v>132</v>
      </c>
      <c r="D6" s="128">
        <f>'Base Period'!D6</f>
        <v>44409</v>
      </c>
      <c r="E6" s="72" t="s">
        <v>129</v>
      </c>
      <c r="F6" s="129">
        <v>44409</v>
      </c>
      <c r="G6" s="72"/>
      <c r="H6" s="129">
        <v>44409</v>
      </c>
      <c r="I6" s="72"/>
      <c r="J6" s="129">
        <v>44409</v>
      </c>
      <c r="K6" s="72"/>
      <c r="L6" s="129">
        <v>44409</v>
      </c>
      <c r="M6" s="72"/>
      <c r="N6" s="129">
        <v>44409</v>
      </c>
      <c r="O6" s="72"/>
      <c r="P6" s="129">
        <v>44409</v>
      </c>
      <c r="Q6" s="72"/>
      <c r="R6" s="129">
        <v>44409</v>
      </c>
      <c r="S6" s="72"/>
      <c r="T6" s="129">
        <v>44409</v>
      </c>
      <c r="U6" s="72"/>
      <c r="V6" s="129">
        <v>44409</v>
      </c>
      <c r="W6" s="72"/>
      <c r="X6" s="129">
        <v>44409</v>
      </c>
      <c r="Y6" s="72"/>
      <c r="Z6" s="129">
        <v>44409</v>
      </c>
      <c r="AA6" s="72"/>
      <c r="AB6" s="129">
        <v>44409</v>
      </c>
      <c r="AC6" s="72"/>
      <c r="AD6" s="129">
        <v>44409</v>
      </c>
      <c r="AE6" s="72"/>
      <c r="AF6" s="129">
        <v>44409</v>
      </c>
      <c r="AG6" s="72"/>
      <c r="AH6" s="129">
        <v>44409</v>
      </c>
      <c r="AI6" s="72"/>
      <c r="AJ6" s="129"/>
      <c r="AK6" s="72"/>
      <c r="AL6" s="129"/>
      <c r="AM6" s="72"/>
      <c r="AN6" s="129"/>
      <c r="AO6" s="72"/>
      <c r="AP6" s="129"/>
      <c r="AQ6" s="72"/>
      <c r="AR6" s="129"/>
      <c r="AS6" s="72"/>
      <c r="AT6" s="129"/>
      <c r="AU6" s="72"/>
      <c r="AV6" s="129"/>
      <c r="AW6" s="72"/>
      <c r="AX6" s="129"/>
      <c r="AY6" s="72"/>
      <c r="AZ6" s="129"/>
      <c r="BA6" s="72"/>
      <c r="BB6" s="129"/>
      <c r="BC6" s="72"/>
      <c r="BD6" s="129"/>
      <c r="BE6" s="72"/>
      <c r="BF6" s="129"/>
      <c r="BG6" s="72"/>
      <c r="BH6" s="129"/>
      <c r="BI6" s="72"/>
      <c r="BJ6" s="129"/>
      <c r="BK6" s="72"/>
      <c r="BL6" s="129"/>
    </row>
    <row r="7" spans="1:64" x14ac:dyDescent="0.25">
      <c r="B7" s="2"/>
      <c r="C7" s="156" t="s">
        <v>133</v>
      </c>
      <c r="D7" s="130">
        <v>2.1999999999999999E-2</v>
      </c>
      <c r="E7" s="72" t="s">
        <v>130</v>
      </c>
      <c r="F7" s="129">
        <v>44773</v>
      </c>
      <c r="G7" s="72"/>
      <c r="H7" s="129">
        <v>44773</v>
      </c>
      <c r="I7" s="72"/>
      <c r="J7" s="129">
        <v>44773</v>
      </c>
      <c r="K7" s="72"/>
      <c r="L7" s="129">
        <v>44773</v>
      </c>
      <c r="M7" s="72"/>
      <c r="N7" s="129">
        <v>44773</v>
      </c>
      <c r="O7" s="72"/>
      <c r="P7" s="129">
        <v>44773</v>
      </c>
      <c r="Q7" s="72"/>
      <c r="R7" s="129">
        <v>44773</v>
      </c>
      <c r="S7" s="72"/>
      <c r="T7" s="129">
        <v>44773</v>
      </c>
      <c r="U7" s="72"/>
      <c r="V7" s="129">
        <v>44773</v>
      </c>
      <c r="W7" s="72"/>
      <c r="X7" s="129">
        <v>44773</v>
      </c>
      <c r="Y7" s="72"/>
      <c r="Z7" s="129">
        <v>44773</v>
      </c>
      <c r="AA7" s="72"/>
      <c r="AB7" s="129">
        <v>44773</v>
      </c>
      <c r="AC7" s="72"/>
      <c r="AD7" s="129">
        <v>44773</v>
      </c>
      <c r="AE7" s="72"/>
      <c r="AF7" s="129">
        <v>44773</v>
      </c>
      <c r="AG7" s="72"/>
      <c r="AH7" s="129">
        <v>44773</v>
      </c>
      <c r="AI7" s="72"/>
      <c r="AJ7" s="129"/>
      <c r="AK7" s="72"/>
      <c r="AL7" s="129"/>
      <c r="AM7" s="72"/>
      <c r="AN7" s="129"/>
      <c r="AO7" s="72"/>
      <c r="AP7" s="129"/>
      <c r="AQ7" s="72"/>
      <c r="AR7" s="129"/>
      <c r="AS7" s="72"/>
      <c r="AT7" s="129"/>
      <c r="AU7" s="72"/>
      <c r="AV7" s="129"/>
      <c r="AW7" s="72"/>
      <c r="AX7" s="129"/>
      <c r="AY7" s="72"/>
      <c r="AZ7" s="129"/>
      <c r="BA7" s="72"/>
      <c r="BB7" s="129"/>
      <c r="BC7" s="72"/>
      <c r="BD7" s="129"/>
      <c r="BE7" s="72"/>
      <c r="BF7" s="129"/>
      <c r="BG7" s="72"/>
      <c r="BH7" s="129"/>
      <c r="BI7" s="72"/>
      <c r="BJ7" s="129"/>
      <c r="BK7" s="72"/>
      <c r="BL7" s="129"/>
    </row>
    <row r="8" spans="1:64" x14ac:dyDescent="0.25">
      <c r="B8" s="2"/>
      <c r="C8" s="157" t="s">
        <v>62</v>
      </c>
      <c r="F8" s="122"/>
      <c r="G8" s="121"/>
      <c r="H8" s="122"/>
      <c r="I8" s="121"/>
      <c r="J8" s="122"/>
      <c r="K8" s="121"/>
      <c r="L8" s="122"/>
      <c r="M8" s="121"/>
      <c r="N8" s="122"/>
      <c r="O8" s="121"/>
      <c r="P8" s="122"/>
      <c r="Q8" s="121"/>
      <c r="R8" s="122"/>
      <c r="S8" s="121"/>
      <c r="T8" s="122"/>
      <c r="U8" s="121"/>
      <c r="V8" s="122"/>
      <c r="W8" s="121"/>
      <c r="X8" s="122"/>
      <c r="Y8" s="121"/>
      <c r="Z8" s="122"/>
      <c r="AA8" s="121"/>
      <c r="AB8" s="122"/>
      <c r="AC8" s="121"/>
      <c r="AD8" s="122"/>
      <c r="AE8" s="121"/>
      <c r="AF8" s="122"/>
      <c r="AG8" s="121"/>
      <c r="AH8" s="122"/>
      <c r="AI8" s="121"/>
      <c r="AJ8" s="122"/>
      <c r="AK8" s="121"/>
      <c r="AL8" s="122"/>
      <c r="AM8" s="121"/>
      <c r="AN8" s="122"/>
      <c r="AO8" s="121"/>
      <c r="AP8" s="122"/>
      <c r="AQ8" s="121"/>
      <c r="AR8" s="122"/>
      <c r="AS8" s="121"/>
      <c r="AT8" s="122"/>
      <c r="AU8" s="121"/>
      <c r="AV8" s="122"/>
      <c r="AW8" s="121"/>
      <c r="AX8" s="122"/>
      <c r="AY8" s="121"/>
      <c r="AZ8" s="122"/>
      <c r="BA8" s="121"/>
      <c r="BB8" s="122"/>
      <c r="BC8" s="121"/>
      <c r="BD8" s="122"/>
      <c r="BE8" s="121"/>
      <c r="BF8" s="122"/>
      <c r="BG8" s="121"/>
      <c r="BH8" s="122"/>
      <c r="BI8" s="121"/>
      <c r="BJ8" s="122"/>
      <c r="BK8" s="121"/>
      <c r="BL8" s="122"/>
    </row>
    <row r="9" spans="1:64" hidden="1" x14ac:dyDescent="0.25">
      <c r="B9" s="2"/>
      <c r="C9" s="2"/>
      <c r="F9" s="137"/>
      <c r="G9" s="121"/>
      <c r="H9" s="122"/>
      <c r="I9" s="121"/>
      <c r="J9" s="122"/>
      <c r="K9" s="121"/>
      <c r="L9" s="122"/>
      <c r="M9" s="121"/>
      <c r="N9" s="122"/>
      <c r="O9" s="121"/>
      <c r="P9" s="122"/>
      <c r="Q9" s="121"/>
      <c r="R9" s="122"/>
      <c r="S9" s="121"/>
      <c r="T9" s="122"/>
      <c r="U9" s="121"/>
      <c r="V9" s="122"/>
      <c r="W9" s="121"/>
      <c r="X9" s="122"/>
      <c r="Y9" s="121"/>
      <c r="Z9" s="122"/>
      <c r="AA9" s="121"/>
      <c r="AB9" s="122"/>
      <c r="AC9" s="121"/>
      <c r="AD9" s="122"/>
      <c r="AE9" s="121"/>
      <c r="AF9" s="122"/>
      <c r="AG9" s="121"/>
      <c r="AH9" s="122"/>
      <c r="AI9" s="121"/>
      <c r="AJ9" s="122"/>
      <c r="AK9" s="121"/>
      <c r="AL9" s="122"/>
      <c r="AM9" s="121"/>
      <c r="AN9" s="122"/>
      <c r="AO9" s="121"/>
      <c r="AP9" s="122"/>
      <c r="AQ9" s="121"/>
      <c r="AR9" s="122"/>
      <c r="AS9" s="121"/>
      <c r="AT9" s="122"/>
      <c r="AU9" s="121"/>
      <c r="AV9" s="122"/>
      <c r="AW9" s="121"/>
      <c r="AX9" s="122"/>
      <c r="AY9" s="121"/>
      <c r="AZ9" s="122"/>
      <c r="BA9" s="121"/>
      <c r="BB9" s="122"/>
      <c r="BC9" s="121"/>
      <c r="BD9" s="122"/>
      <c r="BE9" s="121"/>
      <c r="BF9" s="122"/>
      <c r="BG9" s="121"/>
      <c r="BH9" s="122"/>
      <c r="BI9" s="121"/>
      <c r="BJ9" s="122"/>
      <c r="BK9" s="121"/>
      <c r="BL9" s="122"/>
    </row>
    <row r="10" spans="1:64" hidden="1" x14ac:dyDescent="0.25">
      <c r="B10" s="2"/>
      <c r="C10" s="2"/>
      <c r="F10" s="119">
        <f>IF(ISBLANK(F7)=1,0,IF(F8="Invalid Start Date",0,IF(F9="Invalid End Date",0,ROUND(DAYS360(F$6,F$7)/30,1))))</f>
        <v>12</v>
      </c>
      <c r="G10" s="121"/>
      <c r="H10" s="119">
        <f>IF(ISBLANK(H7)=1,0,IF(H8="Invalid Start Date",0,IF(H9="Invalid End Date",0,ROUND(DAYS360(H$6,H$7)/30,1))))</f>
        <v>12</v>
      </c>
      <c r="I10" s="119"/>
      <c r="J10" s="119">
        <f t="shared" ref="J10:BL10" si="0">IF(ISBLANK(J7)=1,0,IF(J8="Invalid Start Date",0,IF(J9="Invalid End Date",0,ROUND(DAYS360(J$6,J$7)/30,1))))</f>
        <v>12</v>
      </c>
      <c r="K10" s="119"/>
      <c r="L10" s="119">
        <f t="shared" si="0"/>
        <v>12</v>
      </c>
      <c r="M10" s="119"/>
      <c r="N10" s="119">
        <f t="shared" si="0"/>
        <v>12</v>
      </c>
      <c r="O10" s="119"/>
      <c r="P10" s="119">
        <f t="shared" si="0"/>
        <v>12</v>
      </c>
      <c r="Q10" s="119"/>
      <c r="R10" s="119">
        <f t="shared" si="0"/>
        <v>12</v>
      </c>
      <c r="S10" s="119"/>
      <c r="T10" s="119">
        <f t="shared" si="0"/>
        <v>12</v>
      </c>
      <c r="U10" s="119"/>
      <c r="V10" s="119">
        <f t="shared" si="0"/>
        <v>12</v>
      </c>
      <c r="W10" s="119"/>
      <c r="X10" s="119">
        <f t="shared" si="0"/>
        <v>12</v>
      </c>
      <c r="Y10" s="119"/>
      <c r="Z10" s="119">
        <f t="shared" si="0"/>
        <v>12</v>
      </c>
      <c r="AA10" s="119"/>
      <c r="AB10" s="119">
        <f t="shared" si="0"/>
        <v>12</v>
      </c>
      <c r="AC10" s="119"/>
      <c r="AD10" s="119">
        <f t="shared" si="0"/>
        <v>12</v>
      </c>
      <c r="AE10" s="119"/>
      <c r="AF10" s="119">
        <f t="shared" si="0"/>
        <v>12</v>
      </c>
      <c r="AG10" s="119"/>
      <c r="AH10" s="119">
        <f t="shared" si="0"/>
        <v>12</v>
      </c>
      <c r="AI10" s="119"/>
      <c r="AJ10" s="119">
        <f t="shared" si="0"/>
        <v>0</v>
      </c>
      <c r="AK10" s="119"/>
      <c r="AL10" s="119">
        <f t="shared" si="0"/>
        <v>0</v>
      </c>
      <c r="AM10" s="119"/>
      <c r="AN10" s="119">
        <f t="shared" si="0"/>
        <v>0</v>
      </c>
      <c r="AO10" s="119"/>
      <c r="AP10" s="119">
        <f t="shared" si="0"/>
        <v>0</v>
      </c>
      <c r="AQ10" s="119"/>
      <c r="AR10" s="119">
        <f t="shared" si="0"/>
        <v>0</v>
      </c>
      <c r="AS10" s="119"/>
      <c r="AT10" s="119">
        <f t="shared" si="0"/>
        <v>0</v>
      </c>
      <c r="AU10" s="119"/>
      <c r="AV10" s="119">
        <f t="shared" si="0"/>
        <v>0</v>
      </c>
      <c r="AW10" s="119"/>
      <c r="AX10" s="119">
        <f t="shared" si="0"/>
        <v>0</v>
      </c>
      <c r="AY10" s="119"/>
      <c r="AZ10" s="119">
        <f t="shared" si="0"/>
        <v>0</v>
      </c>
      <c r="BA10" s="119"/>
      <c r="BB10" s="119">
        <f t="shared" si="0"/>
        <v>0</v>
      </c>
      <c r="BC10" s="119"/>
      <c r="BD10" s="119">
        <f t="shared" si="0"/>
        <v>0</v>
      </c>
      <c r="BE10" s="119"/>
      <c r="BF10" s="119">
        <f t="shared" si="0"/>
        <v>0</v>
      </c>
      <c r="BG10" s="119"/>
      <c r="BH10" s="119">
        <f t="shared" si="0"/>
        <v>0</v>
      </c>
      <c r="BI10" s="119"/>
      <c r="BJ10" s="119">
        <f t="shared" si="0"/>
        <v>0</v>
      </c>
      <c r="BK10" s="119"/>
      <c r="BL10" s="119">
        <f t="shared" si="0"/>
        <v>0</v>
      </c>
    </row>
    <row r="11" spans="1:64" hidden="1" x14ac:dyDescent="0.25">
      <c r="B11" s="2"/>
      <c r="C11" s="2"/>
      <c r="F11" s="119"/>
      <c r="G11" s="121"/>
      <c r="H11" s="119"/>
      <c r="I11" s="121"/>
      <c r="J11" s="119"/>
      <c r="K11" s="121"/>
      <c r="L11" s="119"/>
      <c r="M11" s="121"/>
      <c r="N11" s="119"/>
      <c r="O11" s="121"/>
      <c r="P11" s="119"/>
      <c r="Q11" s="121"/>
      <c r="R11" s="119"/>
      <c r="S11" s="121"/>
      <c r="T11" s="119"/>
      <c r="U11" s="121"/>
      <c r="V11" s="119"/>
      <c r="W11" s="121"/>
      <c r="X11" s="119"/>
      <c r="Y11" s="121"/>
      <c r="Z11" s="119"/>
      <c r="AA11" s="121"/>
      <c r="AB11" s="119"/>
      <c r="AC11" s="121"/>
      <c r="AD11" s="119"/>
      <c r="AE11" s="121"/>
      <c r="AF11" s="119"/>
      <c r="AG11" s="121"/>
      <c r="AH11" s="119"/>
      <c r="AI11" s="121"/>
      <c r="AJ11" s="119"/>
      <c r="AK11" s="121"/>
      <c r="AL11" s="119"/>
      <c r="AM11" s="121"/>
      <c r="AN11" s="119"/>
      <c r="AO11" s="121"/>
      <c r="AP11" s="119"/>
      <c r="AQ11" s="121"/>
      <c r="AR11" s="119"/>
      <c r="AS11" s="121"/>
      <c r="AT11" s="119"/>
      <c r="AU11" s="121"/>
      <c r="AV11" s="119"/>
      <c r="AW11" s="121"/>
      <c r="AX11" s="119"/>
      <c r="AY11" s="121"/>
      <c r="AZ11" s="119"/>
      <c r="BA11" s="121"/>
      <c r="BB11" s="119"/>
      <c r="BC11" s="121"/>
      <c r="BD11" s="119"/>
      <c r="BE11" s="121"/>
      <c r="BF11" s="119"/>
      <c r="BG11" s="121"/>
      <c r="BH11" s="119"/>
      <c r="BI11" s="121"/>
      <c r="BJ11" s="119"/>
      <c r="BK11" s="121"/>
      <c r="BL11" s="119"/>
    </row>
    <row r="12" spans="1:64" ht="15.75" hidden="1" x14ac:dyDescent="0.25">
      <c r="A12" s="134">
        <f>DATE(YEAR($D$6)-1,MONTH($D$6),DAY($D$6))</f>
        <v>44044</v>
      </c>
      <c r="B12" s="134">
        <f>DATE(YEAR(A12)+1,MONTH(A12),DAY(A12))-1</f>
        <v>44408</v>
      </c>
      <c r="C12" s="135">
        <v>0</v>
      </c>
      <c r="F12" s="138">
        <f>IF(F10=0,0,ROUND(IF(F$6&gt;$B12,0,IF(F$7&lt;$B12,F$10,DAYS360(F$6,$B12)/30)),1))</f>
        <v>0</v>
      </c>
      <c r="G12" s="124"/>
      <c r="H12" s="138">
        <f>IF(H10=0,0,ROUND(IF(H$6&gt;$B12,0,IF(H$7&lt;$B12,H$10,DAYS360(H$6,$B12)/30)),1))</f>
        <v>0</v>
      </c>
      <c r="I12" s="124"/>
      <c r="J12" s="138">
        <f>IF(J10=0,0,ROUND(IF(J$6&gt;$B12,0,IF(J$7&lt;$B12,J$10,DAYS360(J$6,$B12)/30)),1))</f>
        <v>0</v>
      </c>
      <c r="K12" s="124"/>
      <c r="L12" s="138">
        <f>IF(L10=0,0,ROUND(IF(L$6&gt;$B12,0,IF(L$7&lt;$B12,L$10,DAYS360(L$6,$B12)/30)),1))</f>
        <v>0</v>
      </c>
      <c r="M12" s="124"/>
      <c r="N12" s="138">
        <f>IF(N10=0,0,ROUND(IF(N$6&gt;$B12,0,IF(N$7&lt;$B12,N$10,DAYS360(N$6,$B12)/30)),1))</f>
        <v>0</v>
      </c>
      <c r="O12" s="124"/>
      <c r="P12" s="138">
        <f>IF(P10=0,0,ROUND(IF(P$6&gt;$B12,0,IF(P$7&lt;$B12,P$10,DAYS360(P$6,$B12)/30)),1))</f>
        <v>0</v>
      </c>
      <c r="Q12" s="124"/>
      <c r="R12" s="138">
        <f>IF(R10=0,0,ROUND(IF(R$6&gt;$B12,0,IF(R$7&lt;$B12,R$10,DAYS360(R$6,$B12)/30)),1))</f>
        <v>0</v>
      </c>
      <c r="S12" s="124"/>
      <c r="T12" s="138">
        <f>IF(T10=0,0,ROUND(IF(T$6&gt;$B12,0,IF(T$7&lt;$B12,T$10,DAYS360(T$6,$B12)/30)),1))</f>
        <v>0</v>
      </c>
      <c r="U12" s="124"/>
      <c r="V12" s="138">
        <f>IF(V10=0,0,ROUND(IF(V$6&gt;$B12,0,IF(V$7&lt;$B12,V$10,DAYS360(V$6,$B12)/30)),1))</f>
        <v>0</v>
      </c>
      <c r="W12" s="124"/>
      <c r="X12" s="138">
        <f>IF(X10=0,0,ROUND(IF(X$6&gt;$B12,0,IF(X$7&lt;$B12,X$10,DAYS360(X$6,$B12)/30)),1))</f>
        <v>0</v>
      </c>
      <c r="Y12" s="124"/>
      <c r="Z12" s="138">
        <f>IF(Z10=0,0,ROUND(IF(Z$6&gt;$B12,0,IF(Z$7&lt;$B12,Z$10,DAYS360(Z$6,$B12)/30)),1))</f>
        <v>0</v>
      </c>
      <c r="AA12" s="124"/>
      <c r="AB12" s="138">
        <f>IF(AB10=0,0,ROUND(IF(AB$6&gt;$B12,0,IF(AB$7&lt;$B12,AB$10,DAYS360(AB$6,$B12)/30)),1))</f>
        <v>0</v>
      </c>
      <c r="AC12" s="124"/>
      <c r="AD12" s="138">
        <f>IF(AD10=0,0,ROUND(IF(AD$6&gt;$B12,0,IF(AD$7&lt;$B12,AD$10,DAYS360(AD$6,$B12)/30)),1))</f>
        <v>0</v>
      </c>
      <c r="AE12" s="124"/>
      <c r="AF12" s="138">
        <f>IF(AF10=0,0,ROUND(IF(AF$6&gt;$B12,0,IF(AF$7&lt;$B12,AF$10,DAYS360(AF$6,$B12)/30)),1))</f>
        <v>0</v>
      </c>
      <c r="AG12" s="124"/>
      <c r="AH12" s="138">
        <f>IF(AH10=0,0,ROUND(IF(AH$6&gt;$B12,0,IF(AH$7&lt;$B12,AH$10,DAYS360(AH$6,$B12)/30)),1))</f>
        <v>0</v>
      </c>
      <c r="AI12" s="124"/>
      <c r="AJ12" s="138">
        <f>IF(AJ10=0,0,ROUND(IF(AJ$6&gt;$B12,0,IF(AJ$7&lt;$B12,AJ$10,DAYS360(AJ$6,$B12)/30)),1))</f>
        <v>0</v>
      </c>
      <c r="AK12" s="124"/>
      <c r="AL12" s="138">
        <f>IF(AL10=0,0,ROUND(IF(AL$6&gt;$B12,0,IF(AL$7&lt;$B12,AL$10,DAYS360(AL$6,$B12)/30)),1))</f>
        <v>0</v>
      </c>
      <c r="AM12" s="124"/>
      <c r="AN12" s="138">
        <f>IF(AN10=0,0,ROUND(IF(AN$6&gt;$B12,0,IF(AN$7&lt;$B12,AN$10,DAYS360(AN$6,$B12)/30)),1))</f>
        <v>0</v>
      </c>
      <c r="AO12" s="124"/>
      <c r="AP12" s="138">
        <f>IF(AP10=0,0,ROUND(IF(AP$6&gt;$B12,0,IF(AP$7&lt;$B12,AP$10,DAYS360(AP$6,$B12)/30)),1))</f>
        <v>0</v>
      </c>
      <c r="AQ12" s="124"/>
      <c r="AR12" s="138">
        <f>IF(AR10=0,0,ROUND(IF(AR$6&gt;$B12,0,IF(AR$7&lt;$B12,AR$10,DAYS360(AR$6,$B12)/30)),1))</f>
        <v>0</v>
      </c>
      <c r="AS12" s="124"/>
      <c r="AT12" s="138">
        <f>IF(AT10=0,0,ROUND(IF(AT$6&gt;$B12,0,IF(AT$7&lt;$B12,AT$10,DAYS360(AT$6,$B12)/30)),1))</f>
        <v>0</v>
      </c>
      <c r="AU12" s="124"/>
      <c r="AV12" s="138">
        <f>IF(AV10=0,0,ROUND(IF(AV$6&gt;$B12,0,IF(AV$7&lt;$B12,AV$10,DAYS360(AV$6,$B12)/30)),1))</f>
        <v>0</v>
      </c>
      <c r="AW12" s="124"/>
      <c r="AX12" s="138">
        <f>IF(AX10=0,0,ROUND(IF(AX$6&gt;$B12,0,IF(AX$7&lt;$B12,AX$10,DAYS360(AX$6,$B12)/30)),1))</f>
        <v>0</v>
      </c>
      <c r="AY12" s="124"/>
      <c r="AZ12" s="138">
        <f>IF(AZ10=0,0,ROUND(IF(AZ$6&gt;$B12,0,IF(AZ$7&lt;$B12,AZ$10,DAYS360(AZ$6,$B12)/30)),1))</f>
        <v>0</v>
      </c>
      <c r="BA12" s="124"/>
      <c r="BB12" s="138">
        <f>IF(BB10=0,0,ROUND(IF(BB$6&gt;$B12,0,IF(BB$7&lt;$B12,BB$10,DAYS360(BB$6,$B12)/30)),1))</f>
        <v>0</v>
      </c>
      <c r="BC12" s="124"/>
      <c r="BD12" s="138">
        <f>IF(BD10=0,0,ROUND(IF(BD$6&gt;$B12,0,IF(BD$7&lt;$B12,BD$10,DAYS360(BD$6,$B12)/30)),1))</f>
        <v>0</v>
      </c>
      <c r="BE12" s="124"/>
      <c r="BF12" s="138">
        <f>IF(BF10=0,0,ROUND(IF(BF$6&gt;$B12,0,IF(BF$7&lt;$B12,BF$10,DAYS360(BF$6,$B12)/30)),1))</f>
        <v>0</v>
      </c>
      <c r="BG12" s="124"/>
      <c r="BH12" s="138">
        <f>IF(BH10=0,0,ROUND(IF(BH$6&gt;$B12,0,IF(BH$7&lt;$B12,BH$10,DAYS360(BH$6,$B12)/30)),1))</f>
        <v>0</v>
      </c>
      <c r="BI12" s="124"/>
      <c r="BJ12" s="138">
        <f>IF(BJ10=0,0,ROUND(IF(BJ$6&gt;$B12,0,IF(BJ$7&lt;$B12,BJ$10,DAYS360(BJ$6,$B12)/30)),1))</f>
        <v>0</v>
      </c>
      <c r="BK12" s="124"/>
      <c r="BL12" s="138">
        <f>IF(BL10=0,0,ROUND(IF(BL$6&gt;$B12,0,IF(BL$7&lt;$B12,BL$10,DAYS360(BL$6,$B12)/30)),1))</f>
        <v>0</v>
      </c>
    </row>
    <row r="13" spans="1:64" ht="15.75" hidden="1" x14ac:dyDescent="0.25">
      <c r="A13" s="134">
        <f t="shared" ref="A13:B22" si="1">DATE(YEAR(A12)+1,MONTH(A12),DAY(A12))</f>
        <v>44409</v>
      </c>
      <c r="B13" s="134">
        <f>DATE(YEAR(B12)+1,MONTH(B12),DAY(B12))</f>
        <v>44773</v>
      </c>
      <c r="C13" s="136">
        <f>D7</f>
        <v>2.1999999999999999E-2</v>
      </c>
      <c r="F13" s="138">
        <f>IF(F$10=0,0,ROUND(IF(F$6&gt;$B13,0,IF(F$7&lt;$B13,F$10-SUM(F$12:F12),(DAYS360(F$6,$B13)/30)-SUM(F$12:F12))),1))</f>
        <v>12</v>
      </c>
      <c r="G13" s="124"/>
      <c r="H13" s="138">
        <f>IF(H$10=0,0,ROUND(IF(H$6&gt;$B13,0,IF(H$7&lt;$B13,H$10-SUM(H$12:H12),(DAYS360(H$6,$B13)/30)-SUM(H$12:H12))),1))</f>
        <v>12</v>
      </c>
      <c r="I13" s="124"/>
      <c r="J13" s="138">
        <f>IF(J$10=0,0,ROUND(IF(J$6&gt;$B13,0,IF(J$7&lt;$B13,J$10-SUM(J$12:J12),(DAYS360(J$6,$B13)/30)-SUM(J$12:J12))),1))</f>
        <v>12</v>
      </c>
      <c r="K13" s="124"/>
      <c r="L13" s="138">
        <f>IF(L$10=0,0,ROUND(IF(L$6&gt;$B13,0,IF(L$7&lt;$B13,L$10-SUM(L$12:L12),(DAYS360(L$6,$B13)/30)-SUM(L$12:L12))),1))</f>
        <v>12</v>
      </c>
      <c r="M13" s="124"/>
      <c r="N13" s="138">
        <f>IF(N$10=0,0,ROUND(IF(N$6&gt;$B13,0,IF(N$7&lt;$B13,N$10-SUM(N$12:N12),(DAYS360(N$6,$B13)/30)-SUM(N$12:N12))),1))</f>
        <v>12</v>
      </c>
      <c r="O13" s="124"/>
      <c r="P13" s="138">
        <f>IF(P$10=0,0,ROUND(IF(P$6&gt;$B13,0,IF(P$7&lt;$B13,P$10-SUM(P$12:P12),(DAYS360(P$6,$B13)/30)-SUM(P$12:P12))),1))</f>
        <v>12</v>
      </c>
      <c r="Q13" s="124"/>
      <c r="R13" s="138">
        <f>IF(R$10=0,0,ROUND(IF(R$6&gt;$B13,0,IF(R$7&lt;$B13,R$10-SUM(R$12:R12),(DAYS360(R$6,$B13)/30)-SUM(R$12:R12))),1))</f>
        <v>12</v>
      </c>
      <c r="S13" s="124"/>
      <c r="T13" s="138">
        <f>IF(T$10=0,0,ROUND(IF(T$6&gt;$B13,0,IF(T$7&lt;$B13,T$10-SUM(T$12:T12),(DAYS360(T$6,$B13)/30)-SUM(T$12:T12))),1))</f>
        <v>12</v>
      </c>
      <c r="U13" s="124"/>
      <c r="V13" s="138">
        <f>IF(V$10=0,0,ROUND(IF(V$6&gt;$B13,0,IF(V$7&lt;$B13,V$10-SUM(V$12:V12),(DAYS360(V$6,$B13)/30)-SUM(V$12:V12))),1))</f>
        <v>12</v>
      </c>
      <c r="W13" s="124"/>
      <c r="X13" s="138">
        <f>IF(X$10=0,0,ROUND(IF(X$6&gt;$B13,0,IF(X$7&lt;$B13,X$10-SUM(X$12:X12),(DAYS360(X$6,$B13)/30)-SUM(X$12:X12))),1))</f>
        <v>12</v>
      </c>
      <c r="Y13" s="124"/>
      <c r="Z13" s="138">
        <f>IF(Z$10=0,0,ROUND(IF(Z$6&gt;$B13,0,IF(Z$7&lt;$B13,Z$10-SUM(Z$12:Z12),(DAYS360(Z$6,$B13)/30)-SUM(Z$12:Z12))),1))</f>
        <v>12</v>
      </c>
      <c r="AA13" s="124"/>
      <c r="AB13" s="138">
        <f>IF(AB$10=0,0,ROUND(IF(AB$6&gt;$B13,0,IF(AB$7&lt;$B13,AB$10-SUM(AB$12:AB12),(DAYS360(AB$6,$B13)/30)-SUM(AB$12:AB12))),1))</f>
        <v>12</v>
      </c>
      <c r="AC13" s="124"/>
      <c r="AD13" s="138">
        <f>IF(AD$10=0,0,ROUND(IF(AD$6&gt;$B13,0,IF(AD$7&lt;$B13,AD$10-SUM(AD$12:AD12),(DAYS360(AD$6,$B13)/30)-SUM(AD$12:AD12))),1))</f>
        <v>12</v>
      </c>
      <c r="AE13" s="124"/>
      <c r="AF13" s="138">
        <f>IF(AF$10=0,0,ROUND(IF(AF$6&gt;$B13,0,IF(AF$7&lt;$B13,AF$10-SUM(AF$12:AF12),(DAYS360(AF$6,$B13)/30)-SUM(AF$12:AF12))),1))</f>
        <v>12</v>
      </c>
      <c r="AG13" s="124"/>
      <c r="AH13" s="138">
        <f>IF(AH$10=0,0,ROUND(IF(AH$6&gt;$B13,0,IF(AH$7&lt;$B13,AH$10-SUM(AH$12:AH12),(DAYS360(AH$6,$B13)/30)-SUM(AH$12:AH12))),1))</f>
        <v>12</v>
      </c>
      <c r="AI13" s="124"/>
      <c r="AJ13" s="138">
        <f>IF(AJ$10=0,0,ROUND(IF(AJ$6&gt;$B13,0,IF(AJ$7&lt;$B13,AJ$10-SUM(AJ$12:AJ12),(DAYS360(AJ$6,$B13)/30)-SUM(AJ$12:AJ12))),1))</f>
        <v>0</v>
      </c>
      <c r="AK13" s="124"/>
      <c r="AL13" s="138">
        <f>IF(AL$10=0,0,ROUND(IF(AL$6&gt;$B13,0,IF(AL$7&lt;$B13,AL$10-SUM(AL$12:AL12),(DAYS360(AL$6,$B13)/30)-SUM(AL$12:AL12))),1))</f>
        <v>0</v>
      </c>
      <c r="AM13" s="124"/>
      <c r="AN13" s="138">
        <f>IF(AN$10=0,0,ROUND(IF(AN$6&gt;$B13,0,IF(AN$7&lt;$B13,AN$10-SUM(AN$12:AN12),(DAYS360(AN$6,$B13)/30)-SUM(AN$12:AN12))),1))</f>
        <v>0</v>
      </c>
      <c r="AO13" s="124"/>
      <c r="AP13" s="138">
        <f>IF(AP$10=0,0,ROUND(IF(AP$6&gt;$B13,0,IF(AP$7&lt;$B13,AP$10-SUM(AP$12:AP12),(DAYS360(AP$6,$B13)/30)-SUM(AP$12:AP12))),1))</f>
        <v>0</v>
      </c>
      <c r="AQ13" s="124"/>
      <c r="AR13" s="138">
        <f>IF(AR$10=0,0,ROUND(IF(AR$6&gt;$B13,0,IF(AR$7&lt;$B13,AR$10-SUM(AR$12:AR12),(DAYS360(AR$6,$B13)/30)-SUM(AR$12:AR12))),1))</f>
        <v>0</v>
      </c>
      <c r="AS13" s="124"/>
      <c r="AT13" s="138">
        <f>IF(AT$10=0,0,ROUND(IF(AT$6&gt;$B13,0,IF(AT$7&lt;$B13,AT$10-SUM(AT$12:AT12),(DAYS360(AT$6,$B13)/30)-SUM(AT$12:AT12))),1))</f>
        <v>0</v>
      </c>
      <c r="AU13" s="124"/>
      <c r="AV13" s="138">
        <f>IF(AV$10=0,0,ROUND(IF(AV$6&gt;$B13,0,IF(AV$7&lt;$B13,AV$10-SUM(AV$12:AV12),(DAYS360(AV$6,$B13)/30)-SUM(AV$12:AV12))),1))</f>
        <v>0</v>
      </c>
      <c r="AW13" s="124"/>
      <c r="AX13" s="138">
        <f>IF(AX$10=0,0,ROUND(IF(AX$6&gt;$B13,0,IF(AX$7&lt;$B13,AX$10-SUM(AX$12:AX12),(DAYS360(AX$6,$B13)/30)-SUM(AX$12:AX12))),1))</f>
        <v>0</v>
      </c>
      <c r="AY13" s="124"/>
      <c r="AZ13" s="138">
        <f>IF(AZ$10=0,0,ROUND(IF(AZ$6&gt;$B13,0,IF(AZ$7&lt;$B13,AZ$10-SUM(AZ$12:AZ12),(DAYS360(AZ$6,$B13)/30)-SUM(AZ$12:AZ12))),1))</f>
        <v>0</v>
      </c>
      <c r="BA13" s="124"/>
      <c r="BB13" s="138">
        <f>IF(BB$10=0,0,ROUND(IF(BB$6&gt;$B13,0,IF(BB$7&lt;$B13,BB$10-SUM(BB$12:BB12),(DAYS360(BB$6,$B13)/30)-SUM(BB$12:BB12))),1))</f>
        <v>0</v>
      </c>
      <c r="BC13" s="124"/>
      <c r="BD13" s="138">
        <f>IF(BD$10=0,0,ROUND(IF(BD$6&gt;$B13,0,IF(BD$7&lt;$B13,BD$10-SUM(BD$12:BD12),(DAYS360(BD$6,$B13)/30)-SUM(BD$12:BD12))),1))</f>
        <v>0</v>
      </c>
      <c r="BE13" s="124"/>
      <c r="BF13" s="138">
        <f>IF(BF$10=0,0,ROUND(IF(BF$6&gt;$B13,0,IF(BF$7&lt;$B13,BF$10-SUM(BF$12:BF12),(DAYS360(BF$6,$B13)/30)-SUM(BF$12:BF12))),1))</f>
        <v>0</v>
      </c>
      <c r="BG13" s="124"/>
      <c r="BH13" s="138">
        <f>IF(BH$10=0,0,ROUND(IF(BH$6&gt;$B13,0,IF(BH$7&lt;$B13,BH$10-SUM(BH$12:BH12),(DAYS360(BH$6,$B13)/30)-SUM(BH$12:BH12))),1))</f>
        <v>0</v>
      </c>
      <c r="BI13" s="124"/>
      <c r="BJ13" s="138">
        <f>IF(BJ$10=0,0,ROUND(IF(BJ$6&gt;$B13,0,IF(BJ$7&lt;$B13,BJ$10-SUM(BJ$12:BJ12),(DAYS360(BJ$6,$B13)/30)-SUM(BJ$12:BJ12))),1))</f>
        <v>0</v>
      </c>
      <c r="BK13" s="124"/>
      <c r="BL13" s="138">
        <f>IF(BL$10=0,0,ROUND(IF(BL$6&gt;$B13,0,IF(BL$7&lt;$B13,BL$10-SUM(BL$12:BL12),(DAYS360(BL$6,$B13)/30)-SUM(BL$12:BL12))),1))</f>
        <v>0</v>
      </c>
    </row>
    <row r="14" spans="1:64" ht="15.75" hidden="1" x14ac:dyDescent="0.25">
      <c r="A14" s="134">
        <f t="shared" si="1"/>
        <v>44774</v>
      </c>
      <c r="B14" s="134">
        <f>DATE(YEAR(B13)+1,MONTH(B13),DAY(B13))</f>
        <v>45138</v>
      </c>
      <c r="C14" s="135">
        <f>(1+C$13)*(1+C$13)-1</f>
        <v>4.4483999999999968E-2</v>
      </c>
      <c r="F14" s="138">
        <f>IF(F$10=0,0,ROUND(IF(F$6&gt;$B14,0,IF(F$7&lt;$B14,F$10-SUM(F$12:F13),(DAYS360(F$6,$B14)/30)-SUM(F$12:F13))),1))</f>
        <v>0</v>
      </c>
      <c r="G14" s="124"/>
      <c r="H14" s="138">
        <f>IF(H$10=0,0,ROUND(IF(H$6&gt;$B14,0,IF(H$7&lt;$B14,H$10-SUM(H$12:H13),(DAYS360(H$6,$B14)/30)-SUM(H$12:H13))),1))</f>
        <v>0</v>
      </c>
      <c r="I14" s="124"/>
      <c r="J14" s="138">
        <f>IF(J$10=0,0,ROUND(IF(J$6&gt;$B14,0,IF(J$7&lt;$B14,J$10-SUM(J$12:J13),(DAYS360(J$6,$B14)/30)-SUM(J$12:J13))),1))</f>
        <v>0</v>
      </c>
      <c r="K14" s="124"/>
      <c r="L14" s="138">
        <f>IF(L$10=0,0,ROUND(IF(L$6&gt;$B14,0,IF(L$7&lt;$B14,L$10-SUM(L$12:L13),(DAYS360(L$6,$B14)/30)-SUM(L$12:L13))),1))</f>
        <v>0</v>
      </c>
      <c r="M14" s="124"/>
      <c r="N14" s="138">
        <f>IF(N$10=0,0,ROUND(IF(N$6&gt;$B14,0,IF(N$7&lt;$B14,N$10-SUM(N$12:N13),(DAYS360(N$6,$B14)/30)-SUM(N$12:N13))),1))</f>
        <v>0</v>
      </c>
      <c r="O14" s="124"/>
      <c r="P14" s="138">
        <f>IF(P$10=0,0,ROUND(IF(P$6&gt;$B14,0,IF(P$7&lt;$B14,P$10-SUM(P$12:P13),(DAYS360(P$6,$B14)/30)-SUM(P$12:P13))),1))</f>
        <v>0</v>
      </c>
      <c r="Q14" s="124"/>
      <c r="R14" s="138">
        <f>IF(R$10=0,0,ROUND(IF(R$6&gt;$B14,0,IF(R$7&lt;$B14,R$10-SUM(R$12:R13),(DAYS360(R$6,$B14)/30)-SUM(R$12:R13))),1))</f>
        <v>0</v>
      </c>
      <c r="S14" s="124"/>
      <c r="T14" s="138">
        <f>IF(T$10=0,0,ROUND(IF(T$6&gt;$B14,0,IF(T$7&lt;$B14,T$10-SUM(T$12:T13),(DAYS360(T$6,$B14)/30)-SUM(T$12:T13))),1))</f>
        <v>0</v>
      </c>
      <c r="U14" s="124"/>
      <c r="V14" s="138">
        <f>IF(V$10=0,0,ROUND(IF(V$6&gt;$B14,0,IF(V$7&lt;$B14,V$10-SUM(V$12:V13),(DAYS360(V$6,$B14)/30)-SUM(V$12:V13))),1))</f>
        <v>0</v>
      </c>
      <c r="W14" s="124"/>
      <c r="X14" s="138">
        <f>IF(X$10=0,0,ROUND(IF(X$6&gt;$B14,0,IF(X$7&lt;$B14,X$10-SUM(X$12:X13),(DAYS360(X$6,$B14)/30)-SUM(X$12:X13))),1))</f>
        <v>0</v>
      </c>
      <c r="Y14" s="124"/>
      <c r="Z14" s="138">
        <f>IF(Z$10=0,0,ROUND(IF(Z$6&gt;$B14,0,IF(Z$7&lt;$B14,Z$10-SUM(Z$12:Z13),(DAYS360(Z$6,$B14)/30)-SUM(Z$12:Z13))),1))</f>
        <v>0</v>
      </c>
      <c r="AA14" s="124"/>
      <c r="AB14" s="138">
        <f>IF(AB$10=0,0,ROUND(IF(AB$6&gt;$B14,0,IF(AB$7&lt;$B14,AB$10-SUM(AB$12:AB13),(DAYS360(AB$6,$B14)/30)-SUM(AB$12:AB13))),1))</f>
        <v>0</v>
      </c>
      <c r="AC14" s="124"/>
      <c r="AD14" s="138">
        <f>IF(AD$10=0,0,ROUND(IF(AD$6&gt;$B14,0,IF(AD$7&lt;$B14,AD$10-SUM(AD$12:AD13),(DAYS360(AD$6,$B14)/30)-SUM(AD$12:AD13))),1))</f>
        <v>0</v>
      </c>
      <c r="AE14" s="124"/>
      <c r="AF14" s="138">
        <f>IF(AF$10=0,0,ROUND(IF(AF$6&gt;$B14,0,IF(AF$7&lt;$B14,AF$10-SUM(AF$12:AF13),(DAYS360(AF$6,$B14)/30)-SUM(AF$12:AF13))),1))</f>
        <v>0</v>
      </c>
      <c r="AG14" s="124"/>
      <c r="AH14" s="138">
        <f>IF(AH$10=0,0,ROUND(IF(AH$6&gt;$B14,0,IF(AH$7&lt;$B14,AH$10-SUM(AH$12:AH13),(DAYS360(AH$6,$B14)/30)-SUM(AH$12:AH13))),1))</f>
        <v>0</v>
      </c>
      <c r="AI14" s="124"/>
      <c r="AJ14" s="138">
        <f>IF(AJ$10=0,0,ROUND(IF(AJ$6&gt;$B14,0,IF(AJ$7&lt;$B14,AJ$10-SUM(AJ$12:AJ13),(DAYS360(AJ$6,$B14)/30)-SUM(AJ$12:AJ13))),1))</f>
        <v>0</v>
      </c>
      <c r="AK14" s="124"/>
      <c r="AL14" s="138">
        <f>IF(AL$10=0,0,ROUND(IF(AL$6&gt;$B14,0,IF(AL$7&lt;$B14,AL$10-SUM(AL$12:AL13),(DAYS360(AL$6,$B14)/30)-SUM(AL$12:AL13))),1))</f>
        <v>0</v>
      </c>
      <c r="AM14" s="124"/>
      <c r="AN14" s="138">
        <f>IF(AN$10=0,0,ROUND(IF(AN$6&gt;$B14,0,IF(AN$7&lt;$B14,AN$10-SUM(AN$12:AN13),(DAYS360(AN$6,$B14)/30)-SUM(AN$12:AN13))),1))</f>
        <v>0</v>
      </c>
      <c r="AO14" s="124"/>
      <c r="AP14" s="138">
        <f>IF(AP$10=0,0,ROUND(IF(AP$6&gt;$B14,0,IF(AP$7&lt;$B14,AP$10-SUM(AP$12:AP13),(DAYS360(AP$6,$B14)/30)-SUM(AP$12:AP13))),1))</f>
        <v>0</v>
      </c>
      <c r="AQ14" s="124"/>
      <c r="AR14" s="138">
        <f>IF(AR$10=0,0,ROUND(IF(AR$6&gt;$B14,0,IF(AR$7&lt;$B14,AR$10-SUM(AR$12:AR13),(DAYS360(AR$6,$B14)/30)-SUM(AR$12:AR13))),1))</f>
        <v>0</v>
      </c>
      <c r="AS14" s="124"/>
      <c r="AT14" s="138">
        <f>IF(AT$10=0,0,ROUND(IF(AT$6&gt;$B14,0,IF(AT$7&lt;$B14,AT$10-SUM(AT$12:AT13),(DAYS360(AT$6,$B14)/30)-SUM(AT$12:AT13))),1))</f>
        <v>0</v>
      </c>
      <c r="AU14" s="124"/>
      <c r="AV14" s="138">
        <f>IF(AV$10=0,0,ROUND(IF(AV$6&gt;$B14,0,IF(AV$7&lt;$B14,AV$10-SUM(AV$12:AV13),(DAYS360(AV$6,$B14)/30)-SUM(AV$12:AV13))),1))</f>
        <v>0</v>
      </c>
      <c r="AW14" s="124"/>
      <c r="AX14" s="138">
        <f>IF(AX$10=0,0,ROUND(IF(AX$6&gt;$B14,0,IF(AX$7&lt;$B14,AX$10-SUM(AX$12:AX13),(DAYS360(AX$6,$B14)/30)-SUM(AX$12:AX13))),1))</f>
        <v>0</v>
      </c>
      <c r="AY14" s="124"/>
      <c r="AZ14" s="138">
        <f>IF(AZ$10=0,0,ROUND(IF(AZ$6&gt;$B14,0,IF(AZ$7&lt;$B14,AZ$10-SUM(AZ$12:AZ13),(DAYS360(AZ$6,$B14)/30)-SUM(AZ$12:AZ13))),1))</f>
        <v>0</v>
      </c>
      <c r="BA14" s="124"/>
      <c r="BB14" s="138">
        <f>IF(BB$10=0,0,ROUND(IF(BB$6&gt;$B14,0,IF(BB$7&lt;$B14,BB$10-SUM(BB$12:BB13),(DAYS360(BB$6,$B14)/30)-SUM(BB$12:BB13))),1))</f>
        <v>0</v>
      </c>
      <c r="BC14" s="124"/>
      <c r="BD14" s="138">
        <f>IF(BD$10=0,0,ROUND(IF(BD$6&gt;$B14,0,IF(BD$7&lt;$B14,BD$10-SUM(BD$12:BD13),(DAYS360(BD$6,$B14)/30)-SUM(BD$12:BD13))),1))</f>
        <v>0</v>
      </c>
      <c r="BE14" s="124"/>
      <c r="BF14" s="138">
        <f>IF(BF$10=0,0,ROUND(IF(BF$6&gt;$B14,0,IF(BF$7&lt;$B14,BF$10-SUM(BF$12:BF13),(DAYS360(BF$6,$B14)/30)-SUM(BF$12:BF13))),1))</f>
        <v>0</v>
      </c>
      <c r="BG14" s="124"/>
      <c r="BH14" s="138">
        <f>IF(BH$10=0,0,ROUND(IF(BH$6&gt;$B14,0,IF(BH$7&lt;$B14,BH$10-SUM(BH$12:BH13),(DAYS360(BH$6,$B14)/30)-SUM(BH$12:BH13))),1))</f>
        <v>0</v>
      </c>
      <c r="BI14" s="124"/>
      <c r="BJ14" s="138">
        <f>IF(BJ$10=0,0,ROUND(IF(BJ$6&gt;$B14,0,IF(BJ$7&lt;$B14,BJ$10-SUM(BJ$12:BJ13),(DAYS360(BJ$6,$B14)/30)-SUM(BJ$12:BJ13))),1))</f>
        <v>0</v>
      </c>
      <c r="BK14" s="124"/>
      <c r="BL14" s="138">
        <f>IF(BL$10=0,0,ROUND(IF(BL$6&gt;$B14,0,IF(BL$7&lt;$B14,BL$10-SUM(BL$12:BL13),(DAYS360(BL$6,$B14)/30)-SUM(BL$12:BL13))),1))</f>
        <v>0</v>
      </c>
    </row>
    <row r="15" spans="1:64" ht="15.75" hidden="1" x14ac:dyDescent="0.25">
      <c r="A15" s="134">
        <f t="shared" si="1"/>
        <v>45139</v>
      </c>
      <c r="B15" s="134">
        <f t="shared" si="1"/>
        <v>45504</v>
      </c>
      <c r="C15" s="135">
        <f>(1+C$13)*(1+C$13)^2-1</f>
        <v>6.7462648000000014E-2</v>
      </c>
      <c r="F15" s="138">
        <f>IF(F$10=0,0,ROUND(IF(F$6&gt;$B15,0,IF(F$7&lt;$B15,F$10-SUM(F$12:F14),(DAYS360(F$6,$B15)/30)-SUM(F$12:F14))),1))</f>
        <v>0</v>
      </c>
      <c r="G15" s="124"/>
      <c r="H15" s="138">
        <f>IF(H$10=0,0,ROUND(IF(H$6&gt;$B15,0,IF(H$7&lt;$B15,H$10-SUM(H$12:H14),(DAYS360(H$6,$B15)/30)-SUM(H$12:H14))),1))</f>
        <v>0</v>
      </c>
      <c r="I15" s="124"/>
      <c r="J15" s="138">
        <f>IF(J$10=0,0,ROUND(IF(J$6&gt;$B15,0,IF(J$7&lt;$B15,J$10-SUM(J$12:J14),(DAYS360(J$6,$B15)/30)-SUM(J$12:J14))),1))</f>
        <v>0</v>
      </c>
      <c r="K15" s="124"/>
      <c r="L15" s="138">
        <f>IF(L$10=0,0,ROUND(IF(L$6&gt;$B15,0,IF(L$7&lt;$B15,L$10-SUM(L$12:L14),(DAYS360(L$6,$B15)/30)-SUM(L$12:L14))),1))</f>
        <v>0</v>
      </c>
      <c r="M15" s="124"/>
      <c r="N15" s="138">
        <f>IF(N$10=0,0,ROUND(IF(N$6&gt;$B15,0,IF(N$7&lt;$B15,N$10-SUM(N$12:N14),(DAYS360(N$6,$B15)/30)-SUM(N$12:N14))),1))</f>
        <v>0</v>
      </c>
      <c r="O15" s="124"/>
      <c r="P15" s="138">
        <f>IF(P$10=0,0,ROUND(IF(P$6&gt;$B15,0,IF(P$7&lt;$B15,P$10-SUM(P$12:P14),(DAYS360(P$6,$B15)/30)-SUM(P$12:P14))),1))</f>
        <v>0</v>
      </c>
      <c r="Q15" s="124"/>
      <c r="R15" s="138">
        <f>IF(R$10=0,0,ROUND(IF(R$6&gt;$B15,0,IF(R$7&lt;$B15,R$10-SUM(R$12:R14),(DAYS360(R$6,$B15)/30)-SUM(R$12:R14))),1))</f>
        <v>0</v>
      </c>
      <c r="S15" s="124"/>
      <c r="T15" s="138">
        <f>IF(T$10=0,0,ROUND(IF(T$6&gt;$B15,0,IF(T$7&lt;$B15,T$10-SUM(T$12:T14),(DAYS360(T$6,$B15)/30)-SUM(T$12:T14))),1))</f>
        <v>0</v>
      </c>
      <c r="U15" s="124"/>
      <c r="V15" s="138">
        <f>IF(V$10=0,0,ROUND(IF(V$6&gt;$B15,0,IF(V$7&lt;$B15,V$10-SUM(V$12:V14),(DAYS360(V$6,$B15)/30)-SUM(V$12:V14))),1))</f>
        <v>0</v>
      </c>
      <c r="W15" s="124"/>
      <c r="X15" s="138">
        <f>IF(X$10=0,0,ROUND(IF(X$6&gt;$B15,0,IF(X$7&lt;$B15,X$10-SUM(X$12:X14),(DAYS360(X$6,$B15)/30)-SUM(X$12:X14))),1))</f>
        <v>0</v>
      </c>
      <c r="Y15" s="124"/>
      <c r="Z15" s="138">
        <f>IF(Z$10=0,0,ROUND(IF(Z$6&gt;$B15,0,IF(Z$7&lt;$B15,Z$10-SUM(Z$12:Z14),(DAYS360(Z$6,$B15)/30)-SUM(Z$12:Z14))),1))</f>
        <v>0</v>
      </c>
      <c r="AA15" s="124"/>
      <c r="AB15" s="138">
        <f>IF(AB$10=0,0,ROUND(IF(AB$6&gt;$B15,0,IF(AB$7&lt;$B15,AB$10-SUM(AB$12:AB14),(DAYS360(AB$6,$B15)/30)-SUM(AB$12:AB14))),1))</f>
        <v>0</v>
      </c>
      <c r="AC15" s="124"/>
      <c r="AD15" s="138">
        <f>IF(AD$10=0,0,ROUND(IF(AD$6&gt;$B15,0,IF(AD$7&lt;$B15,AD$10-SUM(AD$12:AD14),(DAYS360(AD$6,$B15)/30)-SUM(AD$12:AD14))),1))</f>
        <v>0</v>
      </c>
      <c r="AE15" s="124"/>
      <c r="AF15" s="138">
        <f>IF(AF$10=0,0,ROUND(IF(AF$6&gt;$B15,0,IF(AF$7&lt;$B15,AF$10-SUM(AF$12:AF14),(DAYS360(AF$6,$B15)/30)-SUM(AF$12:AF14))),1))</f>
        <v>0</v>
      </c>
      <c r="AG15" s="124"/>
      <c r="AH15" s="138">
        <f>IF(AH$10=0,0,ROUND(IF(AH$6&gt;$B15,0,IF(AH$7&lt;$B15,AH$10-SUM(AH$12:AH14),(DAYS360(AH$6,$B15)/30)-SUM(AH$12:AH14))),1))</f>
        <v>0</v>
      </c>
      <c r="AI15" s="124"/>
      <c r="AJ15" s="138">
        <f>IF(AJ$10=0,0,ROUND(IF(AJ$6&gt;$B15,0,IF(AJ$7&lt;$B15,AJ$10-SUM(AJ$12:AJ14),(DAYS360(AJ$6,$B15)/30)-SUM(AJ$12:AJ14))),1))</f>
        <v>0</v>
      </c>
      <c r="AK15" s="124"/>
      <c r="AL15" s="138">
        <f>IF(AL$10=0,0,ROUND(IF(AL$6&gt;$B15,0,IF(AL$7&lt;$B15,AL$10-SUM(AL$12:AL14),(DAYS360(AL$6,$B15)/30)-SUM(AL$12:AL14))),1))</f>
        <v>0</v>
      </c>
      <c r="AM15" s="124"/>
      <c r="AN15" s="138">
        <f>IF(AN$10=0,0,ROUND(IF(AN$6&gt;$B15,0,IF(AN$7&lt;$B15,AN$10-SUM(AN$12:AN14),(DAYS360(AN$6,$B15)/30)-SUM(AN$12:AN14))),1))</f>
        <v>0</v>
      </c>
      <c r="AO15" s="124"/>
      <c r="AP15" s="138">
        <f>IF(AP$10=0,0,ROUND(IF(AP$6&gt;$B15,0,IF(AP$7&lt;$B15,AP$10-SUM(AP$12:AP14),(DAYS360(AP$6,$B15)/30)-SUM(AP$12:AP14))),1))</f>
        <v>0</v>
      </c>
      <c r="AQ15" s="124"/>
      <c r="AR15" s="138">
        <f>IF(AR$10=0,0,ROUND(IF(AR$6&gt;$B15,0,IF(AR$7&lt;$B15,AR$10-SUM(AR$12:AR14),(DAYS360(AR$6,$B15)/30)-SUM(AR$12:AR14))),1))</f>
        <v>0</v>
      </c>
      <c r="AS15" s="124"/>
      <c r="AT15" s="138">
        <f>IF(AT$10=0,0,ROUND(IF(AT$6&gt;$B15,0,IF(AT$7&lt;$B15,AT$10-SUM(AT$12:AT14),(DAYS360(AT$6,$B15)/30)-SUM(AT$12:AT14))),1))</f>
        <v>0</v>
      </c>
      <c r="AU15" s="124"/>
      <c r="AV15" s="138">
        <f>IF(AV$10=0,0,ROUND(IF(AV$6&gt;$B15,0,IF(AV$7&lt;$B15,AV$10-SUM(AV$12:AV14),(DAYS360(AV$6,$B15)/30)-SUM(AV$12:AV14))),1))</f>
        <v>0</v>
      </c>
      <c r="AW15" s="124"/>
      <c r="AX15" s="138">
        <f>IF(AX$10=0,0,ROUND(IF(AX$6&gt;$B15,0,IF(AX$7&lt;$B15,AX$10-SUM(AX$12:AX14),(DAYS360(AX$6,$B15)/30)-SUM(AX$12:AX14))),1))</f>
        <v>0</v>
      </c>
      <c r="AY15" s="124"/>
      <c r="AZ15" s="138">
        <f>IF(AZ$10=0,0,ROUND(IF(AZ$6&gt;$B15,0,IF(AZ$7&lt;$B15,AZ$10-SUM(AZ$12:AZ14),(DAYS360(AZ$6,$B15)/30)-SUM(AZ$12:AZ14))),1))</f>
        <v>0</v>
      </c>
      <c r="BA15" s="124"/>
      <c r="BB15" s="138">
        <f>IF(BB$10=0,0,ROUND(IF(BB$6&gt;$B15,0,IF(BB$7&lt;$B15,BB$10-SUM(BB$12:BB14),(DAYS360(BB$6,$B15)/30)-SUM(BB$12:BB14))),1))</f>
        <v>0</v>
      </c>
      <c r="BC15" s="124"/>
      <c r="BD15" s="138">
        <f>IF(BD$10=0,0,ROUND(IF(BD$6&gt;$B15,0,IF(BD$7&lt;$B15,BD$10-SUM(BD$12:BD14),(DAYS360(BD$6,$B15)/30)-SUM(BD$12:BD14))),1))</f>
        <v>0</v>
      </c>
      <c r="BE15" s="124"/>
      <c r="BF15" s="138">
        <f>IF(BF$10=0,0,ROUND(IF(BF$6&gt;$B15,0,IF(BF$7&lt;$B15,BF$10-SUM(BF$12:BF14),(DAYS360(BF$6,$B15)/30)-SUM(BF$12:BF14))),1))</f>
        <v>0</v>
      </c>
      <c r="BG15" s="124"/>
      <c r="BH15" s="138">
        <f>IF(BH$10=0,0,ROUND(IF(BH$6&gt;$B15,0,IF(BH$7&lt;$B15,BH$10-SUM(BH$12:BH14),(DAYS360(BH$6,$B15)/30)-SUM(BH$12:BH14))),1))</f>
        <v>0</v>
      </c>
      <c r="BI15" s="124"/>
      <c r="BJ15" s="138">
        <f>IF(BJ$10=0,0,ROUND(IF(BJ$6&gt;$B15,0,IF(BJ$7&lt;$B15,BJ$10-SUM(BJ$12:BJ14),(DAYS360(BJ$6,$B15)/30)-SUM(BJ$12:BJ14))),1))</f>
        <v>0</v>
      </c>
      <c r="BK15" s="124"/>
      <c r="BL15" s="138">
        <f>IF(BL$10=0,0,ROUND(IF(BL$6&gt;$B15,0,IF(BL$7&lt;$B15,BL$10-SUM(BL$12:BL14),(DAYS360(BL$6,$B15)/30)-SUM(BL$12:BL14))),1))</f>
        <v>0</v>
      </c>
    </row>
    <row r="16" spans="1:64" ht="15.75" hidden="1" x14ac:dyDescent="0.25">
      <c r="A16" s="134">
        <f t="shared" si="1"/>
        <v>45505</v>
      </c>
      <c r="B16" s="134">
        <f>DATE(YEAR(B15)+1,MONTH(B15),DAY(B15))</f>
        <v>45869</v>
      </c>
      <c r="C16" s="135">
        <f>(1+C$13)*(1+C$13)^3-1</f>
        <v>9.0946826256000035E-2</v>
      </c>
      <c r="F16" s="138">
        <f>IF(F$10=0,0,ROUND(IF(F$6&gt;$B16,0,IF(F$7&lt;$B16,F$10-SUM(F$12:F15),(DAYS360(F$6,$B16)/30)-SUM(F$12:F15))),1))</f>
        <v>0</v>
      </c>
      <c r="G16" s="124"/>
      <c r="H16" s="138">
        <f>IF(H$10=0,0,ROUND(IF(H$6&gt;$B16,0,IF(H$7&lt;$B16,H$10-SUM(H$12:H15),(DAYS360(H$6,$B16)/30)-SUM(H$12:H15))),1))</f>
        <v>0</v>
      </c>
      <c r="I16" s="124"/>
      <c r="J16" s="138">
        <f>IF(J$10=0,0,ROUND(IF(J$6&gt;$B16,0,IF(J$7&lt;$B16,J$10-SUM(J$12:J15),(DAYS360(J$6,$B16)/30)-SUM(J$12:J15))),1))</f>
        <v>0</v>
      </c>
      <c r="K16" s="124"/>
      <c r="L16" s="138">
        <f>IF(L$10=0,0,ROUND(IF(L$6&gt;$B16,0,IF(L$7&lt;$B16,L$10-SUM(L$12:L15),(DAYS360(L$6,$B16)/30)-SUM(L$12:L15))),1))</f>
        <v>0</v>
      </c>
      <c r="M16" s="124"/>
      <c r="N16" s="138">
        <f>IF(N$10=0,0,ROUND(IF(N$6&gt;$B16,0,IF(N$7&lt;$B16,N$10-SUM(N$12:N15),(DAYS360(N$6,$B16)/30)-SUM(N$12:N15))),1))</f>
        <v>0</v>
      </c>
      <c r="O16" s="124"/>
      <c r="P16" s="138">
        <f>IF(P$10=0,0,ROUND(IF(P$6&gt;$B16,0,IF(P$7&lt;$B16,P$10-SUM(P$12:P15),(DAYS360(P$6,$B16)/30)-SUM(P$12:P15))),1))</f>
        <v>0</v>
      </c>
      <c r="Q16" s="124"/>
      <c r="R16" s="138">
        <f>IF(R$10=0,0,ROUND(IF(R$6&gt;$B16,0,IF(R$7&lt;$B16,R$10-SUM(R$12:R15),(DAYS360(R$6,$B16)/30)-SUM(R$12:R15))),1))</f>
        <v>0</v>
      </c>
      <c r="S16" s="124"/>
      <c r="T16" s="138">
        <f>IF(T$10=0,0,ROUND(IF(T$6&gt;$B16,0,IF(T$7&lt;$B16,T$10-SUM(T$12:T15),(DAYS360(T$6,$B16)/30)-SUM(T$12:T15))),1))</f>
        <v>0</v>
      </c>
      <c r="U16" s="124"/>
      <c r="V16" s="138">
        <f>IF(V$10=0,0,ROUND(IF(V$6&gt;$B16,0,IF(V$7&lt;$B16,V$10-SUM(V$12:V15),(DAYS360(V$6,$B16)/30)-SUM(V$12:V15))),1))</f>
        <v>0</v>
      </c>
      <c r="W16" s="124"/>
      <c r="X16" s="138">
        <f>IF(X$10=0,0,ROUND(IF(X$6&gt;$B16,0,IF(X$7&lt;$B16,X$10-SUM(X$12:X15),(DAYS360(X$6,$B16)/30)-SUM(X$12:X15))),1))</f>
        <v>0</v>
      </c>
      <c r="Y16" s="124"/>
      <c r="Z16" s="138">
        <f>IF(Z$10=0,0,ROUND(IF(Z$6&gt;$B16,0,IF(Z$7&lt;$B16,Z$10-SUM(Z$12:Z15),(DAYS360(Z$6,$B16)/30)-SUM(Z$12:Z15))),1))</f>
        <v>0</v>
      </c>
      <c r="AA16" s="124"/>
      <c r="AB16" s="138">
        <f>IF(AB$10=0,0,ROUND(IF(AB$6&gt;$B16,0,IF(AB$7&lt;$B16,AB$10-SUM(AB$12:AB15),(DAYS360(AB$6,$B16)/30)-SUM(AB$12:AB15))),1))</f>
        <v>0</v>
      </c>
      <c r="AC16" s="124"/>
      <c r="AD16" s="138">
        <f>IF(AD$10=0,0,ROUND(IF(AD$6&gt;$B16,0,IF(AD$7&lt;$B16,AD$10-SUM(AD$12:AD15),(DAYS360(AD$6,$B16)/30)-SUM(AD$12:AD15))),1))</f>
        <v>0</v>
      </c>
      <c r="AE16" s="124"/>
      <c r="AF16" s="138">
        <f>IF(AF$10=0,0,ROUND(IF(AF$6&gt;$B16,0,IF(AF$7&lt;$B16,AF$10-SUM(AF$12:AF15),(DAYS360(AF$6,$B16)/30)-SUM(AF$12:AF15))),1))</f>
        <v>0</v>
      </c>
      <c r="AG16" s="124"/>
      <c r="AH16" s="138">
        <f>IF(AH$10=0,0,ROUND(IF(AH$6&gt;$B16,0,IF(AH$7&lt;$B16,AH$10-SUM(AH$12:AH15),(DAYS360(AH$6,$B16)/30)-SUM(AH$12:AH15))),1))</f>
        <v>0</v>
      </c>
      <c r="AI16" s="124"/>
      <c r="AJ16" s="138">
        <f>IF(AJ$10=0,0,ROUND(IF(AJ$6&gt;$B16,0,IF(AJ$7&lt;$B16,AJ$10-SUM(AJ$12:AJ15),(DAYS360(AJ$6,$B16)/30)-SUM(AJ$12:AJ15))),1))</f>
        <v>0</v>
      </c>
      <c r="AK16" s="124"/>
      <c r="AL16" s="138">
        <f>IF(AL$10=0,0,ROUND(IF(AL$6&gt;$B16,0,IF(AL$7&lt;$B16,AL$10-SUM(AL$12:AL15),(DAYS360(AL$6,$B16)/30)-SUM(AL$12:AL15))),1))</f>
        <v>0</v>
      </c>
      <c r="AM16" s="124"/>
      <c r="AN16" s="138">
        <f>IF(AN$10=0,0,ROUND(IF(AN$6&gt;$B16,0,IF(AN$7&lt;$B16,AN$10-SUM(AN$12:AN15),(DAYS360(AN$6,$B16)/30)-SUM(AN$12:AN15))),1))</f>
        <v>0</v>
      </c>
      <c r="AO16" s="124"/>
      <c r="AP16" s="138">
        <f>IF(AP$10=0,0,ROUND(IF(AP$6&gt;$B16,0,IF(AP$7&lt;$B16,AP$10-SUM(AP$12:AP15),(DAYS360(AP$6,$B16)/30)-SUM(AP$12:AP15))),1))</f>
        <v>0</v>
      </c>
      <c r="AQ16" s="124"/>
      <c r="AR16" s="138">
        <f>IF(AR$10=0,0,ROUND(IF(AR$6&gt;$B16,0,IF(AR$7&lt;$B16,AR$10-SUM(AR$12:AR15),(DAYS360(AR$6,$B16)/30)-SUM(AR$12:AR15))),1))</f>
        <v>0</v>
      </c>
      <c r="AS16" s="124"/>
      <c r="AT16" s="138">
        <f>IF(AT$10=0,0,ROUND(IF(AT$6&gt;$B16,0,IF(AT$7&lt;$B16,AT$10-SUM(AT$12:AT15),(DAYS360(AT$6,$B16)/30)-SUM(AT$12:AT15))),1))</f>
        <v>0</v>
      </c>
      <c r="AU16" s="124"/>
      <c r="AV16" s="138">
        <f>IF(AV$10=0,0,ROUND(IF(AV$6&gt;$B16,0,IF(AV$7&lt;$B16,AV$10-SUM(AV$12:AV15),(DAYS360(AV$6,$B16)/30)-SUM(AV$12:AV15))),1))</f>
        <v>0</v>
      </c>
      <c r="AW16" s="124"/>
      <c r="AX16" s="138">
        <f>IF(AX$10=0,0,ROUND(IF(AX$6&gt;$B16,0,IF(AX$7&lt;$B16,AX$10-SUM(AX$12:AX15),(DAYS360(AX$6,$B16)/30)-SUM(AX$12:AX15))),1))</f>
        <v>0</v>
      </c>
      <c r="AY16" s="124"/>
      <c r="AZ16" s="138">
        <f>IF(AZ$10=0,0,ROUND(IF(AZ$6&gt;$B16,0,IF(AZ$7&lt;$B16,AZ$10-SUM(AZ$12:AZ15),(DAYS360(AZ$6,$B16)/30)-SUM(AZ$12:AZ15))),1))</f>
        <v>0</v>
      </c>
      <c r="BA16" s="124"/>
      <c r="BB16" s="138">
        <f>IF(BB$10=0,0,ROUND(IF(BB$6&gt;$B16,0,IF(BB$7&lt;$B16,BB$10-SUM(BB$12:BB15),(DAYS360(BB$6,$B16)/30)-SUM(BB$12:BB15))),1))</f>
        <v>0</v>
      </c>
      <c r="BC16" s="124"/>
      <c r="BD16" s="138">
        <f>IF(BD$10=0,0,ROUND(IF(BD$6&gt;$B16,0,IF(BD$7&lt;$B16,BD$10-SUM(BD$12:BD15),(DAYS360(BD$6,$B16)/30)-SUM(BD$12:BD15))),1))</f>
        <v>0</v>
      </c>
      <c r="BE16" s="124"/>
      <c r="BF16" s="138">
        <f>IF(BF$10=0,0,ROUND(IF(BF$6&gt;$B16,0,IF(BF$7&lt;$B16,BF$10-SUM(BF$12:BF15),(DAYS360(BF$6,$B16)/30)-SUM(BF$12:BF15))),1))</f>
        <v>0</v>
      </c>
      <c r="BG16" s="124"/>
      <c r="BH16" s="138">
        <f>IF(BH$10=0,0,ROUND(IF(BH$6&gt;$B16,0,IF(BH$7&lt;$B16,BH$10-SUM(BH$12:BH15),(DAYS360(BH$6,$B16)/30)-SUM(BH$12:BH15))),1))</f>
        <v>0</v>
      </c>
      <c r="BI16" s="124"/>
      <c r="BJ16" s="138">
        <f>IF(BJ$10=0,0,ROUND(IF(BJ$6&gt;$B16,0,IF(BJ$7&lt;$B16,BJ$10-SUM(BJ$12:BJ15),(DAYS360(BJ$6,$B16)/30)-SUM(BJ$12:BJ15))),1))</f>
        <v>0</v>
      </c>
      <c r="BK16" s="124"/>
      <c r="BL16" s="138">
        <f>IF(BL$10=0,0,ROUND(IF(BL$6&gt;$B16,0,IF(BL$7&lt;$B16,BL$10-SUM(BL$12:BL15),(DAYS360(BL$6,$B16)/30)-SUM(BL$12:BL15))),1))</f>
        <v>0</v>
      </c>
    </row>
    <row r="17" spans="1:66" ht="15.75" hidden="1" x14ac:dyDescent="0.25">
      <c r="A17" s="134">
        <f t="shared" si="1"/>
        <v>45870</v>
      </c>
      <c r="B17" s="134">
        <f>DATE(YEAR(B16)+1,MONTH(B16),DAY(B16))</f>
        <v>46234</v>
      </c>
      <c r="C17" s="135">
        <f>(1+C$13)*(1+C$13)^4-1</f>
        <v>0.11494765643363203</v>
      </c>
      <c r="F17" s="138">
        <f>IF(F$10=0,0,ROUND(IF(F$6&gt;$B17,0,IF(F$7&lt;$B17,F$10-SUM(F$12:F16),(DAYS360(F$6,$B17)/30)-SUM(F$12:F16))),1))</f>
        <v>0</v>
      </c>
      <c r="G17" s="124"/>
      <c r="H17" s="138">
        <f>IF(H$10=0,0,ROUND(IF(H$6&gt;$B17,0,IF(H$7&lt;$B17,H$10-SUM(H$12:H16),(DAYS360(H$6,$B17)/30)-SUM(H$12:H16))),1))</f>
        <v>0</v>
      </c>
      <c r="I17" s="124"/>
      <c r="J17" s="138">
        <f>IF(J$10=0,0,ROUND(IF(J$6&gt;$B17,0,IF(J$7&lt;$B17,J$10-SUM(J$12:J16),(DAYS360(J$6,$B17)/30)-SUM(J$12:J16))),1))</f>
        <v>0</v>
      </c>
      <c r="K17" s="124"/>
      <c r="L17" s="138">
        <f>IF(L$10=0,0,ROUND(IF(L$6&gt;$B17,0,IF(L$7&lt;$B17,L$10-SUM(L$12:L16),(DAYS360(L$6,$B17)/30)-SUM(L$12:L16))),1))</f>
        <v>0</v>
      </c>
      <c r="M17" s="124"/>
      <c r="N17" s="138">
        <f>IF(N$10=0,0,ROUND(IF(N$6&gt;$B17,0,IF(N$7&lt;$B17,N$10-SUM(N$12:N16),(DAYS360(N$6,$B17)/30)-SUM(N$12:N16))),1))</f>
        <v>0</v>
      </c>
      <c r="O17" s="124"/>
      <c r="P17" s="138">
        <f>IF(P$10=0,0,ROUND(IF(P$6&gt;$B17,0,IF(P$7&lt;$B17,P$10-SUM(P$12:P16),(DAYS360(P$6,$B17)/30)-SUM(P$12:P16))),1))</f>
        <v>0</v>
      </c>
      <c r="Q17" s="124"/>
      <c r="R17" s="138">
        <f>IF(R$10=0,0,ROUND(IF(R$6&gt;$B17,0,IF(R$7&lt;$B17,R$10-SUM(R$12:R16),(DAYS360(R$6,$B17)/30)-SUM(R$12:R16))),1))</f>
        <v>0</v>
      </c>
      <c r="S17" s="124"/>
      <c r="T17" s="138">
        <f>IF(T$10=0,0,ROUND(IF(T$6&gt;$B17,0,IF(T$7&lt;$B17,T$10-SUM(T$12:T16),(DAYS360(T$6,$B17)/30)-SUM(T$12:T16))),1))</f>
        <v>0</v>
      </c>
      <c r="U17" s="124"/>
      <c r="V17" s="138">
        <f>IF(V$10=0,0,ROUND(IF(V$6&gt;$B17,0,IF(V$7&lt;$B17,V$10-SUM(V$12:V16),(DAYS360(V$6,$B17)/30)-SUM(V$12:V16))),1))</f>
        <v>0</v>
      </c>
      <c r="W17" s="124"/>
      <c r="X17" s="138">
        <f>IF(X$10=0,0,ROUND(IF(X$6&gt;$B17,0,IF(X$7&lt;$B17,X$10-SUM(X$12:X16),(DAYS360(X$6,$B17)/30)-SUM(X$12:X16))),1))</f>
        <v>0</v>
      </c>
      <c r="Y17" s="124"/>
      <c r="Z17" s="138">
        <f>IF(Z$10=0,0,ROUND(IF(Z$6&gt;$B17,0,IF(Z$7&lt;$B17,Z$10-SUM(Z$12:Z16),(DAYS360(Z$6,$B17)/30)-SUM(Z$12:Z16))),1))</f>
        <v>0</v>
      </c>
      <c r="AA17" s="124"/>
      <c r="AB17" s="138">
        <f>IF(AB$10=0,0,ROUND(IF(AB$6&gt;$B17,0,IF(AB$7&lt;$B17,AB$10-SUM(AB$12:AB16),(DAYS360(AB$6,$B17)/30)-SUM(AB$12:AB16))),1))</f>
        <v>0</v>
      </c>
      <c r="AC17" s="124"/>
      <c r="AD17" s="138">
        <f>IF(AD$10=0,0,ROUND(IF(AD$6&gt;$B17,0,IF(AD$7&lt;$B17,AD$10-SUM(AD$12:AD16),(DAYS360(AD$6,$B17)/30)-SUM(AD$12:AD16))),1))</f>
        <v>0</v>
      </c>
      <c r="AE17" s="124"/>
      <c r="AF17" s="138">
        <f>IF(AF$10=0,0,ROUND(IF(AF$6&gt;$B17,0,IF(AF$7&lt;$B17,AF$10-SUM(AF$12:AF16),(DAYS360(AF$6,$B17)/30)-SUM(AF$12:AF16))),1))</f>
        <v>0</v>
      </c>
      <c r="AG17" s="124"/>
      <c r="AH17" s="138">
        <f>IF(AH$10=0,0,ROUND(IF(AH$6&gt;$B17,0,IF(AH$7&lt;$B17,AH$10-SUM(AH$12:AH16),(DAYS360(AH$6,$B17)/30)-SUM(AH$12:AH16))),1))</f>
        <v>0</v>
      </c>
      <c r="AI17" s="124"/>
      <c r="AJ17" s="138">
        <f>IF(AJ$10=0,0,ROUND(IF(AJ$6&gt;$B17,0,IF(AJ$7&lt;$B17,AJ$10-SUM(AJ$12:AJ16),(DAYS360(AJ$6,$B17)/30)-SUM(AJ$12:AJ16))),1))</f>
        <v>0</v>
      </c>
      <c r="AK17" s="124"/>
      <c r="AL17" s="138">
        <f>IF(AL$10=0,0,ROUND(IF(AL$6&gt;$B17,0,IF(AL$7&lt;$B17,AL$10-SUM(AL$12:AL16),(DAYS360(AL$6,$B17)/30)-SUM(AL$12:AL16))),1))</f>
        <v>0</v>
      </c>
      <c r="AM17" s="124"/>
      <c r="AN17" s="138">
        <f>IF(AN$10=0,0,ROUND(IF(AN$6&gt;$B17,0,IF(AN$7&lt;$B17,AN$10-SUM(AN$12:AN16),(DAYS360(AN$6,$B17)/30)-SUM(AN$12:AN16))),1))</f>
        <v>0</v>
      </c>
      <c r="AO17" s="124"/>
      <c r="AP17" s="138">
        <f>IF(AP$10=0,0,ROUND(IF(AP$6&gt;$B17,0,IF(AP$7&lt;$B17,AP$10-SUM(AP$12:AP16),(DAYS360(AP$6,$B17)/30)-SUM(AP$12:AP16))),1))</f>
        <v>0</v>
      </c>
      <c r="AQ17" s="124"/>
      <c r="AR17" s="138">
        <f>IF(AR$10=0,0,ROUND(IF(AR$6&gt;$B17,0,IF(AR$7&lt;$B17,AR$10-SUM(AR$12:AR16),(DAYS360(AR$6,$B17)/30)-SUM(AR$12:AR16))),1))</f>
        <v>0</v>
      </c>
      <c r="AS17" s="124"/>
      <c r="AT17" s="138">
        <f>IF(AT$10=0,0,ROUND(IF(AT$6&gt;$B17,0,IF(AT$7&lt;$B17,AT$10-SUM(AT$12:AT16),(DAYS360(AT$6,$B17)/30)-SUM(AT$12:AT16))),1))</f>
        <v>0</v>
      </c>
      <c r="AU17" s="124"/>
      <c r="AV17" s="138">
        <f>IF(AV$10=0,0,ROUND(IF(AV$6&gt;$B17,0,IF(AV$7&lt;$B17,AV$10-SUM(AV$12:AV16),(DAYS360(AV$6,$B17)/30)-SUM(AV$12:AV16))),1))</f>
        <v>0</v>
      </c>
      <c r="AW17" s="124"/>
      <c r="AX17" s="138">
        <f>IF(AX$10=0,0,ROUND(IF(AX$6&gt;$B17,0,IF(AX$7&lt;$B17,AX$10-SUM(AX$12:AX16),(DAYS360(AX$6,$B17)/30)-SUM(AX$12:AX16))),1))</f>
        <v>0</v>
      </c>
      <c r="AY17" s="124"/>
      <c r="AZ17" s="138">
        <f>IF(AZ$10=0,0,ROUND(IF(AZ$6&gt;$B17,0,IF(AZ$7&lt;$B17,AZ$10-SUM(AZ$12:AZ16),(DAYS360(AZ$6,$B17)/30)-SUM(AZ$12:AZ16))),1))</f>
        <v>0</v>
      </c>
      <c r="BA17" s="124"/>
      <c r="BB17" s="138">
        <f>IF(BB$10=0,0,ROUND(IF(BB$6&gt;$B17,0,IF(BB$7&lt;$B17,BB$10-SUM(BB$12:BB16),(DAYS360(BB$6,$B17)/30)-SUM(BB$12:BB16))),1))</f>
        <v>0</v>
      </c>
      <c r="BC17" s="124"/>
      <c r="BD17" s="138">
        <f>IF(BD$10=0,0,ROUND(IF(BD$6&gt;$B17,0,IF(BD$7&lt;$B17,BD$10-SUM(BD$12:BD16),(DAYS360(BD$6,$B17)/30)-SUM(BD$12:BD16))),1))</f>
        <v>0</v>
      </c>
      <c r="BE17" s="124"/>
      <c r="BF17" s="138">
        <f>IF(BF$10=0,0,ROUND(IF(BF$6&gt;$B17,0,IF(BF$7&lt;$B17,BF$10-SUM(BF$12:BF16),(DAYS360(BF$6,$B17)/30)-SUM(BF$12:BF16))),1))</f>
        <v>0</v>
      </c>
      <c r="BG17" s="124"/>
      <c r="BH17" s="138">
        <f>IF(BH$10=0,0,ROUND(IF(BH$6&gt;$B17,0,IF(BH$7&lt;$B17,BH$10-SUM(BH$12:BH16),(DAYS360(BH$6,$B17)/30)-SUM(BH$12:BH16))),1))</f>
        <v>0</v>
      </c>
      <c r="BI17" s="124"/>
      <c r="BJ17" s="138">
        <f>IF(BJ$10=0,0,ROUND(IF(BJ$6&gt;$B17,0,IF(BJ$7&lt;$B17,BJ$10-SUM(BJ$12:BJ16),(DAYS360(BJ$6,$B17)/30)-SUM(BJ$12:BJ16))),1))</f>
        <v>0</v>
      </c>
      <c r="BK17" s="124"/>
      <c r="BL17" s="138">
        <f>IF(BL$10=0,0,ROUND(IF(BL$6&gt;$B17,0,IF(BL$7&lt;$B17,BL$10-SUM(BL$12:BL16),(DAYS360(BL$6,$B17)/30)-SUM(BL$12:BL16))),1))</f>
        <v>0</v>
      </c>
    </row>
    <row r="18" spans="1:66" ht="15.75" hidden="1" x14ac:dyDescent="0.25">
      <c r="A18" s="134">
        <f t="shared" si="1"/>
        <v>46235</v>
      </c>
      <c r="B18" s="134">
        <f t="shared" si="1"/>
        <v>46599</v>
      </c>
      <c r="C18" s="135">
        <f>(1+C$13)*(1+C$13)^5-1</f>
        <v>0.13947650487517205</v>
      </c>
      <c r="F18" s="138">
        <f>IF(F$10=0,0,ROUND(IF(F$6&gt;$B18,0,IF(F$7&lt;$B18,F$10-SUM(F$12:F17),(DAYS360(F$6,$B18)/30)-SUM(F$12:F17))),1))</f>
        <v>0</v>
      </c>
      <c r="G18" s="124"/>
      <c r="H18" s="138">
        <f>IF(H$10=0,0,ROUND(IF(H$6&gt;$B18,0,IF(H$7&lt;$B18,H$10-SUM(H$12:H17),(DAYS360(H$6,$B18)/30)-SUM(H$12:H17))),1))</f>
        <v>0</v>
      </c>
      <c r="I18" s="124"/>
      <c r="J18" s="138">
        <f>IF(J$10=0,0,ROUND(IF(J$6&gt;$B18,0,IF(J$7&lt;$B18,J$10-SUM(J$12:J17),(DAYS360(J$6,$B18)/30)-SUM(J$12:J17))),1))</f>
        <v>0</v>
      </c>
      <c r="K18" s="124"/>
      <c r="L18" s="138">
        <f>IF(L$10=0,0,ROUND(IF(L$6&gt;$B18,0,IF(L$7&lt;$B18,L$10-SUM(L$12:L17),(DAYS360(L$6,$B18)/30)-SUM(L$12:L17))),1))</f>
        <v>0</v>
      </c>
      <c r="M18" s="124"/>
      <c r="N18" s="138">
        <f>IF(N$10=0,0,ROUND(IF(N$6&gt;$B18,0,IF(N$7&lt;$B18,N$10-SUM(N$12:N17),(DAYS360(N$6,$B18)/30)-SUM(N$12:N17))),1))</f>
        <v>0</v>
      </c>
      <c r="O18" s="124"/>
      <c r="P18" s="138">
        <f>IF(P$10=0,0,ROUND(IF(P$6&gt;$B18,0,IF(P$7&lt;$B18,P$10-SUM(P$12:P17),(DAYS360(P$6,$B18)/30)-SUM(P$12:P17))),1))</f>
        <v>0</v>
      </c>
      <c r="Q18" s="124"/>
      <c r="R18" s="138">
        <f>IF(R$10=0,0,ROUND(IF(R$6&gt;$B18,0,IF(R$7&lt;$B18,R$10-SUM(R$12:R17),(DAYS360(R$6,$B18)/30)-SUM(R$12:R17))),1))</f>
        <v>0</v>
      </c>
      <c r="S18" s="124"/>
      <c r="T18" s="138">
        <f>IF(T$10=0,0,ROUND(IF(T$6&gt;$B18,0,IF(T$7&lt;$B18,T$10-SUM(T$12:T17),(DAYS360(T$6,$B18)/30)-SUM(T$12:T17))),1))</f>
        <v>0</v>
      </c>
      <c r="U18" s="124"/>
      <c r="V18" s="138">
        <f>IF(V$10=0,0,ROUND(IF(V$6&gt;$B18,0,IF(V$7&lt;$B18,V$10-SUM(V$12:V17),(DAYS360(V$6,$B18)/30)-SUM(V$12:V17))),1))</f>
        <v>0</v>
      </c>
      <c r="W18" s="124"/>
      <c r="X18" s="138">
        <f>IF(X$10=0,0,ROUND(IF(X$6&gt;$B18,0,IF(X$7&lt;$B18,X$10-SUM(X$12:X17),(DAYS360(X$6,$B18)/30)-SUM(X$12:X17))),1))</f>
        <v>0</v>
      </c>
      <c r="Y18" s="124"/>
      <c r="Z18" s="138">
        <f>IF(Z$10=0,0,ROUND(IF(Z$6&gt;$B18,0,IF(Z$7&lt;$B18,Z$10-SUM(Z$12:Z17),(DAYS360(Z$6,$B18)/30)-SUM(Z$12:Z17))),1))</f>
        <v>0</v>
      </c>
      <c r="AA18" s="124"/>
      <c r="AB18" s="138">
        <f>IF(AB$10=0,0,ROUND(IF(AB$6&gt;$B18,0,IF(AB$7&lt;$B18,AB$10-SUM(AB$12:AB17),(DAYS360(AB$6,$B18)/30)-SUM(AB$12:AB17))),1))</f>
        <v>0</v>
      </c>
      <c r="AC18" s="124"/>
      <c r="AD18" s="138">
        <f>IF(AD$10=0,0,ROUND(IF(AD$6&gt;$B18,0,IF(AD$7&lt;$B18,AD$10-SUM(AD$12:AD17),(DAYS360(AD$6,$B18)/30)-SUM(AD$12:AD17))),1))</f>
        <v>0</v>
      </c>
      <c r="AE18" s="124"/>
      <c r="AF18" s="138">
        <f>IF(AF$10=0,0,ROUND(IF(AF$6&gt;$B18,0,IF(AF$7&lt;$B18,AF$10-SUM(AF$12:AF17),(DAYS360(AF$6,$B18)/30)-SUM(AF$12:AF17))),1))</f>
        <v>0</v>
      </c>
      <c r="AG18" s="124"/>
      <c r="AH18" s="138">
        <f>IF(AH$10=0,0,ROUND(IF(AH$6&gt;$B18,0,IF(AH$7&lt;$B18,AH$10-SUM(AH$12:AH17),(DAYS360(AH$6,$B18)/30)-SUM(AH$12:AH17))),1))</f>
        <v>0</v>
      </c>
      <c r="AI18" s="124"/>
      <c r="AJ18" s="138">
        <f>IF(AJ$10=0,0,ROUND(IF(AJ$6&gt;$B18,0,IF(AJ$7&lt;$B18,AJ$10-SUM(AJ$12:AJ17),(DAYS360(AJ$6,$B18)/30)-SUM(AJ$12:AJ17))),1))</f>
        <v>0</v>
      </c>
      <c r="AK18" s="124"/>
      <c r="AL18" s="138">
        <f>IF(AL$10=0,0,ROUND(IF(AL$6&gt;$B18,0,IF(AL$7&lt;$B18,AL$10-SUM(AL$12:AL17),(DAYS360(AL$6,$B18)/30)-SUM(AL$12:AL17))),1))</f>
        <v>0</v>
      </c>
      <c r="AM18" s="124"/>
      <c r="AN18" s="138">
        <f>IF(AN$10=0,0,ROUND(IF(AN$6&gt;$B18,0,IF(AN$7&lt;$B18,AN$10-SUM(AN$12:AN17),(DAYS360(AN$6,$B18)/30)-SUM(AN$12:AN17))),1))</f>
        <v>0</v>
      </c>
      <c r="AO18" s="124"/>
      <c r="AP18" s="138">
        <f>IF(AP$10=0,0,ROUND(IF(AP$6&gt;$B18,0,IF(AP$7&lt;$B18,AP$10-SUM(AP$12:AP17),(DAYS360(AP$6,$B18)/30)-SUM(AP$12:AP17))),1))</f>
        <v>0</v>
      </c>
      <c r="AQ18" s="124"/>
      <c r="AR18" s="138">
        <f>IF(AR$10=0,0,ROUND(IF(AR$6&gt;$B18,0,IF(AR$7&lt;$B18,AR$10-SUM(AR$12:AR17),(DAYS360(AR$6,$B18)/30)-SUM(AR$12:AR17))),1))</f>
        <v>0</v>
      </c>
      <c r="AS18" s="124"/>
      <c r="AT18" s="138">
        <f>IF(AT$10=0,0,ROUND(IF(AT$6&gt;$B18,0,IF(AT$7&lt;$B18,AT$10-SUM(AT$12:AT17),(DAYS360(AT$6,$B18)/30)-SUM(AT$12:AT17))),1))</f>
        <v>0</v>
      </c>
      <c r="AU18" s="124"/>
      <c r="AV18" s="138">
        <f>IF(AV$10=0,0,ROUND(IF(AV$6&gt;$B18,0,IF(AV$7&lt;$B18,AV$10-SUM(AV$12:AV17),(DAYS360(AV$6,$B18)/30)-SUM(AV$12:AV17))),1))</f>
        <v>0</v>
      </c>
      <c r="AW18" s="124"/>
      <c r="AX18" s="138">
        <f>IF(AX$10=0,0,ROUND(IF(AX$6&gt;$B18,0,IF(AX$7&lt;$B18,AX$10-SUM(AX$12:AX17),(DAYS360(AX$6,$B18)/30)-SUM(AX$12:AX17))),1))</f>
        <v>0</v>
      </c>
      <c r="AY18" s="124"/>
      <c r="AZ18" s="138">
        <f>IF(AZ$10=0,0,ROUND(IF(AZ$6&gt;$B18,0,IF(AZ$7&lt;$B18,AZ$10-SUM(AZ$12:AZ17),(DAYS360(AZ$6,$B18)/30)-SUM(AZ$12:AZ17))),1))</f>
        <v>0</v>
      </c>
      <c r="BA18" s="124"/>
      <c r="BB18" s="138">
        <f>IF(BB$10=0,0,ROUND(IF(BB$6&gt;$B18,0,IF(BB$7&lt;$B18,BB$10-SUM(BB$12:BB17),(DAYS360(BB$6,$B18)/30)-SUM(BB$12:BB17))),1))</f>
        <v>0</v>
      </c>
      <c r="BC18" s="124"/>
      <c r="BD18" s="138">
        <f>IF(BD$10=0,0,ROUND(IF(BD$6&gt;$B18,0,IF(BD$7&lt;$B18,BD$10-SUM(BD$12:BD17),(DAYS360(BD$6,$B18)/30)-SUM(BD$12:BD17))),1))</f>
        <v>0</v>
      </c>
      <c r="BE18" s="124"/>
      <c r="BF18" s="138">
        <f>IF(BF$10=0,0,ROUND(IF(BF$6&gt;$B18,0,IF(BF$7&lt;$B18,BF$10-SUM(BF$12:BF17),(DAYS360(BF$6,$B18)/30)-SUM(BF$12:BF17))),1))</f>
        <v>0</v>
      </c>
      <c r="BG18" s="124"/>
      <c r="BH18" s="138">
        <f>IF(BH$10=0,0,ROUND(IF(BH$6&gt;$B18,0,IF(BH$7&lt;$B18,BH$10-SUM(BH$12:BH17),(DAYS360(BH$6,$B18)/30)-SUM(BH$12:BH17))),1))</f>
        <v>0</v>
      </c>
      <c r="BI18" s="124"/>
      <c r="BJ18" s="138">
        <f>IF(BJ$10=0,0,ROUND(IF(BJ$6&gt;$B18,0,IF(BJ$7&lt;$B18,BJ$10-SUM(BJ$12:BJ17),(DAYS360(BJ$6,$B18)/30)-SUM(BJ$12:BJ17))),1))</f>
        <v>0</v>
      </c>
      <c r="BK18" s="124"/>
      <c r="BL18" s="138">
        <f>IF(BL$10=0,0,ROUND(IF(BL$6&gt;$B18,0,IF(BL$7&lt;$B18,BL$10-SUM(BL$12:BL17),(DAYS360(BL$6,$B18)/30)-SUM(BL$12:BL17))),1))</f>
        <v>0</v>
      </c>
    </row>
    <row r="19" spans="1:66" ht="15.75" hidden="1" x14ac:dyDescent="0.25">
      <c r="A19" s="134">
        <f t="shared" si="1"/>
        <v>46600</v>
      </c>
      <c r="B19" s="134">
        <f t="shared" si="1"/>
        <v>46965</v>
      </c>
      <c r="C19" s="135">
        <f>(1+C$13)*(1+C$13)^6-1</f>
        <v>0.16454498798242567</v>
      </c>
      <c r="F19" s="138">
        <f>IF(F$10=0,0,ROUND(IF(F$6&gt;$B19,0,IF(F$7&lt;$B19,F$10-SUM(F$12:F18),(DAYS360(F$6,$B19)/30)-SUM(F$12:F18))),1))</f>
        <v>0</v>
      </c>
      <c r="G19" s="124"/>
      <c r="H19" s="138">
        <f>IF(H$10=0,0,ROUND(IF(H$6&gt;$B19,0,IF(H$7&lt;$B19,H$10-SUM(H$12:H18),(DAYS360(H$6,$B19)/30)-SUM(H$12:H18))),1))</f>
        <v>0</v>
      </c>
      <c r="I19" s="124"/>
      <c r="J19" s="138">
        <f>IF(J$10=0,0,ROUND(IF(J$6&gt;$B19,0,IF(J$7&lt;$B19,J$10-SUM(J$12:J18),(DAYS360(J$6,$B19)/30)-SUM(J$12:J18))),1))</f>
        <v>0</v>
      </c>
      <c r="K19" s="124"/>
      <c r="L19" s="138">
        <f>IF(L$10=0,0,ROUND(IF(L$6&gt;$B19,0,IF(L$7&lt;$B19,L$10-SUM(L$12:L18),(DAYS360(L$6,$B19)/30)-SUM(L$12:L18))),1))</f>
        <v>0</v>
      </c>
      <c r="M19" s="124"/>
      <c r="N19" s="138">
        <f>IF(N$10=0,0,ROUND(IF(N$6&gt;$B19,0,IF(N$7&lt;$B19,N$10-SUM(N$12:N18),(DAYS360(N$6,$B19)/30)-SUM(N$12:N18))),1))</f>
        <v>0</v>
      </c>
      <c r="O19" s="124"/>
      <c r="P19" s="138">
        <f>IF(P$10=0,0,ROUND(IF(P$6&gt;$B19,0,IF(P$7&lt;$B19,P$10-SUM(P$12:P18),(DAYS360(P$6,$B19)/30)-SUM(P$12:P18))),1))</f>
        <v>0</v>
      </c>
      <c r="Q19" s="124"/>
      <c r="R19" s="138">
        <f>IF(R$10=0,0,ROUND(IF(R$6&gt;$B19,0,IF(R$7&lt;$B19,R$10-SUM(R$12:R18),(DAYS360(R$6,$B19)/30)-SUM(R$12:R18))),1))</f>
        <v>0</v>
      </c>
      <c r="S19" s="124"/>
      <c r="T19" s="138">
        <f>IF(T$10=0,0,ROUND(IF(T$6&gt;$B19,0,IF(T$7&lt;$B19,T$10-SUM(T$12:T18),(DAYS360(T$6,$B19)/30)-SUM(T$12:T18))),1))</f>
        <v>0</v>
      </c>
      <c r="U19" s="124"/>
      <c r="V19" s="138">
        <f>IF(V$10=0,0,ROUND(IF(V$6&gt;$B19,0,IF(V$7&lt;$B19,V$10-SUM(V$12:V18),(DAYS360(V$6,$B19)/30)-SUM(V$12:V18))),1))</f>
        <v>0</v>
      </c>
      <c r="W19" s="124"/>
      <c r="X19" s="138">
        <f>IF(X$10=0,0,ROUND(IF(X$6&gt;$B19,0,IF(X$7&lt;$B19,X$10-SUM(X$12:X18),(DAYS360(X$6,$B19)/30)-SUM(X$12:X18))),1))</f>
        <v>0</v>
      </c>
      <c r="Y19" s="124"/>
      <c r="Z19" s="138">
        <f>IF(Z$10=0,0,ROUND(IF(Z$6&gt;$B19,0,IF(Z$7&lt;$B19,Z$10-SUM(Z$12:Z18),(DAYS360(Z$6,$B19)/30)-SUM(Z$12:Z18))),1))</f>
        <v>0</v>
      </c>
      <c r="AA19" s="124"/>
      <c r="AB19" s="138">
        <f>IF(AB$10=0,0,ROUND(IF(AB$6&gt;$B19,0,IF(AB$7&lt;$B19,AB$10-SUM(AB$12:AB18),(DAYS360(AB$6,$B19)/30)-SUM(AB$12:AB18))),1))</f>
        <v>0</v>
      </c>
      <c r="AC19" s="124"/>
      <c r="AD19" s="138">
        <f>IF(AD$10=0,0,ROUND(IF(AD$6&gt;$B19,0,IF(AD$7&lt;$B19,AD$10-SUM(AD$12:AD18),(DAYS360(AD$6,$B19)/30)-SUM(AD$12:AD18))),1))</f>
        <v>0</v>
      </c>
      <c r="AE19" s="124"/>
      <c r="AF19" s="138">
        <f>IF(AF$10=0,0,ROUND(IF(AF$6&gt;$B19,0,IF(AF$7&lt;$B19,AF$10-SUM(AF$12:AF18),(DAYS360(AF$6,$B19)/30)-SUM(AF$12:AF18))),1))</f>
        <v>0</v>
      </c>
      <c r="AG19" s="124"/>
      <c r="AH19" s="138">
        <f>IF(AH$10=0,0,ROUND(IF(AH$6&gt;$B19,0,IF(AH$7&lt;$B19,AH$10-SUM(AH$12:AH18),(DAYS360(AH$6,$B19)/30)-SUM(AH$12:AH18))),1))</f>
        <v>0</v>
      </c>
      <c r="AI19" s="124"/>
      <c r="AJ19" s="138">
        <f>IF(AJ$10=0,0,ROUND(IF(AJ$6&gt;$B19,0,IF(AJ$7&lt;$B19,AJ$10-SUM(AJ$12:AJ18),(DAYS360(AJ$6,$B19)/30)-SUM(AJ$12:AJ18))),1))</f>
        <v>0</v>
      </c>
      <c r="AK19" s="124"/>
      <c r="AL19" s="138">
        <f>IF(AL$10=0,0,ROUND(IF(AL$6&gt;$B19,0,IF(AL$7&lt;$B19,AL$10-SUM(AL$12:AL18),(DAYS360(AL$6,$B19)/30)-SUM(AL$12:AL18))),1))</f>
        <v>0</v>
      </c>
      <c r="AM19" s="124"/>
      <c r="AN19" s="138">
        <f>IF(AN$10=0,0,ROUND(IF(AN$6&gt;$B19,0,IF(AN$7&lt;$B19,AN$10-SUM(AN$12:AN18),(DAYS360(AN$6,$B19)/30)-SUM(AN$12:AN18))),1))</f>
        <v>0</v>
      </c>
      <c r="AO19" s="124"/>
      <c r="AP19" s="138">
        <f>IF(AP$10=0,0,ROUND(IF(AP$6&gt;$B19,0,IF(AP$7&lt;$B19,AP$10-SUM(AP$12:AP18),(DAYS360(AP$6,$B19)/30)-SUM(AP$12:AP18))),1))</f>
        <v>0</v>
      </c>
      <c r="AQ19" s="124"/>
      <c r="AR19" s="138">
        <f>IF(AR$10=0,0,ROUND(IF(AR$6&gt;$B19,0,IF(AR$7&lt;$B19,AR$10-SUM(AR$12:AR18),(DAYS360(AR$6,$B19)/30)-SUM(AR$12:AR18))),1))</f>
        <v>0</v>
      </c>
      <c r="AS19" s="124"/>
      <c r="AT19" s="138">
        <f>IF(AT$10=0,0,ROUND(IF(AT$6&gt;$B19,0,IF(AT$7&lt;$B19,AT$10-SUM(AT$12:AT18),(DAYS360(AT$6,$B19)/30)-SUM(AT$12:AT18))),1))</f>
        <v>0</v>
      </c>
      <c r="AU19" s="124"/>
      <c r="AV19" s="138">
        <f>IF(AV$10=0,0,ROUND(IF(AV$6&gt;$B19,0,IF(AV$7&lt;$B19,AV$10-SUM(AV$12:AV18),(DAYS360(AV$6,$B19)/30)-SUM(AV$12:AV18))),1))</f>
        <v>0</v>
      </c>
      <c r="AW19" s="124"/>
      <c r="AX19" s="138">
        <f>IF(AX$10=0,0,ROUND(IF(AX$6&gt;$B19,0,IF(AX$7&lt;$B19,AX$10-SUM(AX$12:AX18),(DAYS360(AX$6,$B19)/30)-SUM(AX$12:AX18))),1))</f>
        <v>0</v>
      </c>
      <c r="AY19" s="124"/>
      <c r="AZ19" s="138">
        <f>IF(AZ$10=0,0,ROUND(IF(AZ$6&gt;$B19,0,IF(AZ$7&lt;$B19,AZ$10-SUM(AZ$12:AZ18),(DAYS360(AZ$6,$B19)/30)-SUM(AZ$12:AZ18))),1))</f>
        <v>0</v>
      </c>
      <c r="BA19" s="124"/>
      <c r="BB19" s="138">
        <f>IF(BB$10=0,0,ROUND(IF(BB$6&gt;$B19,0,IF(BB$7&lt;$B19,BB$10-SUM(BB$12:BB18),(DAYS360(BB$6,$B19)/30)-SUM(BB$12:BB18))),1))</f>
        <v>0</v>
      </c>
      <c r="BC19" s="124"/>
      <c r="BD19" s="138">
        <f>IF(BD$10=0,0,ROUND(IF(BD$6&gt;$B19,0,IF(BD$7&lt;$B19,BD$10-SUM(BD$12:BD18),(DAYS360(BD$6,$B19)/30)-SUM(BD$12:BD18))),1))</f>
        <v>0</v>
      </c>
      <c r="BE19" s="124"/>
      <c r="BF19" s="138">
        <f>IF(BF$10=0,0,ROUND(IF(BF$6&gt;$B19,0,IF(BF$7&lt;$B19,BF$10-SUM(BF$12:BF18),(DAYS360(BF$6,$B19)/30)-SUM(BF$12:BF18))),1))</f>
        <v>0</v>
      </c>
      <c r="BG19" s="124"/>
      <c r="BH19" s="138">
        <f>IF(BH$10=0,0,ROUND(IF(BH$6&gt;$B19,0,IF(BH$7&lt;$B19,BH$10-SUM(BH$12:BH18),(DAYS360(BH$6,$B19)/30)-SUM(BH$12:BH18))),1))</f>
        <v>0</v>
      </c>
      <c r="BI19" s="124"/>
      <c r="BJ19" s="138">
        <f>IF(BJ$10=0,0,ROUND(IF(BJ$6&gt;$B19,0,IF(BJ$7&lt;$B19,BJ$10-SUM(BJ$12:BJ18),(DAYS360(BJ$6,$B19)/30)-SUM(BJ$12:BJ18))),1))</f>
        <v>0</v>
      </c>
      <c r="BK19" s="124"/>
      <c r="BL19" s="138">
        <f>IF(BL$10=0,0,ROUND(IF(BL$6&gt;$B19,0,IF(BL$7&lt;$B19,BL$10-SUM(BL$12:BL18),(DAYS360(BL$6,$B19)/30)-SUM(BL$12:BL18))),1))</f>
        <v>0</v>
      </c>
    </row>
    <row r="20" spans="1:66" ht="15.75" hidden="1" x14ac:dyDescent="0.25">
      <c r="A20" s="134">
        <f t="shared" si="1"/>
        <v>46966</v>
      </c>
      <c r="B20" s="134">
        <f>DATE(YEAR(B19)+1,MONTH(B19),DAY(B19))</f>
        <v>47330</v>
      </c>
      <c r="C20" s="135">
        <f>(1+C$13)*(1+C$13)^7-1</f>
        <v>0.19016497771803897</v>
      </c>
      <c r="F20" s="138">
        <f>IF(F$10=0,0,ROUND(IF(F$6&gt;$B20,0,IF(F$7&lt;$B20,F$10-SUM(F$12:F19),(DAYS360(F$6,$B20)/30)-SUM(F$12:F19))),1))</f>
        <v>0</v>
      </c>
      <c r="G20" s="124"/>
      <c r="H20" s="138">
        <f>IF(H$10=0,0,ROUND(IF(H$6&gt;$B20,0,IF(H$7&lt;$B20,H$10-SUM(H$12:H19),(DAYS360(H$6,$B20)/30)-SUM(H$12:H19))),1))</f>
        <v>0</v>
      </c>
      <c r="I20" s="124"/>
      <c r="J20" s="138">
        <f>IF(J$10=0,0,ROUND(IF(J$6&gt;$B20,0,IF(J$7&lt;$B20,J$10-SUM(J$12:J19),(DAYS360(J$6,$B20)/30)-SUM(J$12:J19))),1))</f>
        <v>0</v>
      </c>
      <c r="K20" s="124"/>
      <c r="L20" s="138">
        <f>IF(L$10=0,0,ROUND(IF(L$6&gt;$B20,0,IF(L$7&lt;$B20,L$10-SUM(L$12:L19),(DAYS360(L$6,$B20)/30)-SUM(L$12:L19))),1))</f>
        <v>0</v>
      </c>
      <c r="M20" s="124"/>
      <c r="N20" s="138">
        <f>IF(N$10=0,0,ROUND(IF(N$6&gt;$B20,0,IF(N$7&lt;$B20,N$10-SUM(N$12:N19),(DAYS360(N$6,$B20)/30)-SUM(N$12:N19))),1))</f>
        <v>0</v>
      </c>
      <c r="O20" s="124"/>
      <c r="P20" s="138">
        <f>IF(P$10=0,0,ROUND(IF(P$6&gt;$B20,0,IF(P$7&lt;$B20,P$10-SUM(P$12:P19),(DAYS360(P$6,$B20)/30)-SUM(P$12:P19))),1))</f>
        <v>0</v>
      </c>
      <c r="Q20" s="124"/>
      <c r="R20" s="138">
        <f>IF(R$10=0,0,ROUND(IF(R$6&gt;$B20,0,IF(R$7&lt;$B20,R$10-SUM(R$12:R19),(DAYS360(R$6,$B20)/30)-SUM(R$12:R19))),1))</f>
        <v>0</v>
      </c>
      <c r="S20" s="124"/>
      <c r="T20" s="138">
        <f>IF(T$10=0,0,ROUND(IF(T$6&gt;$B20,0,IF(T$7&lt;$B20,T$10-SUM(T$12:T19),(DAYS360(T$6,$B20)/30)-SUM(T$12:T19))),1))</f>
        <v>0</v>
      </c>
      <c r="U20" s="124"/>
      <c r="V20" s="138">
        <f>IF(V$10=0,0,ROUND(IF(V$6&gt;$B20,0,IF(V$7&lt;$B20,V$10-SUM(V$12:V19),(DAYS360(V$6,$B20)/30)-SUM(V$12:V19))),1))</f>
        <v>0</v>
      </c>
      <c r="W20" s="124"/>
      <c r="X20" s="138">
        <f>IF(X$10=0,0,ROUND(IF(X$6&gt;$B20,0,IF(X$7&lt;$B20,X$10-SUM(X$12:X19),(DAYS360(X$6,$B20)/30)-SUM(X$12:X19))),1))</f>
        <v>0</v>
      </c>
      <c r="Y20" s="124"/>
      <c r="Z20" s="138">
        <f>IF(Z$10=0,0,ROUND(IF(Z$6&gt;$B20,0,IF(Z$7&lt;$B20,Z$10-SUM(Z$12:Z19),(DAYS360(Z$6,$B20)/30)-SUM(Z$12:Z19))),1))</f>
        <v>0</v>
      </c>
      <c r="AA20" s="124"/>
      <c r="AB20" s="138">
        <f>IF(AB$10=0,0,ROUND(IF(AB$6&gt;$B20,0,IF(AB$7&lt;$B20,AB$10-SUM(AB$12:AB19),(DAYS360(AB$6,$B20)/30)-SUM(AB$12:AB19))),1))</f>
        <v>0</v>
      </c>
      <c r="AC20" s="124"/>
      <c r="AD20" s="138">
        <f>IF(AD$10=0,0,ROUND(IF(AD$6&gt;$B20,0,IF(AD$7&lt;$B20,AD$10-SUM(AD$12:AD19),(DAYS360(AD$6,$B20)/30)-SUM(AD$12:AD19))),1))</f>
        <v>0</v>
      </c>
      <c r="AE20" s="124"/>
      <c r="AF20" s="138">
        <f>IF(AF$10=0,0,ROUND(IF(AF$6&gt;$B20,0,IF(AF$7&lt;$B20,AF$10-SUM(AF$12:AF19),(DAYS360(AF$6,$B20)/30)-SUM(AF$12:AF19))),1))</f>
        <v>0</v>
      </c>
      <c r="AG20" s="124"/>
      <c r="AH20" s="138">
        <f>IF(AH$10=0,0,ROUND(IF(AH$6&gt;$B20,0,IF(AH$7&lt;$B20,AH$10-SUM(AH$12:AH19),(DAYS360(AH$6,$B20)/30)-SUM(AH$12:AH19))),1))</f>
        <v>0</v>
      </c>
      <c r="AI20" s="124"/>
      <c r="AJ20" s="138">
        <f>IF(AJ$10=0,0,ROUND(IF(AJ$6&gt;$B20,0,IF(AJ$7&lt;$B20,AJ$10-SUM(AJ$12:AJ19),(DAYS360(AJ$6,$B20)/30)-SUM(AJ$12:AJ19))),1))</f>
        <v>0</v>
      </c>
      <c r="AK20" s="124"/>
      <c r="AL20" s="138">
        <f>IF(AL$10=0,0,ROUND(IF(AL$6&gt;$B20,0,IF(AL$7&lt;$B20,AL$10-SUM(AL$12:AL19),(DAYS360(AL$6,$B20)/30)-SUM(AL$12:AL19))),1))</f>
        <v>0</v>
      </c>
      <c r="AM20" s="124"/>
      <c r="AN20" s="138">
        <f>IF(AN$10=0,0,ROUND(IF(AN$6&gt;$B20,0,IF(AN$7&lt;$B20,AN$10-SUM(AN$12:AN19),(DAYS360(AN$6,$B20)/30)-SUM(AN$12:AN19))),1))</f>
        <v>0</v>
      </c>
      <c r="AO20" s="124"/>
      <c r="AP20" s="138">
        <f>IF(AP$10=0,0,ROUND(IF(AP$6&gt;$B20,0,IF(AP$7&lt;$B20,AP$10-SUM(AP$12:AP19),(DAYS360(AP$6,$B20)/30)-SUM(AP$12:AP19))),1))</f>
        <v>0</v>
      </c>
      <c r="AQ20" s="124"/>
      <c r="AR20" s="138">
        <f>IF(AR$10=0,0,ROUND(IF(AR$6&gt;$B20,0,IF(AR$7&lt;$B20,AR$10-SUM(AR$12:AR19),(DAYS360(AR$6,$B20)/30)-SUM(AR$12:AR19))),1))</f>
        <v>0</v>
      </c>
      <c r="AS20" s="124"/>
      <c r="AT20" s="138">
        <f>IF(AT$10=0,0,ROUND(IF(AT$6&gt;$B20,0,IF(AT$7&lt;$B20,AT$10-SUM(AT$12:AT19),(DAYS360(AT$6,$B20)/30)-SUM(AT$12:AT19))),1))</f>
        <v>0</v>
      </c>
      <c r="AU20" s="124"/>
      <c r="AV20" s="138">
        <f>IF(AV$10=0,0,ROUND(IF(AV$6&gt;$B20,0,IF(AV$7&lt;$B20,AV$10-SUM(AV$12:AV19),(DAYS360(AV$6,$B20)/30)-SUM(AV$12:AV19))),1))</f>
        <v>0</v>
      </c>
      <c r="AW20" s="124"/>
      <c r="AX20" s="138">
        <f>IF(AX$10=0,0,ROUND(IF(AX$6&gt;$B20,0,IF(AX$7&lt;$B20,AX$10-SUM(AX$12:AX19),(DAYS360(AX$6,$B20)/30)-SUM(AX$12:AX19))),1))</f>
        <v>0</v>
      </c>
      <c r="AY20" s="124"/>
      <c r="AZ20" s="138">
        <f>IF(AZ$10=0,0,ROUND(IF(AZ$6&gt;$B20,0,IF(AZ$7&lt;$B20,AZ$10-SUM(AZ$12:AZ19),(DAYS360(AZ$6,$B20)/30)-SUM(AZ$12:AZ19))),1))</f>
        <v>0</v>
      </c>
      <c r="BA20" s="124"/>
      <c r="BB20" s="138">
        <f>IF(BB$10=0,0,ROUND(IF(BB$6&gt;$B20,0,IF(BB$7&lt;$B20,BB$10-SUM(BB$12:BB19),(DAYS360(BB$6,$B20)/30)-SUM(BB$12:BB19))),1))</f>
        <v>0</v>
      </c>
      <c r="BC20" s="124"/>
      <c r="BD20" s="138">
        <f>IF(BD$10=0,0,ROUND(IF(BD$6&gt;$B20,0,IF(BD$7&lt;$B20,BD$10-SUM(BD$12:BD19),(DAYS360(BD$6,$B20)/30)-SUM(BD$12:BD19))),1))</f>
        <v>0</v>
      </c>
      <c r="BE20" s="124"/>
      <c r="BF20" s="138">
        <f>IF(BF$10=0,0,ROUND(IF(BF$6&gt;$B20,0,IF(BF$7&lt;$B20,BF$10-SUM(BF$12:BF19),(DAYS360(BF$6,$B20)/30)-SUM(BF$12:BF19))),1))</f>
        <v>0</v>
      </c>
      <c r="BG20" s="124"/>
      <c r="BH20" s="138">
        <f>IF(BH$10=0,0,ROUND(IF(BH$6&gt;$B20,0,IF(BH$7&lt;$B20,BH$10-SUM(BH$12:BH19),(DAYS360(BH$6,$B20)/30)-SUM(BH$12:BH19))),1))</f>
        <v>0</v>
      </c>
      <c r="BI20" s="124"/>
      <c r="BJ20" s="138">
        <f>IF(BJ$10=0,0,ROUND(IF(BJ$6&gt;$B20,0,IF(BJ$7&lt;$B20,BJ$10-SUM(BJ$12:BJ19),(DAYS360(BJ$6,$B20)/30)-SUM(BJ$12:BJ19))),1))</f>
        <v>0</v>
      </c>
      <c r="BK20" s="124"/>
      <c r="BL20" s="138">
        <f>IF(BL$10=0,0,ROUND(IF(BL$6&gt;$B20,0,IF(BL$7&lt;$B20,BL$10-SUM(BL$12:BL19),(DAYS360(BL$6,$B20)/30)-SUM(BL$12:BL19))),1))</f>
        <v>0</v>
      </c>
    </row>
    <row r="21" spans="1:66" ht="15.75" hidden="1" x14ac:dyDescent="0.25">
      <c r="A21" s="134">
        <f t="shared" si="1"/>
        <v>47331</v>
      </c>
      <c r="B21" s="134">
        <f>DATE(YEAR(B20)+1,MONTH(B20),DAY(B20))</f>
        <v>47695</v>
      </c>
      <c r="C21" s="135">
        <f>(1+C$13)*(1+C$13)^8-1</f>
        <v>0.216348607227836</v>
      </c>
      <c r="F21" s="138">
        <f>IF(F$10=0,0,ROUND(IF(F$6&gt;$B21,0,IF(F$7&lt;$B21,F$10-SUM(F$12:F20),(DAYS360(F$6,$B21)/30)-SUM(F$12:F20))),1))</f>
        <v>0</v>
      </c>
      <c r="G21" s="124"/>
      <c r="H21" s="138">
        <f>IF(H$10=0,0,ROUND(IF(H$6&gt;$B21,0,IF(H$7&lt;$B21,H$10-SUM(H$12:H20),(DAYS360(H$6,$B21)/30)-SUM(H$12:H20))),1))</f>
        <v>0</v>
      </c>
      <c r="I21" s="124"/>
      <c r="J21" s="138">
        <f>IF(J$10=0,0,ROUND(IF(J$6&gt;$B21,0,IF(J$7&lt;$B21,J$10-SUM(J$12:J20),(DAYS360(J$6,$B21)/30)-SUM(J$12:J20))),1))</f>
        <v>0</v>
      </c>
      <c r="K21" s="124"/>
      <c r="L21" s="138">
        <f>IF(L$10=0,0,ROUND(IF(L$6&gt;$B21,0,IF(L$7&lt;$B21,L$10-SUM(L$12:L20),(DAYS360(L$6,$B21)/30)-SUM(L$12:L20))),1))</f>
        <v>0</v>
      </c>
      <c r="M21" s="124"/>
      <c r="N21" s="138">
        <f>IF(N$10=0,0,ROUND(IF(N$6&gt;$B21,0,IF(N$7&lt;$B21,N$10-SUM(N$12:N20),(DAYS360(N$6,$B21)/30)-SUM(N$12:N20))),1))</f>
        <v>0</v>
      </c>
      <c r="O21" s="124"/>
      <c r="P21" s="138">
        <f>IF(P$10=0,0,ROUND(IF(P$6&gt;$B21,0,IF(P$7&lt;$B21,P$10-SUM(P$12:P20),(DAYS360(P$6,$B21)/30)-SUM(P$12:P20))),1))</f>
        <v>0</v>
      </c>
      <c r="Q21" s="124"/>
      <c r="R21" s="138">
        <f>IF(R$10=0,0,ROUND(IF(R$6&gt;$B21,0,IF(R$7&lt;$B21,R$10-SUM(R$12:R20),(DAYS360(R$6,$B21)/30)-SUM(R$12:R20))),1))</f>
        <v>0</v>
      </c>
      <c r="S21" s="124"/>
      <c r="T21" s="138">
        <f>IF(T$10=0,0,ROUND(IF(T$6&gt;$B21,0,IF(T$7&lt;$B21,T$10-SUM(T$12:T20),(DAYS360(T$6,$B21)/30)-SUM(T$12:T20))),1))</f>
        <v>0</v>
      </c>
      <c r="U21" s="124"/>
      <c r="V21" s="138">
        <f>IF(V$10=0,0,ROUND(IF(V$6&gt;$B21,0,IF(V$7&lt;$B21,V$10-SUM(V$12:V20),(DAYS360(V$6,$B21)/30)-SUM(V$12:V20))),1))</f>
        <v>0</v>
      </c>
      <c r="W21" s="124"/>
      <c r="X21" s="138">
        <f>IF(X$10=0,0,ROUND(IF(X$6&gt;$B21,0,IF(X$7&lt;$B21,X$10-SUM(X$12:X20),(DAYS360(X$6,$B21)/30)-SUM(X$12:X20))),1))</f>
        <v>0</v>
      </c>
      <c r="Y21" s="124"/>
      <c r="Z21" s="138">
        <f>IF(Z$10=0,0,ROUND(IF(Z$6&gt;$B21,0,IF(Z$7&lt;$B21,Z$10-SUM(Z$12:Z20),(DAYS360(Z$6,$B21)/30)-SUM(Z$12:Z20))),1))</f>
        <v>0</v>
      </c>
      <c r="AA21" s="124"/>
      <c r="AB21" s="138">
        <f>IF(AB$10=0,0,ROUND(IF(AB$6&gt;$B21,0,IF(AB$7&lt;$B21,AB$10-SUM(AB$12:AB20),(DAYS360(AB$6,$B21)/30)-SUM(AB$12:AB20))),1))</f>
        <v>0</v>
      </c>
      <c r="AC21" s="124"/>
      <c r="AD21" s="138">
        <f>IF(AD$10=0,0,ROUND(IF(AD$6&gt;$B21,0,IF(AD$7&lt;$B21,AD$10-SUM(AD$12:AD20),(DAYS360(AD$6,$B21)/30)-SUM(AD$12:AD20))),1))</f>
        <v>0</v>
      </c>
      <c r="AE21" s="124"/>
      <c r="AF21" s="138">
        <f>IF(AF$10=0,0,ROUND(IF(AF$6&gt;$B21,0,IF(AF$7&lt;$B21,AF$10-SUM(AF$12:AF20),(DAYS360(AF$6,$B21)/30)-SUM(AF$12:AF20))),1))</f>
        <v>0</v>
      </c>
      <c r="AG21" s="124"/>
      <c r="AH21" s="138">
        <f>IF(AH$10=0,0,ROUND(IF(AH$6&gt;$B21,0,IF(AH$7&lt;$B21,AH$10-SUM(AH$12:AH20),(DAYS360(AH$6,$B21)/30)-SUM(AH$12:AH20))),1))</f>
        <v>0</v>
      </c>
      <c r="AI21" s="124"/>
      <c r="AJ21" s="138">
        <f>IF(AJ$10=0,0,ROUND(IF(AJ$6&gt;$B21,0,IF(AJ$7&lt;$B21,AJ$10-SUM(AJ$12:AJ20),(DAYS360(AJ$6,$B21)/30)-SUM(AJ$12:AJ20))),1))</f>
        <v>0</v>
      </c>
      <c r="AK21" s="124"/>
      <c r="AL21" s="138">
        <f>IF(AL$10=0,0,ROUND(IF(AL$6&gt;$B21,0,IF(AL$7&lt;$B21,AL$10-SUM(AL$12:AL20),(DAYS360(AL$6,$B21)/30)-SUM(AL$12:AL20))),1))</f>
        <v>0</v>
      </c>
      <c r="AM21" s="124"/>
      <c r="AN21" s="138">
        <f>IF(AN$10=0,0,ROUND(IF(AN$6&gt;$B21,0,IF(AN$7&lt;$B21,AN$10-SUM(AN$12:AN20),(DAYS360(AN$6,$B21)/30)-SUM(AN$12:AN20))),1))</f>
        <v>0</v>
      </c>
      <c r="AO21" s="124"/>
      <c r="AP21" s="138">
        <f>IF(AP$10=0,0,ROUND(IF(AP$6&gt;$B21,0,IF(AP$7&lt;$B21,AP$10-SUM(AP$12:AP20),(DAYS360(AP$6,$B21)/30)-SUM(AP$12:AP20))),1))</f>
        <v>0</v>
      </c>
      <c r="AQ21" s="124"/>
      <c r="AR21" s="138">
        <f>IF(AR$10=0,0,ROUND(IF(AR$6&gt;$B21,0,IF(AR$7&lt;$B21,AR$10-SUM(AR$12:AR20),(DAYS360(AR$6,$B21)/30)-SUM(AR$12:AR20))),1))</f>
        <v>0</v>
      </c>
      <c r="AS21" s="124"/>
      <c r="AT21" s="138">
        <f>IF(AT$10=0,0,ROUND(IF(AT$6&gt;$B21,0,IF(AT$7&lt;$B21,AT$10-SUM(AT$12:AT20),(DAYS360(AT$6,$B21)/30)-SUM(AT$12:AT20))),1))</f>
        <v>0</v>
      </c>
      <c r="AU21" s="124"/>
      <c r="AV21" s="138">
        <f>IF(AV$10=0,0,ROUND(IF(AV$6&gt;$B21,0,IF(AV$7&lt;$B21,AV$10-SUM(AV$12:AV20),(DAYS360(AV$6,$B21)/30)-SUM(AV$12:AV20))),1))</f>
        <v>0</v>
      </c>
      <c r="AW21" s="124"/>
      <c r="AX21" s="138">
        <f>IF(AX$10=0,0,ROUND(IF(AX$6&gt;$B21,0,IF(AX$7&lt;$B21,AX$10-SUM(AX$12:AX20),(DAYS360(AX$6,$B21)/30)-SUM(AX$12:AX20))),1))</f>
        <v>0</v>
      </c>
      <c r="AY21" s="124"/>
      <c r="AZ21" s="138">
        <f>IF(AZ$10=0,0,ROUND(IF(AZ$6&gt;$B21,0,IF(AZ$7&lt;$B21,AZ$10-SUM(AZ$12:AZ20),(DAYS360(AZ$6,$B21)/30)-SUM(AZ$12:AZ20))),1))</f>
        <v>0</v>
      </c>
      <c r="BA21" s="124"/>
      <c r="BB21" s="138">
        <f>IF(BB$10=0,0,ROUND(IF(BB$6&gt;$B21,0,IF(BB$7&lt;$B21,BB$10-SUM(BB$12:BB20),(DAYS360(BB$6,$B21)/30)-SUM(BB$12:BB20))),1))</f>
        <v>0</v>
      </c>
      <c r="BC21" s="124"/>
      <c r="BD21" s="138">
        <f>IF(BD$10=0,0,ROUND(IF(BD$6&gt;$B21,0,IF(BD$7&lt;$B21,BD$10-SUM(BD$12:BD20),(DAYS360(BD$6,$B21)/30)-SUM(BD$12:BD20))),1))</f>
        <v>0</v>
      </c>
      <c r="BE21" s="124"/>
      <c r="BF21" s="138">
        <f>IF(BF$10=0,0,ROUND(IF(BF$6&gt;$B21,0,IF(BF$7&lt;$B21,BF$10-SUM(BF$12:BF20),(DAYS360(BF$6,$B21)/30)-SUM(BF$12:BF20))),1))</f>
        <v>0</v>
      </c>
      <c r="BG21" s="124"/>
      <c r="BH21" s="138">
        <f>IF(BH$10=0,0,ROUND(IF(BH$6&gt;$B21,0,IF(BH$7&lt;$B21,BH$10-SUM(BH$12:BH20),(DAYS360(BH$6,$B21)/30)-SUM(BH$12:BH20))),1))</f>
        <v>0</v>
      </c>
      <c r="BI21" s="124"/>
      <c r="BJ21" s="138">
        <f>IF(BJ$10=0,0,ROUND(IF(BJ$6&gt;$B21,0,IF(BJ$7&lt;$B21,BJ$10-SUM(BJ$12:BJ20),(DAYS360(BJ$6,$B21)/30)-SUM(BJ$12:BJ20))),1))</f>
        <v>0</v>
      </c>
      <c r="BK21" s="124"/>
      <c r="BL21" s="138">
        <f>IF(BL$10=0,0,ROUND(IF(BL$6&gt;$B21,0,IF(BL$7&lt;$B21,BL$10-SUM(BL$12:BL20),(DAYS360(BL$6,$B21)/30)-SUM(BL$12:BL20))),1))</f>
        <v>0</v>
      </c>
    </row>
    <row r="22" spans="1:66" ht="15.75" hidden="1" x14ac:dyDescent="0.25">
      <c r="A22" s="134">
        <f t="shared" si="1"/>
        <v>47696</v>
      </c>
      <c r="B22" s="134">
        <f t="shared" si="1"/>
        <v>48060</v>
      </c>
      <c r="C22" s="135">
        <f>(1+C$13)*(1+C$13)^9-1</f>
        <v>0.24310827658684842</v>
      </c>
      <c r="F22" s="138">
        <f>IF(F$10=0,0,ROUND(IF(F$6&gt;$B22,0,IF(F$7&lt;$B22,F$10-SUM(F$12:F21),(DAYS360(F$6,$B22)/30)-SUM(F$12:F21))),1))</f>
        <v>0</v>
      </c>
      <c r="G22" s="124"/>
      <c r="H22" s="138">
        <f>IF(H$10=0,0,ROUND(IF(H$6&gt;$B22,0,IF(H$7&lt;$B22,H$10-SUM(H$12:H21),(DAYS360(H$6,$B22)/30)-SUM(H$12:H21))),1))</f>
        <v>0</v>
      </c>
      <c r="I22" s="124"/>
      <c r="J22" s="138">
        <f>IF(J$10=0,0,ROUND(IF(J$6&gt;$B22,0,IF(J$7&lt;$B22,J$10-SUM(J$12:J21),(DAYS360(J$6,$B22)/30)-SUM(J$12:J21))),1))</f>
        <v>0</v>
      </c>
      <c r="K22" s="124"/>
      <c r="L22" s="138">
        <f>IF(L$10=0,0,ROUND(IF(L$6&gt;$B22,0,IF(L$7&lt;$B22,L$10-SUM(L$12:L21),(DAYS360(L$6,$B22)/30)-SUM(L$12:L21))),1))</f>
        <v>0</v>
      </c>
      <c r="M22" s="124"/>
      <c r="N22" s="138">
        <f>IF(N$10=0,0,ROUND(IF(N$6&gt;$B22,0,IF(N$7&lt;$B22,N$10-SUM(N$12:N21),(DAYS360(N$6,$B22)/30)-SUM(N$12:N21))),1))</f>
        <v>0</v>
      </c>
      <c r="O22" s="124"/>
      <c r="P22" s="138">
        <f>IF(P$10=0,0,ROUND(IF(P$6&gt;$B22,0,IF(P$7&lt;$B22,P$10-SUM(P$12:P21),(DAYS360(P$6,$B22)/30)-SUM(P$12:P21))),1))</f>
        <v>0</v>
      </c>
      <c r="Q22" s="124"/>
      <c r="R22" s="138">
        <f>IF(R$10=0,0,ROUND(IF(R$6&gt;$B22,0,IF(R$7&lt;$B22,R$10-SUM(R$12:R21),(DAYS360(R$6,$B22)/30)-SUM(R$12:R21))),1))</f>
        <v>0</v>
      </c>
      <c r="S22" s="124"/>
      <c r="T22" s="138">
        <f>IF(T$10=0,0,ROUND(IF(T$6&gt;$B22,0,IF(T$7&lt;$B22,T$10-SUM(T$12:T21),(DAYS360(T$6,$B22)/30)-SUM(T$12:T21))),1))</f>
        <v>0</v>
      </c>
      <c r="U22" s="124"/>
      <c r="V22" s="138">
        <f>IF(V$10=0,0,ROUND(IF(V$6&gt;$B22,0,IF(V$7&lt;$B22,V$10-SUM(V$12:V21),(DAYS360(V$6,$B22)/30)-SUM(V$12:V21))),1))</f>
        <v>0</v>
      </c>
      <c r="W22" s="124"/>
      <c r="X22" s="138">
        <f>IF(X$10=0,0,ROUND(IF(X$6&gt;$B22,0,IF(X$7&lt;$B22,X$10-SUM(X$12:X21),(DAYS360(X$6,$B22)/30)-SUM(X$12:X21))),1))</f>
        <v>0</v>
      </c>
      <c r="Y22" s="124"/>
      <c r="Z22" s="138">
        <f>IF(Z$10=0,0,ROUND(IF(Z$6&gt;$B22,0,IF(Z$7&lt;$B22,Z$10-SUM(Z$12:Z21),(DAYS360(Z$6,$B22)/30)-SUM(Z$12:Z21))),1))</f>
        <v>0</v>
      </c>
      <c r="AA22" s="124"/>
      <c r="AB22" s="138">
        <f>IF(AB$10=0,0,ROUND(IF(AB$6&gt;$B22,0,IF(AB$7&lt;$B22,AB$10-SUM(AB$12:AB21),(DAYS360(AB$6,$B22)/30)-SUM(AB$12:AB21))),1))</f>
        <v>0</v>
      </c>
      <c r="AC22" s="124"/>
      <c r="AD22" s="138">
        <f>IF(AD$10=0,0,ROUND(IF(AD$6&gt;$B22,0,IF(AD$7&lt;$B22,AD$10-SUM(AD$12:AD21),(DAYS360(AD$6,$B22)/30)-SUM(AD$12:AD21))),1))</f>
        <v>0</v>
      </c>
      <c r="AE22" s="124"/>
      <c r="AF22" s="138">
        <f>IF(AF$10=0,0,ROUND(IF(AF$6&gt;$B22,0,IF(AF$7&lt;$B22,AF$10-SUM(AF$12:AF21),(DAYS360(AF$6,$B22)/30)-SUM(AF$12:AF21))),1))</f>
        <v>0</v>
      </c>
      <c r="AG22" s="124"/>
      <c r="AH22" s="138">
        <f>IF(AH$10=0,0,ROUND(IF(AH$6&gt;$B22,0,IF(AH$7&lt;$B22,AH$10-SUM(AH$12:AH21),(DAYS360(AH$6,$B22)/30)-SUM(AH$12:AH21))),1))</f>
        <v>0</v>
      </c>
      <c r="AI22" s="124"/>
      <c r="AJ22" s="138">
        <f>IF(AJ$10=0,0,ROUND(IF(AJ$6&gt;$B22,0,IF(AJ$7&lt;$B22,AJ$10-SUM(AJ$12:AJ21),(DAYS360(AJ$6,$B22)/30)-SUM(AJ$12:AJ21))),1))</f>
        <v>0</v>
      </c>
      <c r="AK22" s="124"/>
      <c r="AL22" s="138">
        <f>IF(AL$10=0,0,ROUND(IF(AL$6&gt;$B22,0,IF(AL$7&lt;$B22,AL$10-SUM(AL$12:AL21),(DAYS360(AL$6,$B22)/30)-SUM(AL$12:AL21))),1))</f>
        <v>0</v>
      </c>
      <c r="AM22" s="124"/>
      <c r="AN22" s="138">
        <f>IF(AN$10=0,0,ROUND(IF(AN$6&gt;$B22,0,IF(AN$7&lt;$B22,AN$10-SUM(AN$12:AN21),(DAYS360(AN$6,$B22)/30)-SUM(AN$12:AN21))),1))</f>
        <v>0</v>
      </c>
      <c r="AO22" s="124"/>
      <c r="AP22" s="138">
        <f>IF(AP$10=0,0,ROUND(IF(AP$6&gt;$B22,0,IF(AP$7&lt;$B22,AP$10-SUM(AP$12:AP21),(DAYS360(AP$6,$B22)/30)-SUM(AP$12:AP21))),1))</f>
        <v>0</v>
      </c>
      <c r="AQ22" s="124"/>
      <c r="AR22" s="138">
        <f>IF(AR$10=0,0,ROUND(IF(AR$6&gt;$B22,0,IF(AR$7&lt;$B22,AR$10-SUM(AR$12:AR21),(DAYS360(AR$6,$B22)/30)-SUM(AR$12:AR21))),1))</f>
        <v>0</v>
      </c>
      <c r="AS22" s="124"/>
      <c r="AT22" s="138">
        <f>IF(AT$10=0,0,ROUND(IF(AT$6&gt;$B22,0,IF(AT$7&lt;$B22,AT$10-SUM(AT$12:AT21),(DAYS360(AT$6,$B22)/30)-SUM(AT$12:AT21))),1))</f>
        <v>0</v>
      </c>
      <c r="AU22" s="124"/>
      <c r="AV22" s="138">
        <f>IF(AV$10=0,0,ROUND(IF(AV$6&gt;$B22,0,IF(AV$7&lt;$B22,AV$10-SUM(AV$12:AV21),(DAYS360(AV$6,$B22)/30)-SUM(AV$12:AV21))),1))</f>
        <v>0</v>
      </c>
      <c r="AW22" s="124"/>
      <c r="AX22" s="138">
        <f>IF(AX$10=0,0,ROUND(IF(AX$6&gt;$B22,0,IF(AX$7&lt;$B22,AX$10-SUM(AX$12:AX21),(DAYS360(AX$6,$B22)/30)-SUM(AX$12:AX21))),1))</f>
        <v>0</v>
      </c>
      <c r="AY22" s="124"/>
      <c r="AZ22" s="138">
        <f>IF(AZ$10=0,0,ROUND(IF(AZ$6&gt;$B22,0,IF(AZ$7&lt;$B22,AZ$10-SUM(AZ$12:AZ21),(DAYS360(AZ$6,$B22)/30)-SUM(AZ$12:AZ21))),1))</f>
        <v>0</v>
      </c>
      <c r="BA22" s="124"/>
      <c r="BB22" s="138">
        <f>IF(BB$10=0,0,ROUND(IF(BB$6&gt;$B22,0,IF(BB$7&lt;$B22,BB$10-SUM(BB$12:BB21),(DAYS360(BB$6,$B22)/30)-SUM(BB$12:BB21))),1))</f>
        <v>0</v>
      </c>
      <c r="BC22" s="124"/>
      <c r="BD22" s="138">
        <f>IF(BD$10=0,0,ROUND(IF(BD$6&gt;$B22,0,IF(BD$7&lt;$B22,BD$10-SUM(BD$12:BD21),(DAYS360(BD$6,$B22)/30)-SUM(BD$12:BD21))),1))</f>
        <v>0</v>
      </c>
      <c r="BE22" s="124"/>
      <c r="BF22" s="138">
        <f>IF(BF$10=0,0,ROUND(IF(BF$6&gt;$B22,0,IF(BF$7&lt;$B22,BF$10-SUM(BF$12:BF21),(DAYS360(BF$6,$B22)/30)-SUM(BF$12:BF21))),1))</f>
        <v>0</v>
      </c>
      <c r="BG22" s="124"/>
      <c r="BH22" s="138">
        <f>IF(BH$10=0,0,ROUND(IF(BH$6&gt;$B22,0,IF(BH$7&lt;$B22,BH$10-SUM(BH$12:BH21),(DAYS360(BH$6,$B22)/30)-SUM(BH$12:BH21))),1))</f>
        <v>0</v>
      </c>
      <c r="BI22" s="124"/>
      <c r="BJ22" s="138">
        <f>IF(BJ$10=0,0,ROUND(IF(BJ$6&gt;$B22,0,IF(BJ$7&lt;$B22,BJ$10-SUM(BJ$12:BJ21),(DAYS360(BJ$6,$B22)/30)-SUM(BJ$12:BJ21))),1))</f>
        <v>0</v>
      </c>
      <c r="BK22" s="124"/>
      <c r="BL22" s="138">
        <f>IF(BL$10=0,0,ROUND(IF(BL$6&gt;$B22,0,IF(BL$7&lt;$B22,BL$10-SUM(BL$12:BL21),(DAYS360(BL$6,$B22)/30)-SUM(BL$12:BL21))),1))</f>
        <v>0</v>
      </c>
    </row>
    <row r="23" spans="1:66" ht="15.75" hidden="1" x14ac:dyDescent="0.25">
      <c r="A23" s="134"/>
      <c r="B23" s="134"/>
      <c r="C23" s="2"/>
      <c r="D23" s="132" t="s">
        <v>131</v>
      </c>
      <c r="F23" s="138">
        <f>SUM(F12:F22)</f>
        <v>12</v>
      </c>
      <c r="G23" s="121"/>
      <c r="H23" s="138">
        <f>SUM(H12:H22)</f>
        <v>12</v>
      </c>
      <c r="I23" s="121"/>
      <c r="J23" s="138">
        <f>SUM(J12:J22)</f>
        <v>12</v>
      </c>
      <c r="K23" s="121"/>
      <c r="L23" s="138">
        <f>SUM(L12:L22)</f>
        <v>12</v>
      </c>
      <c r="M23" s="121"/>
      <c r="N23" s="138">
        <f>SUM(N12:N22)</f>
        <v>12</v>
      </c>
      <c r="O23" s="121"/>
      <c r="P23" s="138">
        <f>SUM(P12:P22)</f>
        <v>12</v>
      </c>
      <c r="Q23" s="121"/>
      <c r="R23" s="138">
        <f>SUM(R12:R22)</f>
        <v>12</v>
      </c>
      <c r="S23" s="121"/>
      <c r="T23" s="138">
        <f>SUM(T12:T22)</f>
        <v>12</v>
      </c>
      <c r="U23" s="121"/>
      <c r="V23" s="138">
        <f>SUM(V12:V22)</f>
        <v>12</v>
      </c>
      <c r="W23" s="121"/>
      <c r="X23" s="138">
        <f>SUM(X12:X22)</f>
        <v>12</v>
      </c>
      <c r="Y23" s="121"/>
      <c r="Z23" s="138">
        <f>SUM(Z12:Z22)</f>
        <v>12</v>
      </c>
      <c r="AA23" s="121"/>
      <c r="AB23" s="138">
        <f>SUM(AB12:AB22)</f>
        <v>12</v>
      </c>
      <c r="AC23" s="121"/>
      <c r="AD23" s="138">
        <f>SUM(AD12:AD22)</f>
        <v>12</v>
      </c>
      <c r="AE23" s="121"/>
      <c r="AF23" s="138">
        <f>SUM(AF12:AF22)</f>
        <v>12</v>
      </c>
      <c r="AG23" s="121"/>
      <c r="AH23" s="138">
        <f>SUM(AH12:AH22)</f>
        <v>12</v>
      </c>
      <c r="AI23" s="121"/>
      <c r="AJ23" s="138">
        <f>SUM(AJ12:AJ22)</f>
        <v>0</v>
      </c>
      <c r="AK23" s="121"/>
      <c r="AL23" s="138">
        <f>SUM(AL12:AL22)</f>
        <v>0</v>
      </c>
      <c r="AM23" s="121"/>
      <c r="AN23" s="138">
        <f>SUM(AN12:AN22)</f>
        <v>0</v>
      </c>
      <c r="AO23" s="121"/>
      <c r="AP23" s="138">
        <f>SUM(AP12:AP22)</f>
        <v>0</v>
      </c>
      <c r="AQ23" s="121"/>
      <c r="AR23" s="138">
        <f>SUM(AR12:AR22)</f>
        <v>0</v>
      </c>
      <c r="AS23" s="121"/>
      <c r="AT23" s="138">
        <f>SUM(AT12:AT22)</f>
        <v>0</v>
      </c>
      <c r="AU23" s="121"/>
      <c r="AV23" s="138">
        <f>SUM(AV12:AV22)</f>
        <v>0</v>
      </c>
      <c r="AW23" s="121"/>
      <c r="AX23" s="138">
        <f>SUM(AX12:AX22)</f>
        <v>0</v>
      </c>
      <c r="AY23" s="121"/>
      <c r="AZ23" s="138">
        <f>SUM(AZ12:AZ22)</f>
        <v>0</v>
      </c>
      <c r="BA23" s="121"/>
      <c r="BB23" s="138">
        <f>SUM(BB12:BB22)</f>
        <v>0</v>
      </c>
      <c r="BC23" s="121"/>
      <c r="BD23" s="138">
        <f>SUM(BD12:BD22)</f>
        <v>0</v>
      </c>
      <c r="BE23" s="121"/>
      <c r="BF23" s="138">
        <f>SUM(BF12:BF22)</f>
        <v>0</v>
      </c>
      <c r="BG23" s="121"/>
      <c r="BH23" s="138">
        <f>SUM(BH12:BH22)</f>
        <v>0</v>
      </c>
      <c r="BI23" s="121"/>
      <c r="BJ23" s="138">
        <f>SUM(BJ12:BJ22)</f>
        <v>0</v>
      </c>
      <c r="BK23" s="121"/>
      <c r="BL23" s="138">
        <f>SUM(BL12:BL22)</f>
        <v>0</v>
      </c>
    </row>
    <row r="24" spans="1:66" hidden="1" x14ac:dyDescent="0.25">
      <c r="A24" s="134"/>
      <c r="F24" s="119"/>
      <c r="G24" s="121"/>
      <c r="H24" s="119"/>
      <c r="I24" s="121"/>
      <c r="J24" s="119"/>
      <c r="K24" s="121"/>
      <c r="L24" s="119"/>
      <c r="M24" s="121"/>
      <c r="N24" s="119"/>
      <c r="O24" s="121"/>
      <c r="P24" s="119"/>
      <c r="Q24" s="121"/>
      <c r="R24" s="119"/>
      <c r="S24" s="121"/>
      <c r="T24" s="119"/>
      <c r="U24" s="121"/>
      <c r="V24" s="119"/>
      <c r="W24" s="121"/>
      <c r="X24" s="119"/>
      <c r="Y24" s="121"/>
      <c r="Z24" s="119"/>
      <c r="AA24" s="121"/>
      <c r="AB24" s="119"/>
      <c r="AC24" s="121"/>
      <c r="AD24" s="119"/>
      <c r="AE24" s="121"/>
      <c r="AF24" s="119"/>
      <c r="AG24" s="121"/>
      <c r="AH24" s="119"/>
      <c r="AI24" s="121"/>
      <c r="AJ24" s="119"/>
      <c r="AK24" s="121"/>
      <c r="AL24" s="119"/>
      <c r="AM24" s="121"/>
      <c r="AN24" s="119"/>
      <c r="AO24" s="121"/>
      <c r="AP24" s="119"/>
      <c r="AQ24" s="121"/>
      <c r="AR24" s="119"/>
      <c r="AS24" s="121"/>
      <c r="AT24" s="119"/>
      <c r="AU24" s="121"/>
      <c r="AV24" s="119"/>
      <c r="AW24" s="121"/>
      <c r="AX24" s="119"/>
      <c r="AY24" s="121"/>
      <c r="AZ24" s="119"/>
      <c r="BA24" s="121"/>
      <c r="BB24" s="119"/>
      <c r="BC24" s="121"/>
      <c r="BD24" s="119"/>
      <c r="BE24" s="121"/>
      <c r="BF24" s="119"/>
      <c r="BG24" s="121"/>
      <c r="BH24" s="119"/>
      <c r="BI24" s="121"/>
      <c r="BJ24" s="119"/>
      <c r="BK24" s="121"/>
      <c r="BL24" s="119"/>
    </row>
    <row r="25" spans="1:66" ht="15.75" x14ac:dyDescent="0.25">
      <c r="A25" s="134"/>
      <c r="D25" s="132" t="s">
        <v>134</v>
      </c>
      <c r="F25" s="139">
        <f>IF(F$23=0,0,((F12*$C$12)+(F13*$C$13)+F14*$C$14+F15*$C$15+F16*$C$16+F17*$C$17+F18*$C$18+F19*$C$19+F20*$C$20+F21*$C$21+F22*$C$22)/F$23)</f>
        <v>2.2000000000000002E-2</v>
      </c>
      <c r="G25" s="133"/>
      <c r="H25" s="139">
        <f>IF(H$23=0,0,((H12*$C$12)+(H13*$C$13)+H14*$C$14+H15*$C$15+H16*$C$16+H17*$C$17+H18*$C$18+H19*$C$19+H20*$C$20+H21*$C$21+H22*$C$22)/H$23)</f>
        <v>2.2000000000000002E-2</v>
      </c>
      <c r="I25" s="139"/>
      <c r="J25" s="139">
        <f t="shared" ref="J25:BL25" si="2">IF(J$23=0,0,((J12*$C$12)+(J13*$C$13)+J14*$C$14+J15*$C$15+J16*$C$16+J17*$C$17+J18*$C$18+J19*$C$19+J20*$C$20+J21*$C$21+J22*$C$22)/J$23)</f>
        <v>2.2000000000000002E-2</v>
      </c>
      <c r="K25" s="139"/>
      <c r="L25" s="139">
        <f>IF(L$23=0,0,((L12*$C$12)+(L13*$C$13)+L14*$C$14+L15*$C$15+L16*$C$16+L17*$C$17+L18*$C$18+L19*$C$19+L20*$C$20+L21*$C$21+L22*$C$22)/L$23)</f>
        <v>2.2000000000000002E-2</v>
      </c>
      <c r="M25" s="139"/>
      <c r="N25" s="139">
        <f t="shared" si="2"/>
        <v>2.2000000000000002E-2</v>
      </c>
      <c r="O25" s="139"/>
      <c r="P25" s="139">
        <f t="shared" si="2"/>
        <v>2.2000000000000002E-2</v>
      </c>
      <c r="Q25" s="139"/>
      <c r="R25" s="139">
        <f t="shared" si="2"/>
        <v>2.2000000000000002E-2</v>
      </c>
      <c r="S25" s="139"/>
      <c r="T25" s="139">
        <f t="shared" si="2"/>
        <v>2.2000000000000002E-2</v>
      </c>
      <c r="U25" s="139"/>
      <c r="V25" s="139">
        <f t="shared" si="2"/>
        <v>2.2000000000000002E-2</v>
      </c>
      <c r="W25" s="139"/>
      <c r="X25" s="139">
        <f t="shared" si="2"/>
        <v>2.2000000000000002E-2</v>
      </c>
      <c r="Y25" s="139"/>
      <c r="Z25" s="139">
        <f t="shared" si="2"/>
        <v>2.2000000000000002E-2</v>
      </c>
      <c r="AA25" s="139"/>
      <c r="AB25" s="139">
        <f t="shared" si="2"/>
        <v>2.2000000000000002E-2</v>
      </c>
      <c r="AC25" s="139"/>
      <c r="AD25" s="139">
        <f t="shared" si="2"/>
        <v>2.2000000000000002E-2</v>
      </c>
      <c r="AE25" s="139"/>
      <c r="AF25" s="139">
        <f t="shared" si="2"/>
        <v>2.2000000000000002E-2</v>
      </c>
      <c r="AG25" s="139"/>
      <c r="AH25" s="139">
        <f t="shared" si="2"/>
        <v>2.2000000000000002E-2</v>
      </c>
      <c r="AI25" s="139"/>
      <c r="AJ25" s="139">
        <f t="shared" si="2"/>
        <v>0</v>
      </c>
      <c r="AK25" s="139"/>
      <c r="AL25" s="139">
        <f t="shared" si="2"/>
        <v>0</v>
      </c>
      <c r="AM25" s="139"/>
      <c r="AN25" s="139">
        <f t="shared" si="2"/>
        <v>0</v>
      </c>
      <c r="AO25" s="139"/>
      <c r="AP25" s="139">
        <f t="shared" si="2"/>
        <v>0</v>
      </c>
      <c r="AQ25" s="139"/>
      <c r="AR25" s="139">
        <f t="shared" si="2"/>
        <v>0</v>
      </c>
      <c r="AS25" s="139"/>
      <c r="AT25" s="139">
        <f t="shared" si="2"/>
        <v>0</v>
      </c>
      <c r="AU25" s="139"/>
      <c r="AV25" s="139">
        <f t="shared" si="2"/>
        <v>0</v>
      </c>
      <c r="AW25" s="139"/>
      <c r="AX25" s="139">
        <f t="shared" si="2"/>
        <v>0</v>
      </c>
      <c r="AY25" s="139"/>
      <c r="AZ25" s="139">
        <f t="shared" si="2"/>
        <v>0</v>
      </c>
      <c r="BA25" s="139"/>
      <c r="BB25" s="139">
        <f t="shared" si="2"/>
        <v>0</v>
      </c>
      <c r="BC25" s="139"/>
      <c r="BD25" s="139">
        <f t="shared" si="2"/>
        <v>0</v>
      </c>
      <c r="BE25" s="139"/>
      <c r="BF25" s="139">
        <f t="shared" si="2"/>
        <v>0</v>
      </c>
      <c r="BG25" s="139"/>
      <c r="BH25" s="139">
        <f t="shared" si="2"/>
        <v>0</v>
      </c>
      <c r="BI25" s="139"/>
      <c r="BJ25" s="139">
        <f t="shared" si="2"/>
        <v>0</v>
      </c>
      <c r="BK25" s="139"/>
      <c r="BL25" s="139">
        <f t="shared" si="2"/>
        <v>0</v>
      </c>
    </row>
    <row r="26" spans="1:66" ht="15.75" thickBot="1" x14ac:dyDescent="0.3">
      <c r="A26" s="134"/>
    </row>
    <row r="27" spans="1:66" hidden="1" x14ac:dyDescent="0.25">
      <c r="B27" s="2"/>
      <c r="C27" s="2"/>
    </row>
    <row r="28" spans="1:66" ht="15" hidden="1" customHeight="1" thickBot="1" x14ac:dyDescent="0.3">
      <c r="B28" s="2"/>
      <c r="C28" s="2"/>
      <c r="E28" s="1"/>
      <c r="F28" s="1">
        <f>E29</f>
        <v>1</v>
      </c>
      <c r="G28" s="1"/>
      <c r="H28" s="1">
        <f>G29</f>
        <v>1</v>
      </c>
      <c r="I28" s="1"/>
      <c r="J28" s="1">
        <f>I29</f>
        <v>3</v>
      </c>
      <c r="K28" s="1"/>
      <c r="L28" s="1">
        <f>K29</f>
        <v>3</v>
      </c>
      <c r="M28" s="1"/>
      <c r="N28" s="1">
        <f>M29</f>
        <v>3</v>
      </c>
      <c r="O28" s="1"/>
      <c r="P28" s="1">
        <f>O29</f>
        <v>4</v>
      </c>
      <c r="Q28" s="1"/>
      <c r="R28" s="1">
        <f>Q29</f>
        <v>4</v>
      </c>
      <c r="S28" s="1"/>
      <c r="T28" s="1">
        <f>S29</f>
        <v>4</v>
      </c>
      <c r="U28" s="1"/>
      <c r="V28" s="1">
        <f>U29</f>
        <v>4</v>
      </c>
      <c r="W28" s="1"/>
      <c r="X28" s="1">
        <f>W29</f>
        <v>4</v>
      </c>
      <c r="Y28" s="1"/>
      <c r="Z28" s="1">
        <f>Y29</f>
        <v>4</v>
      </c>
      <c r="AA28" s="1"/>
      <c r="AB28" s="1">
        <f>AA29</f>
        <v>4</v>
      </c>
      <c r="AC28" s="1"/>
      <c r="AD28" s="1">
        <f>AC29</f>
        <v>4</v>
      </c>
      <c r="AE28" s="1"/>
      <c r="AF28" s="1">
        <f>AE29</f>
        <v>5</v>
      </c>
      <c r="AG28" s="1"/>
      <c r="AH28" s="1" t="str">
        <f>AG29</f>
        <v>Enter Task # Here</v>
      </c>
      <c r="AJ28" t="str">
        <f>AI29</f>
        <v>Enter Task # Here</v>
      </c>
      <c r="AL28" t="str">
        <f>AK29</f>
        <v>Enter Task # Here</v>
      </c>
      <c r="AN28" t="str">
        <f>AM29</f>
        <v>Enter Task # Here</v>
      </c>
      <c r="AP28" t="str">
        <f>AO29</f>
        <v>Enter Task # Here</v>
      </c>
      <c r="AR28" t="str">
        <f>AQ29</f>
        <v>Enter Task # Here</v>
      </c>
      <c r="AS28" s="1"/>
      <c r="AT28" s="1" t="str">
        <f>AS29</f>
        <v>Enter Task # Here</v>
      </c>
      <c r="AV28" t="str">
        <f>AU29</f>
        <v>Enter Task # Here</v>
      </c>
      <c r="AX28" t="str">
        <f>AW29</f>
        <v>Enter Task # Here</v>
      </c>
      <c r="AZ28" t="str">
        <f>AY29</f>
        <v>Enter Task # Here</v>
      </c>
      <c r="BB28" s="31" t="str">
        <f>BA29</f>
        <v>Enter Task # Here</v>
      </c>
      <c r="BD28" t="str">
        <f>BC29</f>
        <v>Enter Task # Here</v>
      </c>
      <c r="BF28" s="31" t="str">
        <f>BE29</f>
        <v>Enter Task # Here</v>
      </c>
      <c r="BH28" t="str">
        <f>BG29</f>
        <v>Enter Task # Here</v>
      </c>
      <c r="BJ28" t="str">
        <f>BI29</f>
        <v>Enter Task # Here</v>
      </c>
      <c r="BL28" t="str">
        <f>BK29</f>
        <v>Enter Task # Here</v>
      </c>
    </row>
    <row r="29" spans="1:66" ht="15.75" thickBot="1" x14ac:dyDescent="0.3">
      <c r="B29" t="s">
        <v>0</v>
      </c>
      <c r="E29" s="177">
        <f>'Base Period'!E29:F29</f>
        <v>1</v>
      </c>
      <c r="F29" s="178"/>
      <c r="G29" s="186">
        <f>'Base Period'!G29:H29</f>
        <v>1</v>
      </c>
      <c r="H29" s="187"/>
      <c r="I29" s="177">
        <f>'Base Period'!I29:J29</f>
        <v>3</v>
      </c>
      <c r="J29" s="178"/>
      <c r="K29" s="186">
        <f>'Base Period'!K29:L29</f>
        <v>3</v>
      </c>
      <c r="L29" s="187"/>
      <c r="M29" s="186">
        <f>'Base Period'!M29:N29</f>
        <v>3</v>
      </c>
      <c r="N29" s="187"/>
      <c r="O29" s="177">
        <f>'Base Period'!O29:P29</f>
        <v>4</v>
      </c>
      <c r="P29" s="178"/>
      <c r="Q29" s="177">
        <f>'Base Period'!Q29:R29</f>
        <v>4</v>
      </c>
      <c r="R29" s="178"/>
      <c r="S29" s="186">
        <f>'Base Period'!S29:T29</f>
        <v>4</v>
      </c>
      <c r="T29" s="187"/>
      <c r="U29" s="186">
        <f>'Base Period'!U29:V29</f>
        <v>4</v>
      </c>
      <c r="V29" s="187"/>
      <c r="W29" s="186">
        <f>'Base Period'!W29:X29</f>
        <v>4</v>
      </c>
      <c r="X29" s="187"/>
      <c r="Y29" s="186">
        <f>'Base Period'!Y29:Z29</f>
        <v>4</v>
      </c>
      <c r="Z29" s="187"/>
      <c r="AA29" s="186">
        <f>'Base Period'!AA29:AB29</f>
        <v>4</v>
      </c>
      <c r="AB29" s="187"/>
      <c r="AC29" s="186">
        <f>'Base Period'!AC29:AD29</f>
        <v>4</v>
      </c>
      <c r="AD29" s="187"/>
      <c r="AE29" s="186">
        <f>'Base Period'!AE29:AF29</f>
        <v>5</v>
      </c>
      <c r="AF29" s="187"/>
      <c r="AG29" s="186" t="str">
        <f>'Base Period'!AG29:AH29</f>
        <v>Enter Task # Here</v>
      </c>
      <c r="AH29" s="187"/>
      <c r="AI29" s="186" t="str">
        <f>'Base Period'!AI29:AJ29</f>
        <v>Enter Task # Here</v>
      </c>
      <c r="AJ29" s="187"/>
      <c r="AK29" s="186" t="str">
        <f>'Base Period'!AK29:AL29</f>
        <v>Enter Task # Here</v>
      </c>
      <c r="AL29" s="187"/>
      <c r="AM29" s="186" t="str">
        <f>'Base Period'!AM29:AN29</f>
        <v>Enter Task # Here</v>
      </c>
      <c r="AN29" s="187"/>
      <c r="AO29" s="186" t="str">
        <f>'Base Period'!AO29:AP29</f>
        <v>Enter Task # Here</v>
      </c>
      <c r="AP29" s="187"/>
      <c r="AQ29" s="186" t="str">
        <f>'Base Period'!AQ29:AR29</f>
        <v>Enter Task # Here</v>
      </c>
      <c r="AR29" s="187"/>
      <c r="AS29" s="186" t="str">
        <f>'Base Period'!AS29:AT29</f>
        <v>Enter Task # Here</v>
      </c>
      <c r="AT29" s="187"/>
      <c r="AU29" s="186" t="str">
        <f>'Base Period'!AU29:AV29</f>
        <v>Enter Task # Here</v>
      </c>
      <c r="AV29" s="187"/>
      <c r="AW29" s="186" t="str">
        <f>'Base Period'!AW29:AX29</f>
        <v>Enter Task # Here</v>
      </c>
      <c r="AX29" s="187"/>
      <c r="AY29" s="186" t="str">
        <f>'Base Period'!AY29:AZ29</f>
        <v>Enter Task # Here</v>
      </c>
      <c r="AZ29" s="187"/>
      <c r="BA29" s="186" t="str">
        <f>'Base Period'!BA29:BB29</f>
        <v>Enter Task # Here</v>
      </c>
      <c r="BB29" s="187"/>
      <c r="BC29" s="186" t="str">
        <f>'Base Period'!BC29:BD29</f>
        <v>Enter Task # Here</v>
      </c>
      <c r="BD29" s="187"/>
      <c r="BE29" s="186" t="str">
        <f>'Base Period'!BE29:BF29</f>
        <v>Enter Task # Here</v>
      </c>
      <c r="BF29" s="187"/>
      <c r="BG29" s="186" t="str">
        <f>'Base Period'!BG29:BH29</f>
        <v>Enter Task # Here</v>
      </c>
      <c r="BH29" s="187"/>
      <c r="BI29" s="186" t="str">
        <f>'Base Period'!BI29:BJ29</f>
        <v>Enter Task # Here</v>
      </c>
      <c r="BJ29" s="187"/>
      <c r="BK29" s="186" t="str">
        <f>'Base Period'!BK29:BL29</f>
        <v>Enter Task # Here</v>
      </c>
      <c r="BL29" s="187"/>
      <c r="BM29" s="140" t="s">
        <v>53</v>
      </c>
      <c r="BN29" s="141" t="s">
        <v>54</v>
      </c>
    </row>
    <row r="30" spans="1:66" x14ac:dyDescent="0.25">
      <c r="B30" t="s">
        <v>41</v>
      </c>
      <c r="E30" s="188">
        <f>'Base Period'!E30:F30</f>
        <v>1.3</v>
      </c>
      <c r="F30" s="189"/>
      <c r="G30" s="183">
        <f>'Base Period'!G30:H30</f>
        <v>1.5</v>
      </c>
      <c r="H30" s="184"/>
      <c r="I30" s="188">
        <f>'Base Period'!I30:J30</f>
        <v>3.3</v>
      </c>
      <c r="J30" s="189"/>
      <c r="K30" s="183" t="str">
        <f>'Base Period'!K30:L30</f>
        <v>3.7.1</v>
      </c>
      <c r="L30" s="184"/>
      <c r="M30" s="183">
        <f>'Base Period'!M30:N30</f>
        <v>3.8</v>
      </c>
      <c r="N30" s="184"/>
      <c r="O30" s="188">
        <f>'Base Period'!O30:P30</f>
        <v>4</v>
      </c>
      <c r="P30" s="189"/>
      <c r="Q30" s="188">
        <f>'Base Period'!Q30:R30</f>
        <v>4.0999999999999996</v>
      </c>
      <c r="R30" s="189"/>
      <c r="S30" s="183">
        <f>'Base Period'!S30:T30</f>
        <v>4.0999999999999996</v>
      </c>
      <c r="T30" s="184"/>
      <c r="U30" s="183">
        <f>'Base Period'!U30:V30</f>
        <v>4.0999999999999996</v>
      </c>
      <c r="V30" s="184"/>
      <c r="W30" s="183">
        <f>'Base Period'!W30:X30</f>
        <v>4.2</v>
      </c>
      <c r="X30" s="184"/>
      <c r="Y30" s="183">
        <f>'Base Period'!Y30:Z30</f>
        <v>4.4000000000000004</v>
      </c>
      <c r="Z30" s="184"/>
      <c r="AA30" s="183">
        <f>'Base Period'!AA30:AB30</f>
        <v>4.5</v>
      </c>
      <c r="AB30" s="184"/>
      <c r="AC30" s="183">
        <f>'Base Period'!AC30:AD30</f>
        <v>4.5999999999999996</v>
      </c>
      <c r="AD30" s="184"/>
      <c r="AE30" s="183">
        <f>'Base Period'!AE30:AF30</f>
        <v>5</v>
      </c>
      <c r="AF30" s="184"/>
      <c r="AG30" s="183" t="str">
        <f>'Base Period'!AG30:AH30</f>
        <v>Enter Subtask # Here</v>
      </c>
      <c r="AH30" s="184"/>
      <c r="AI30" s="183" t="str">
        <f>'Base Period'!AI30:AJ30</f>
        <v>Enter Subtask # Here</v>
      </c>
      <c r="AJ30" s="184"/>
      <c r="AK30" s="183" t="str">
        <f>'Base Period'!AK30:AL30</f>
        <v>Enter Subtask # Here</v>
      </c>
      <c r="AL30" s="184"/>
      <c r="AM30" s="183" t="str">
        <f>'Base Period'!AM30:AN30</f>
        <v>Enter Subtask # Here</v>
      </c>
      <c r="AN30" s="184"/>
      <c r="AO30" s="183" t="str">
        <f>'Base Period'!AO30:AP30</f>
        <v>Enter Subtask # Here</v>
      </c>
      <c r="AP30" s="184"/>
      <c r="AQ30" s="183" t="str">
        <f>'Base Period'!AQ30:AR30</f>
        <v>Enter Subtask # Here</v>
      </c>
      <c r="AR30" s="184"/>
      <c r="AS30" s="183" t="str">
        <f>'Base Period'!AS30:AT30</f>
        <v>Enter Subtask # Here</v>
      </c>
      <c r="AT30" s="184"/>
      <c r="AU30" s="183" t="str">
        <f>'Base Period'!AU30:AV30</f>
        <v>Enter Subtask # Here</v>
      </c>
      <c r="AV30" s="184"/>
      <c r="AW30" s="183" t="str">
        <f>'Base Period'!AW30:AX30</f>
        <v>Enter Subtask # Here</v>
      </c>
      <c r="AX30" s="184"/>
      <c r="AY30" s="183" t="str">
        <f>'Base Period'!AY30:AZ30</f>
        <v>Enter Subtask # Here</v>
      </c>
      <c r="AZ30" s="184"/>
      <c r="BA30" s="183" t="str">
        <f>'Base Period'!BA30:BB30</f>
        <v>Enter Subtask # Here</v>
      </c>
      <c r="BB30" s="184"/>
      <c r="BC30" s="183" t="str">
        <f>'Base Period'!BC30:BD30</f>
        <v>Enter Subtask # Here</v>
      </c>
      <c r="BD30" s="184"/>
      <c r="BE30" s="183" t="str">
        <f>'Base Period'!BE30:BF30</f>
        <v>Enter Subtask # Here</v>
      </c>
      <c r="BF30" s="184"/>
      <c r="BG30" s="183" t="str">
        <f>'Base Period'!BG30:BH30</f>
        <v>Enter Subtask # Here</v>
      </c>
      <c r="BH30" s="184"/>
      <c r="BI30" s="183" t="str">
        <f>'Base Period'!BI30:BJ30</f>
        <v>Enter Subtask # Here</v>
      </c>
      <c r="BJ30" s="184"/>
      <c r="BK30" s="183" t="str">
        <f>'Base Period'!BK30:BL30</f>
        <v>Enter Subtask # Here</v>
      </c>
      <c r="BL30" s="184"/>
      <c r="BN30" s="31"/>
    </row>
    <row r="31" spans="1:66" x14ac:dyDescent="0.25">
      <c r="B31" t="s">
        <v>1</v>
      </c>
      <c r="E31" s="181" t="str">
        <f>'Base Period'!E31:F31</f>
        <v>Weekly Meetings</v>
      </c>
      <c r="F31" s="174"/>
      <c r="G31" s="181" t="str">
        <f>'Base Period'!G31:H31</f>
        <v>Monthly Progress Reports</v>
      </c>
      <c r="H31" s="174"/>
      <c r="I31" s="181" t="str">
        <f>'Base Period'!I31:J31</f>
        <v>Onboarding of Model Participants, incl. Task 3.3.1</v>
      </c>
      <c r="J31" s="174"/>
      <c r="K31" s="181" t="str">
        <f>'Base Period'!K31:L31</f>
        <v>Acquire CMS DUAs and Claims Data</v>
      </c>
      <c r="L31" s="174"/>
      <c r="M31" s="181" t="str">
        <f>'Base Period'!M31:N31</f>
        <v>Data Collection and Analysis Plan</v>
      </c>
      <c r="N31" s="174"/>
      <c r="O31" s="181" t="str">
        <f>'Base Period'!O31:P31</f>
        <v>RO Model Monitoring</v>
      </c>
      <c r="P31" s="174"/>
      <c r="Q31" s="181" t="str">
        <f>'Base Period'!Q31:R31</f>
        <v>Site Review</v>
      </c>
      <c r="R31" s="174"/>
      <c r="S31" s="181" t="str">
        <f>'Base Period'!S31:T31</f>
        <v>Virtual/Desk Audit</v>
      </c>
      <c r="T31" s="174"/>
      <c r="U31" s="181" t="str">
        <f>'Base Period'!U31:V31</f>
        <v>Chart Review</v>
      </c>
      <c r="V31" s="174"/>
      <c r="W31" s="181" t="str">
        <f>'Base Period'!W31:X31</f>
        <v>Short-term Claims-Based Research and Analyses</v>
      </c>
      <c r="X31" s="174"/>
      <c r="Y31" s="181" t="str">
        <f>'Base Period'!Y31:Z31</f>
        <v>Monitor Compliance with Billing Requirements</v>
      </c>
      <c r="Z31" s="174"/>
      <c r="AA31" s="181" t="str">
        <f>'Base Period'!AA31:AB31</f>
        <v>Monitor &amp; Perform Trend Analyses on Effects of the RO Model</v>
      </c>
      <c r="AB31" s="174"/>
      <c r="AC31" s="181" t="str">
        <f>'Base Period'!AC31:AD31</f>
        <v>Lont-Term Claims-Based Research and Analyses</v>
      </c>
      <c r="AD31" s="174"/>
      <c r="AE31" s="181" t="str">
        <f>'Base Period'!AE31:AF31</f>
        <v>Model Close Out</v>
      </c>
      <c r="AF31" s="174"/>
      <c r="AG31" s="181" t="str">
        <f>'Base Period'!AG31:AH31</f>
        <v>Enter Task Name</v>
      </c>
      <c r="AH31" s="174"/>
      <c r="AI31" s="181" t="str">
        <f>'Base Period'!AI31:AJ31</f>
        <v>Enter Task Name</v>
      </c>
      <c r="AJ31" s="174"/>
      <c r="AK31" s="181" t="str">
        <f>'Base Period'!AK31:AL31</f>
        <v>Enter Task Name</v>
      </c>
      <c r="AL31" s="174"/>
      <c r="AM31" s="181" t="str">
        <f>'Base Period'!AM31:AN31</f>
        <v>Enter Task Name</v>
      </c>
      <c r="AN31" s="174"/>
      <c r="AO31" s="181" t="str">
        <f>'Base Period'!AO31:AP31</f>
        <v>Enter Task Name</v>
      </c>
      <c r="AP31" s="174"/>
      <c r="AQ31" s="181" t="str">
        <f>'Base Period'!AQ31:AR31</f>
        <v>Enter Task Name</v>
      </c>
      <c r="AR31" s="174"/>
      <c r="AS31" s="181" t="str">
        <f>'Base Period'!AS31:AT31</f>
        <v>Enter Task Name</v>
      </c>
      <c r="AT31" s="174"/>
      <c r="AU31" s="181" t="str">
        <f>'Base Period'!AU31:AV31</f>
        <v>Enter Task Name</v>
      </c>
      <c r="AV31" s="174"/>
      <c r="AW31" s="181" t="str">
        <f>'Base Period'!AW31:AX31</f>
        <v>Enter Task Name</v>
      </c>
      <c r="AX31" s="174"/>
      <c r="AY31" s="181" t="str">
        <f>'Base Period'!AY31:AZ31</f>
        <v>Enter Task Name</v>
      </c>
      <c r="AZ31" s="174"/>
      <c r="BA31" s="181" t="str">
        <f>'Base Period'!BA31:BB31</f>
        <v>Enter Task Name</v>
      </c>
      <c r="BB31" s="174"/>
      <c r="BC31" s="181" t="str">
        <f>'Base Period'!BC31:BD31</f>
        <v>Enter Task Name</v>
      </c>
      <c r="BD31" s="174"/>
      <c r="BE31" s="181" t="str">
        <f>'Base Period'!BE31:BF31</f>
        <v>Enter Task Name</v>
      </c>
      <c r="BF31" s="174"/>
      <c r="BG31" s="181" t="str">
        <f>'Base Period'!BG31:BH31</f>
        <v>Enter Task Name</v>
      </c>
      <c r="BH31" s="174"/>
      <c r="BI31" s="181" t="str">
        <f>'Base Period'!BI31:BJ31</f>
        <v>Enter Task Name</v>
      </c>
      <c r="BJ31" s="174"/>
      <c r="BK31" s="181" t="str">
        <f>'Base Period'!BK31:BL31</f>
        <v>Enter Task Name</v>
      </c>
      <c r="BL31" s="174"/>
      <c r="BN31" s="31"/>
    </row>
    <row r="32" spans="1:66" x14ac:dyDescent="0.25">
      <c r="B32" s="115" t="s">
        <v>63</v>
      </c>
      <c r="C32" t="s">
        <v>117</v>
      </c>
      <c r="D32" s="1" t="s">
        <v>5</v>
      </c>
      <c r="E32" s="26" t="s">
        <v>6</v>
      </c>
      <c r="F32" s="27" t="s">
        <v>7</v>
      </c>
      <c r="G32" s="26" t="s">
        <v>6</v>
      </c>
      <c r="H32" s="27" t="s">
        <v>7</v>
      </c>
      <c r="I32" s="26" t="s">
        <v>6</v>
      </c>
      <c r="J32" s="27" t="s">
        <v>7</v>
      </c>
      <c r="K32" s="26" t="s">
        <v>6</v>
      </c>
      <c r="L32" s="27" t="s">
        <v>7</v>
      </c>
      <c r="M32" s="26" t="s">
        <v>6</v>
      </c>
      <c r="N32" s="27" t="s">
        <v>7</v>
      </c>
      <c r="O32" s="26" t="s">
        <v>6</v>
      </c>
      <c r="P32" s="27" t="s">
        <v>7</v>
      </c>
      <c r="Q32" s="26" t="s">
        <v>6</v>
      </c>
      <c r="R32" s="27" t="s">
        <v>7</v>
      </c>
      <c r="S32" s="26" t="s">
        <v>6</v>
      </c>
      <c r="T32" s="27" t="s">
        <v>7</v>
      </c>
      <c r="U32" s="26" t="s">
        <v>6</v>
      </c>
      <c r="V32" s="27" t="s">
        <v>7</v>
      </c>
      <c r="W32" s="26" t="s">
        <v>6</v>
      </c>
      <c r="X32" s="27" t="s">
        <v>7</v>
      </c>
      <c r="Y32" s="26" t="s">
        <v>6</v>
      </c>
      <c r="Z32" s="27" t="s">
        <v>7</v>
      </c>
      <c r="AA32" s="26" t="s">
        <v>6</v>
      </c>
      <c r="AB32" s="27" t="s">
        <v>7</v>
      </c>
      <c r="AC32" s="26" t="s">
        <v>6</v>
      </c>
      <c r="AD32" s="27" t="s">
        <v>7</v>
      </c>
      <c r="AE32" s="26" t="s">
        <v>6</v>
      </c>
      <c r="AF32" s="27" t="s">
        <v>7</v>
      </c>
      <c r="AG32" s="26" t="s">
        <v>6</v>
      </c>
      <c r="AH32" s="27" t="s">
        <v>7</v>
      </c>
      <c r="AI32" s="23" t="s">
        <v>6</v>
      </c>
      <c r="AJ32" s="67" t="s">
        <v>7</v>
      </c>
      <c r="AK32" s="23" t="s">
        <v>6</v>
      </c>
      <c r="AL32" s="65" t="s">
        <v>7</v>
      </c>
      <c r="AM32" s="23" t="s">
        <v>6</v>
      </c>
      <c r="AN32" s="65" t="s">
        <v>7</v>
      </c>
      <c r="AO32" s="23" t="s">
        <v>6</v>
      </c>
      <c r="AP32" s="65" t="s">
        <v>7</v>
      </c>
      <c r="AQ32" s="23" t="s">
        <v>6</v>
      </c>
      <c r="AR32" s="65" t="s">
        <v>7</v>
      </c>
      <c r="AS32" s="23" t="s">
        <v>6</v>
      </c>
      <c r="AT32" s="65" t="s">
        <v>7</v>
      </c>
      <c r="AU32" s="23" t="s">
        <v>6</v>
      </c>
      <c r="AV32" s="65" t="s">
        <v>7</v>
      </c>
      <c r="AW32" s="23" t="s">
        <v>6</v>
      </c>
      <c r="AX32" s="65" t="s">
        <v>7</v>
      </c>
      <c r="AY32" s="23" t="s">
        <v>6</v>
      </c>
      <c r="AZ32" s="65" t="s">
        <v>7</v>
      </c>
      <c r="BA32" s="23" t="s">
        <v>6</v>
      </c>
      <c r="BB32" s="65" t="s">
        <v>7</v>
      </c>
      <c r="BC32" s="23" t="s">
        <v>6</v>
      </c>
      <c r="BD32" s="65" t="s">
        <v>7</v>
      </c>
      <c r="BE32" s="23" t="s">
        <v>6</v>
      </c>
      <c r="BF32" s="65" t="s">
        <v>7</v>
      </c>
      <c r="BG32" s="23" t="s">
        <v>6</v>
      </c>
      <c r="BH32" s="65" t="s">
        <v>7</v>
      </c>
      <c r="BI32" s="23" t="s">
        <v>6</v>
      </c>
      <c r="BJ32" s="65" t="s">
        <v>7</v>
      </c>
      <c r="BK32" s="23" t="s">
        <v>6</v>
      </c>
      <c r="BL32" s="65" t="s">
        <v>7</v>
      </c>
      <c r="BN32" s="81"/>
    </row>
    <row r="33" spans="2:66" x14ac:dyDescent="0.25">
      <c r="B33" s="6" t="str">
        <f>'Base Period'!B33</f>
        <v>Name</v>
      </c>
      <c r="C33" s="6" t="str">
        <f>'Base Period'!C33</f>
        <v>Senior Medical Integrity Reviewer</v>
      </c>
      <c r="D33" s="103">
        <f>'Base Period'!D33</f>
        <v>13</v>
      </c>
      <c r="E33" s="28">
        <v>0</v>
      </c>
      <c r="F33" s="62">
        <f>IF(ISERROR(E33*$D33), "$0", E33*$D33)</f>
        <v>0</v>
      </c>
      <c r="G33" s="28">
        <v>10</v>
      </c>
      <c r="H33" s="62">
        <v>1</v>
      </c>
      <c r="I33" s="28">
        <v>10</v>
      </c>
      <c r="J33" s="62">
        <v>1</v>
      </c>
      <c r="K33" s="28">
        <v>10</v>
      </c>
      <c r="L33" s="62">
        <f>IF(ISERROR(K33*$D33), "$0", K33*$D33)</f>
        <v>130</v>
      </c>
      <c r="M33" s="28">
        <v>10</v>
      </c>
      <c r="N33" s="62">
        <v>1</v>
      </c>
      <c r="O33" s="28">
        <v>10</v>
      </c>
      <c r="P33" s="62">
        <v>1</v>
      </c>
      <c r="Q33" s="28">
        <v>10</v>
      </c>
      <c r="R33" s="62">
        <v>1</v>
      </c>
      <c r="S33" s="28">
        <v>10</v>
      </c>
      <c r="T33" s="62">
        <v>1</v>
      </c>
      <c r="U33" s="28">
        <v>10</v>
      </c>
      <c r="V33" s="62">
        <v>1</v>
      </c>
      <c r="W33" s="28">
        <v>10</v>
      </c>
      <c r="X33" s="62">
        <v>1</v>
      </c>
      <c r="Y33" s="28">
        <v>10</v>
      </c>
      <c r="Z33" s="62">
        <v>1</v>
      </c>
      <c r="AA33" s="28">
        <v>10</v>
      </c>
      <c r="AB33" s="62">
        <v>1</v>
      </c>
      <c r="AC33" s="30">
        <v>200</v>
      </c>
      <c r="AD33" s="62">
        <v>1</v>
      </c>
      <c r="AE33" s="28">
        <v>10</v>
      </c>
      <c r="AF33" s="62">
        <f>IF(ISERROR(AE33*$D33), "$0", AE33*$D33)</f>
        <v>130</v>
      </c>
      <c r="AG33" s="28">
        <v>10</v>
      </c>
      <c r="AH33" s="62">
        <f>IF(ISERROR(AG33*$D33), "$0", AG33*$D33)</f>
        <v>130</v>
      </c>
      <c r="AI33" s="64">
        <v>0</v>
      </c>
      <c r="AJ33" s="63">
        <f t="shared" ref="AJ33:AJ48" si="3">IF(ISERROR(AI33*$D33), "$0", AI33*$D33)</f>
        <v>0</v>
      </c>
      <c r="AK33" s="64">
        <v>0</v>
      </c>
      <c r="AL33" s="63">
        <f t="shared" ref="AL33:AL48" si="4">IF(ISERROR(AK33*$D33), "$0", AK33*$D33)</f>
        <v>0</v>
      </c>
      <c r="AM33" s="64">
        <v>0</v>
      </c>
      <c r="AN33" s="63">
        <f t="shared" ref="AN33:AN48" si="5">IF(ISERROR(AM33*$D33), "$0", AM33*$D33)</f>
        <v>0</v>
      </c>
      <c r="AO33" s="64">
        <v>0</v>
      </c>
      <c r="AP33" s="63">
        <f t="shared" ref="AP33:AP48" si="6">IF(ISERROR(AO33*$D33), "$0", AO33*$D33)</f>
        <v>0</v>
      </c>
      <c r="AQ33" s="64">
        <v>0</v>
      </c>
      <c r="AR33" s="63">
        <f t="shared" ref="AR33:AR48" si="7">IF(ISERROR(AQ33*$D33), "$0", AQ33*$D33)</f>
        <v>0</v>
      </c>
      <c r="AS33" s="64">
        <v>0</v>
      </c>
      <c r="AT33" s="63">
        <f t="shared" ref="AT33:AT48" si="8">IF(ISERROR(AS33*$D33), "$0", AS33*$D33)</f>
        <v>0</v>
      </c>
      <c r="AU33" s="64">
        <v>0</v>
      </c>
      <c r="AV33" s="63">
        <f t="shared" ref="AV33:AV48" si="9">IF(ISERROR(AU33*$D33), "$0", AU33*$D33)</f>
        <v>0</v>
      </c>
      <c r="AW33" s="64">
        <v>0</v>
      </c>
      <c r="AX33" s="63">
        <f t="shared" ref="AX33:AX48" si="10">IF(ISERROR(AW33*$D33), "$0", AW33*$D33)</f>
        <v>0</v>
      </c>
      <c r="AY33" s="64">
        <v>0</v>
      </c>
      <c r="AZ33" s="63">
        <f t="shared" ref="AZ33:AZ48" si="11">IF(ISERROR(AY33*$D33), "$0", AY33*$D33)</f>
        <v>0</v>
      </c>
      <c r="BA33" s="64">
        <v>0</v>
      </c>
      <c r="BB33" s="63">
        <f t="shared" ref="BB33:BB48" si="12">IF(ISERROR(BA33*$D33), "$0", BA33*$D33)</f>
        <v>0</v>
      </c>
      <c r="BC33" s="64">
        <v>0</v>
      </c>
      <c r="BD33" s="63">
        <f t="shared" ref="BD33:BD48" si="13">IF(ISERROR(BC33*$D33), "$0", BC33*$D33)</f>
        <v>0</v>
      </c>
      <c r="BE33" s="64">
        <v>0</v>
      </c>
      <c r="BF33" s="63">
        <f t="shared" ref="BF33:BF48" si="14">IF(ISERROR(BE33*$D33), "$0", BE33*$D33)</f>
        <v>0</v>
      </c>
      <c r="BG33" s="64">
        <v>0</v>
      </c>
      <c r="BH33" s="63">
        <f t="shared" ref="BH33:BH48" si="15">IF(ISERROR(BG33*$D33), "$0", BG33*$D33)</f>
        <v>0</v>
      </c>
      <c r="BI33" s="64">
        <v>0</v>
      </c>
      <c r="BJ33" s="63">
        <f t="shared" ref="BJ33:BJ48" si="16">IF(ISERROR(BI33*$D33), "$0", BI33*$D33)</f>
        <v>0</v>
      </c>
      <c r="BK33" s="64">
        <v>0</v>
      </c>
      <c r="BL33" s="29">
        <f t="shared" ref="BL33:BL62" si="17">IF(ISERROR(BK33*$D33), "$0", BK33*$D33)</f>
        <v>0</v>
      </c>
      <c r="BM33" s="82">
        <f>SUMIF(D$32:BO$32,"# Hours",D33:BO33)</f>
        <v>330</v>
      </c>
      <c r="BN33" s="83">
        <f>SUMIF(D$32:BO$32,"Dollar Value",D33:BO33)</f>
        <v>401</v>
      </c>
    </row>
    <row r="34" spans="2:66" x14ac:dyDescent="0.25">
      <c r="B34" s="6" t="str">
        <f>'Base Period'!B34</f>
        <v>Name</v>
      </c>
      <c r="C34" s="6" t="str">
        <f>'Base Period'!C34</f>
        <v>Mid Level Medical Integrity Reviewer</v>
      </c>
      <c r="D34" s="103">
        <f>'Base Period'!D34</f>
        <v>14</v>
      </c>
      <c r="E34" s="28">
        <v>0</v>
      </c>
      <c r="F34" s="63">
        <f t="shared" ref="F34:F62" si="18">IF(ISERROR(E34*$D34), "$0", E34*$D34)</f>
        <v>0</v>
      </c>
      <c r="G34" s="28">
        <v>10</v>
      </c>
      <c r="H34" s="62">
        <v>1</v>
      </c>
      <c r="I34" s="28">
        <v>10</v>
      </c>
      <c r="J34" s="62">
        <v>1</v>
      </c>
      <c r="K34" s="28">
        <v>10</v>
      </c>
      <c r="L34" s="63">
        <f t="shared" ref="L34:L62" si="19">IF(ISERROR(K34*$D34), "$0", K34*$D34)</f>
        <v>140</v>
      </c>
      <c r="M34" s="28">
        <v>10</v>
      </c>
      <c r="N34" s="62">
        <v>1</v>
      </c>
      <c r="O34" s="28">
        <v>10</v>
      </c>
      <c r="P34" s="62">
        <v>1</v>
      </c>
      <c r="Q34" s="28">
        <v>10</v>
      </c>
      <c r="R34" s="62">
        <v>1</v>
      </c>
      <c r="S34" s="28">
        <v>10</v>
      </c>
      <c r="T34" s="62">
        <v>1</v>
      </c>
      <c r="U34" s="28">
        <v>10</v>
      </c>
      <c r="V34" s="62">
        <v>1</v>
      </c>
      <c r="W34" s="28">
        <v>10</v>
      </c>
      <c r="X34" s="62">
        <v>1</v>
      </c>
      <c r="Y34" s="28">
        <v>10</v>
      </c>
      <c r="Z34" s="62">
        <v>1</v>
      </c>
      <c r="AA34" s="28">
        <v>10</v>
      </c>
      <c r="AB34" s="62">
        <v>1</v>
      </c>
      <c r="AC34" s="28">
        <v>50</v>
      </c>
      <c r="AD34" s="62">
        <v>1</v>
      </c>
      <c r="AE34" s="28">
        <v>10</v>
      </c>
      <c r="AF34" s="63">
        <f t="shared" ref="AF34:AF62" si="20">IF(ISERROR(AE34*$D34), "$0", AE34*$D34)</f>
        <v>140</v>
      </c>
      <c r="AG34" s="28">
        <v>10</v>
      </c>
      <c r="AH34" s="63">
        <f t="shared" ref="AH34:AH62" si="21">IF(ISERROR(AG34*$D34), "$0", AG34*$D34)</f>
        <v>140</v>
      </c>
      <c r="AI34" s="64">
        <v>0</v>
      </c>
      <c r="AJ34" s="63">
        <f t="shared" si="3"/>
        <v>0</v>
      </c>
      <c r="AK34" s="64">
        <v>0</v>
      </c>
      <c r="AL34" s="63">
        <f t="shared" si="4"/>
        <v>0</v>
      </c>
      <c r="AM34" s="64">
        <v>0</v>
      </c>
      <c r="AN34" s="63">
        <f t="shared" si="5"/>
        <v>0</v>
      </c>
      <c r="AO34" s="64">
        <v>0</v>
      </c>
      <c r="AP34" s="63">
        <f t="shared" si="6"/>
        <v>0</v>
      </c>
      <c r="AQ34" s="64">
        <v>0</v>
      </c>
      <c r="AR34" s="63">
        <f t="shared" si="7"/>
        <v>0</v>
      </c>
      <c r="AS34" s="64">
        <v>0</v>
      </c>
      <c r="AT34" s="63">
        <f t="shared" si="8"/>
        <v>0</v>
      </c>
      <c r="AU34" s="64">
        <v>0</v>
      </c>
      <c r="AV34" s="63">
        <f t="shared" si="9"/>
        <v>0</v>
      </c>
      <c r="AW34" s="64">
        <v>0</v>
      </c>
      <c r="AX34" s="63">
        <f t="shared" si="10"/>
        <v>0</v>
      </c>
      <c r="AY34" s="64">
        <v>0</v>
      </c>
      <c r="AZ34" s="63">
        <f t="shared" si="11"/>
        <v>0</v>
      </c>
      <c r="BA34" s="64">
        <v>0</v>
      </c>
      <c r="BB34" s="63">
        <f t="shared" si="12"/>
        <v>0</v>
      </c>
      <c r="BC34" s="64">
        <v>0</v>
      </c>
      <c r="BD34" s="63">
        <f t="shared" si="13"/>
        <v>0</v>
      </c>
      <c r="BE34" s="64">
        <v>0</v>
      </c>
      <c r="BF34" s="63">
        <f t="shared" si="14"/>
        <v>0</v>
      </c>
      <c r="BG34" s="64">
        <v>0</v>
      </c>
      <c r="BH34" s="63">
        <f t="shared" si="15"/>
        <v>0</v>
      </c>
      <c r="BI34" s="64">
        <v>0</v>
      </c>
      <c r="BJ34" s="63">
        <f t="shared" si="16"/>
        <v>0</v>
      </c>
      <c r="BK34" s="64">
        <v>0</v>
      </c>
      <c r="BL34" s="29">
        <f t="shared" si="17"/>
        <v>0</v>
      </c>
      <c r="BM34" s="82">
        <f t="shared" ref="BM34:BM62" si="22">SUMIF(D$32:BO$32,"# Hours",D34:BO34)</f>
        <v>180</v>
      </c>
      <c r="BN34" s="83">
        <f t="shared" ref="BN34:BN62" si="23">SUMIF(D$32:BO$32,"Dollar Value",D34:BO34)</f>
        <v>431</v>
      </c>
    </row>
    <row r="35" spans="2:66" x14ac:dyDescent="0.25">
      <c r="B35" s="6" t="str">
        <f>'Base Period'!B35</f>
        <v>Name</v>
      </c>
      <c r="C35" s="6" t="str">
        <f>'Base Period'!C35</f>
        <v>Data Analyst</v>
      </c>
      <c r="D35" s="103">
        <f>'Base Period'!D35</f>
        <v>15</v>
      </c>
      <c r="E35" s="28">
        <v>0</v>
      </c>
      <c r="F35" s="63">
        <f t="shared" si="18"/>
        <v>0</v>
      </c>
      <c r="G35" s="28">
        <v>10</v>
      </c>
      <c r="H35" s="62">
        <v>1</v>
      </c>
      <c r="I35" s="28">
        <v>10</v>
      </c>
      <c r="J35" s="62">
        <v>1</v>
      </c>
      <c r="K35" s="28">
        <v>10</v>
      </c>
      <c r="L35" s="63">
        <f t="shared" si="19"/>
        <v>150</v>
      </c>
      <c r="M35" s="28">
        <v>10</v>
      </c>
      <c r="N35" s="62">
        <v>1</v>
      </c>
      <c r="O35" s="28">
        <v>10</v>
      </c>
      <c r="P35" s="62">
        <v>1</v>
      </c>
      <c r="Q35" s="28">
        <v>10</v>
      </c>
      <c r="R35" s="62">
        <v>1</v>
      </c>
      <c r="S35" s="28">
        <v>10</v>
      </c>
      <c r="T35" s="62">
        <v>1</v>
      </c>
      <c r="U35" s="28">
        <v>10</v>
      </c>
      <c r="V35" s="62">
        <v>1</v>
      </c>
      <c r="W35" s="28">
        <v>10</v>
      </c>
      <c r="X35" s="62">
        <v>1</v>
      </c>
      <c r="Y35" s="28">
        <v>10</v>
      </c>
      <c r="Z35" s="62">
        <v>1</v>
      </c>
      <c r="AA35" s="28">
        <v>10</v>
      </c>
      <c r="AB35" s="62">
        <v>1</v>
      </c>
      <c r="AC35" s="28">
        <v>180</v>
      </c>
      <c r="AD35" s="62">
        <v>1</v>
      </c>
      <c r="AE35" s="28">
        <v>10</v>
      </c>
      <c r="AF35" s="63">
        <f t="shared" si="20"/>
        <v>150</v>
      </c>
      <c r="AG35" s="28">
        <v>10</v>
      </c>
      <c r="AH35" s="63">
        <f t="shared" si="21"/>
        <v>150</v>
      </c>
      <c r="AI35" s="64">
        <v>0</v>
      </c>
      <c r="AJ35" s="63">
        <f t="shared" si="3"/>
        <v>0</v>
      </c>
      <c r="AK35" s="64">
        <v>0</v>
      </c>
      <c r="AL35" s="63">
        <f t="shared" si="4"/>
        <v>0</v>
      </c>
      <c r="AM35" s="64">
        <v>0</v>
      </c>
      <c r="AN35" s="63">
        <f t="shared" si="5"/>
        <v>0</v>
      </c>
      <c r="AO35" s="64">
        <v>0</v>
      </c>
      <c r="AP35" s="63">
        <f t="shared" si="6"/>
        <v>0</v>
      </c>
      <c r="AQ35" s="64">
        <v>0</v>
      </c>
      <c r="AR35" s="63">
        <f t="shared" si="7"/>
        <v>0</v>
      </c>
      <c r="AS35" s="64">
        <v>0</v>
      </c>
      <c r="AT35" s="63">
        <f t="shared" si="8"/>
        <v>0</v>
      </c>
      <c r="AU35" s="64">
        <v>0</v>
      </c>
      <c r="AV35" s="63">
        <f t="shared" si="9"/>
        <v>0</v>
      </c>
      <c r="AW35" s="64">
        <v>0</v>
      </c>
      <c r="AX35" s="63">
        <f t="shared" si="10"/>
        <v>0</v>
      </c>
      <c r="AY35" s="64">
        <v>0</v>
      </c>
      <c r="AZ35" s="63">
        <f t="shared" si="11"/>
        <v>0</v>
      </c>
      <c r="BA35" s="64">
        <v>0</v>
      </c>
      <c r="BB35" s="63">
        <f t="shared" si="12"/>
        <v>0</v>
      </c>
      <c r="BC35" s="64">
        <v>0</v>
      </c>
      <c r="BD35" s="63">
        <f t="shared" si="13"/>
        <v>0</v>
      </c>
      <c r="BE35" s="64">
        <v>0</v>
      </c>
      <c r="BF35" s="63">
        <f t="shared" si="14"/>
        <v>0</v>
      </c>
      <c r="BG35" s="64">
        <v>0</v>
      </c>
      <c r="BH35" s="63">
        <f t="shared" si="15"/>
        <v>0</v>
      </c>
      <c r="BI35" s="64">
        <v>0</v>
      </c>
      <c r="BJ35" s="63">
        <f t="shared" si="16"/>
        <v>0</v>
      </c>
      <c r="BK35" s="64">
        <v>0</v>
      </c>
      <c r="BL35" s="63">
        <f t="shared" si="17"/>
        <v>0</v>
      </c>
      <c r="BM35" s="82">
        <f t="shared" si="22"/>
        <v>310</v>
      </c>
      <c r="BN35" s="83">
        <f t="shared" si="23"/>
        <v>461</v>
      </c>
    </row>
    <row r="36" spans="2:66" x14ac:dyDescent="0.25">
      <c r="B36" s="6" t="str">
        <f>'Base Period'!B36</f>
        <v>Name</v>
      </c>
      <c r="C36" s="6" t="str">
        <f>'Base Period'!C36</f>
        <v>Senior Data Manager</v>
      </c>
      <c r="D36" s="103">
        <f>'Base Period'!D36</f>
        <v>16</v>
      </c>
      <c r="E36" s="28">
        <v>10</v>
      </c>
      <c r="F36" s="63">
        <v>1</v>
      </c>
      <c r="G36" s="28">
        <v>10</v>
      </c>
      <c r="H36" s="62">
        <v>1</v>
      </c>
      <c r="I36" s="28">
        <v>10</v>
      </c>
      <c r="J36" s="62">
        <v>1</v>
      </c>
      <c r="K36" s="28">
        <v>10</v>
      </c>
      <c r="L36" s="63">
        <f t="shared" si="19"/>
        <v>160</v>
      </c>
      <c r="M36" s="28">
        <v>10</v>
      </c>
      <c r="N36" s="62">
        <v>1</v>
      </c>
      <c r="O36" s="28">
        <v>10</v>
      </c>
      <c r="P36" s="62">
        <v>1</v>
      </c>
      <c r="Q36" s="28">
        <v>10</v>
      </c>
      <c r="R36" s="62">
        <v>1</v>
      </c>
      <c r="S36" s="28">
        <v>10</v>
      </c>
      <c r="T36" s="62">
        <v>1</v>
      </c>
      <c r="U36" s="28">
        <v>10</v>
      </c>
      <c r="V36" s="62">
        <v>1</v>
      </c>
      <c r="W36" s="28">
        <v>10</v>
      </c>
      <c r="X36" s="62">
        <v>1</v>
      </c>
      <c r="Y36" s="28">
        <v>10</v>
      </c>
      <c r="Z36" s="62">
        <v>1</v>
      </c>
      <c r="AA36" s="28">
        <v>10</v>
      </c>
      <c r="AB36" s="62">
        <v>1</v>
      </c>
      <c r="AC36" s="28">
        <v>150</v>
      </c>
      <c r="AD36" s="62">
        <v>1</v>
      </c>
      <c r="AE36" s="28">
        <v>10</v>
      </c>
      <c r="AF36" s="63">
        <f t="shared" si="20"/>
        <v>160</v>
      </c>
      <c r="AG36" s="28">
        <v>10</v>
      </c>
      <c r="AH36" s="63">
        <f t="shared" si="21"/>
        <v>160</v>
      </c>
      <c r="AI36" s="64">
        <v>0</v>
      </c>
      <c r="AJ36" s="63">
        <f t="shared" si="3"/>
        <v>0</v>
      </c>
      <c r="AK36" s="64">
        <v>0</v>
      </c>
      <c r="AL36" s="63">
        <f t="shared" si="4"/>
        <v>0</v>
      </c>
      <c r="AM36" s="64">
        <v>0</v>
      </c>
      <c r="AN36" s="63">
        <f t="shared" si="5"/>
        <v>0</v>
      </c>
      <c r="AO36" s="64">
        <v>0</v>
      </c>
      <c r="AP36" s="63">
        <f t="shared" si="6"/>
        <v>0</v>
      </c>
      <c r="AQ36" s="64">
        <v>0</v>
      </c>
      <c r="AR36" s="63">
        <f t="shared" si="7"/>
        <v>0</v>
      </c>
      <c r="AS36" s="64">
        <v>0</v>
      </c>
      <c r="AT36" s="63">
        <f t="shared" si="8"/>
        <v>0</v>
      </c>
      <c r="AU36" s="64">
        <v>0</v>
      </c>
      <c r="AV36" s="63">
        <f t="shared" si="9"/>
        <v>0</v>
      </c>
      <c r="AW36" s="64">
        <v>0</v>
      </c>
      <c r="AX36" s="63">
        <f t="shared" si="10"/>
        <v>0</v>
      </c>
      <c r="AY36" s="64">
        <v>0</v>
      </c>
      <c r="AZ36" s="63">
        <f t="shared" si="11"/>
        <v>0</v>
      </c>
      <c r="BA36" s="64">
        <v>0</v>
      </c>
      <c r="BB36" s="63">
        <f t="shared" si="12"/>
        <v>0</v>
      </c>
      <c r="BC36" s="64">
        <v>0</v>
      </c>
      <c r="BD36" s="63">
        <f t="shared" si="13"/>
        <v>0</v>
      </c>
      <c r="BE36" s="64">
        <v>0</v>
      </c>
      <c r="BF36" s="63">
        <f t="shared" si="14"/>
        <v>0</v>
      </c>
      <c r="BG36" s="64">
        <v>0</v>
      </c>
      <c r="BH36" s="63">
        <f t="shared" si="15"/>
        <v>0</v>
      </c>
      <c r="BI36" s="64">
        <v>0</v>
      </c>
      <c r="BJ36" s="63">
        <f t="shared" si="16"/>
        <v>0</v>
      </c>
      <c r="BK36" s="64">
        <v>0</v>
      </c>
      <c r="BL36" s="63">
        <f t="shared" si="17"/>
        <v>0</v>
      </c>
      <c r="BM36" s="82">
        <f t="shared" si="22"/>
        <v>290</v>
      </c>
      <c r="BN36" s="83">
        <f t="shared" si="23"/>
        <v>492</v>
      </c>
    </row>
    <row r="37" spans="2:66" x14ac:dyDescent="0.25">
      <c r="B37" s="6" t="str">
        <f>'Base Period'!B37</f>
        <v>Name</v>
      </c>
      <c r="C37" s="6" t="str">
        <f>'Base Period'!C37</f>
        <v>Junior Level Medical Integrity Reviewer</v>
      </c>
      <c r="D37" s="103">
        <f>'Base Period'!D37</f>
        <v>17</v>
      </c>
      <c r="E37" s="28">
        <v>0</v>
      </c>
      <c r="F37" s="63">
        <f t="shared" si="18"/>
        <v>0</v>
      </c>
      <c r="G37" s="28">
        <v>10</v>
      </c>
      <c r="H37" s="62">
        <v>1</v>
      </c>
      <c r="I37" s="28">
        <v>10</v>
      </c>
      <c r="J37" s="62">
        <v>1</v>
      </c>
      <c r="K37" s="28">
        <v>10</v>
      </c>
      <c r="L37" s="63">
        <f t="shared" si="19"/>
        <v>170</v>
      </c>
      <c r="M37" s="28">
        <v>10</v>
      </c>
      <c r="N37" s="62">
        <v>1</v>
      </c>
      <c r="O37" s="28">
        <v>10</v>
      </c>
      <c r="P37" s="62">
        <v>1</v>
      </c>
      <c r="Q37" s="28">
        <v>10</v>
      </c>
      <c r="R37" s="62">
        <v>1</v>
      </c>
      <c r="S37" s="28">
        <v>10</v>
      </c>
      <c r="T37" s="62">
        <v>1</v>
      </c>
      <c r="U37" s="28">
        <v>10</v>
      </c>
      <c r="V37" s="62">
        <v>1</v>
      </c>
      <c r="W37" s="28">
        <v>10</v>
      </c>
      <c r="X37" s="62">
        <v>1</v>
      </c>
      <c r="Y37" s="28">
        <v>10</v>
      </c>
      <c r="Z37" s="62">
        <v>1</v>
      </c>
      <c r="AA37" s="28">
        <v>10</v>
      </c>
      <c r="AB37" s="62">
        <v>1</v>
      </c>
      <c r="AC37" s="28">
        <v>200</v>
      </c>
      <c r="AD37" s="62">
        <v>1</v>
      </c>
      <c r="AE37" s="28">
        <v>10</v>
      </c>
      <c r="AF37" s="63">
        <f t="shared" si="20"/>
        <v>170</v>
      </c>
      <c r="AG37" s="28">
        <v>10</v>
      </c>
      <c r="AH37" s="63">
        <f t="shared" si="21"/>
        <v>170</v>
      </c>
      <c r="AI37" s="64">
        <v>0</v>
      </c>
      <c r="AJ37" s="63">
        <f t="shared" si="3"/>
        <v>0</v>
      </c>
      <c r="AK37" s="64">
        <v>0</v>
      </c>
      <c r="AL37" s="63">
        <f t="shared" si="4"/>
        <v>0</v>
      </c>
      <c r="AM37" s="64">
        <v>0</v>
      </c>
      <c r="AN37" s="63">
        <f t="shared" si="5"/>
        <v>0</v>
      </c>
      <c r="AO37" s="64">
        <v>0</v>
      </c>
      <c r="AP37" s="63">
        <f t="shared" si="6"/>
        <v>0</v>
      </c>
      <c r="AQ37" s="64">
        <v>0</v>
      </c>
      <c r="AR37" s="63">
        <f t="shared" si="7"/>
        <v>0</v>
      </c>
      <c r="AS37" s="64">
        <v>0</v>
      </c>
      <c r="AT37" s="63">
        <f t="shared" si="8"/>
        <v>0</v>
      </c>
      <c r="AU37" s="64">
        <v>0</v>
      </c>
      <c r="AV37" s="63">
        <f t="shared" si="9"/>
        <v>0</v>
      </c>
      <c r="AW37" s="64">
        <v>0</v>
      </c>
      <c r="AX37" s="63">
        <f t="shared" si="10"/>
        <v>0</v>
      </c>
      <c r="AY37" s="64">
        <v>0</v>
      </c>
      <c r="AZ37" s="63">
        <f t="shared" si="11"/>
        <v>0</v>
      </c>
      <c r="BA37" s="64">
        <v>0</v>
      </c>
      <c r="BB37" s="63">
        <f t="shared" si="12"/>
        <v>0</v>
      </c>
      <c r="BC37" s="64">
        <v>0</v>
      </c>
      <c r="BD37" s="63">
        <f t="shared" si="13"/>
        <v>0</v>
      </c>
      <c r="BE37" s="64">
        <v>0</v>
      </c>
      <c r="BF37" s="63">
        <f t="shared" si="14"/>
        <v>0</v>
      </c>
      <c r="BG37" s="64">
        <v>0</v>
      </c>
      <c r="BH37" s="63">
        <f t="shared" si="15"/>
        <v>0</v>
      </c>
      <c r="BI37" s="64">
        <v>0</v>
      </c>
      <c r="BJ37" s="63">
        <f t="shared" si="16"/>
        <v>0</v>
      </c>
      <c r="BK37" s="64">
        <v>0</v>
      </c>
      <c r="BL37" s="63">
        <f t="shared" si="17"/>
        <v>0</v>
      </c>
      <c r="BM37" s="82">
        <f t="shared" si="22"/>
        <v>330</v>
      </c>
      <c r="BN37" s="83">
        <f t="shared" si="23"/>
        <v>521</v>
      </c>
    </row>
    <row r="38" spans="2:66" x14ac:dyDescent="0.25">
      <c r="B38" s="6" t="str">
        <f>'Base Period'!B38</f>
        <v>Name</v>
      </c>
      <c r="C38" s="6" t="str">
        <f>'Base Period'!C38</f>
        <v>Mid Level Medical Integrity Reviewer</v>
      </c>
      <c r="D38" s="103">
        <f>'Base Period'!D38</f>
        <v>20</v>
      </c>
      <c r="E38" s="28">
        <v>0</v>
      </c>
      <c r="F38" s="63">
        <f t="shared" si="18"/>
        <v>0</v>
      </c>
      <c r="G38" s="28">
        <v>10</v>
      </c>
      <c r="H38" s="62">
        <v>1</v>
      </c>
      <c r="I38" s="28">
        <v>10</v>
      </c>
      <c r="J38" s="62">
        <v>1</v>
      </c>
      <c r="K38" s="28">
        <v>10</v>
      </c>
      <c r="L38" s="63">
        <f t="shared" si="19"/>
        <v>200</v>
      </c>
      <c r="M38" s="28">
        <v>10</v>
      </c>
      <c r="N38" s="62">
        <v>1</v>
      </c>
      <c r="O38" s="28">
        <v>10</v>
      </c>
      <c r="P38" s="62">
        <v>1</v>
      </c>
      <c r="Q38" s="28">
        <v>10</v>
      </c>
      <c r="R38" s="62">
        <v>1</v>
      </c>
      <c r="S38" s="28">
        <v>10</v>
      </c>
      <c r="T38" s="62">
        <v>1</v>
      </c>
      <c r="U38" s="28">
        <v>10</v>
      </c>
      <c r="V38" s="62">
        <v>1</v>
      </c>
      <c r="W38" s="28">
        <v>10</v>
      </c>
      <c r="X38" s="62">
        <v>1</v>
      </c>
      <c r="Y38" s="28">
        <v>10</v>
      </c>
      <c r="Z38" s="62">
        <v>1</v>
      </c>
      <c r="AA38" s="28">
        <v>10</v>
      </c>
      <c r="AB38" s="62">
        <v>1</v>
      </c>
      <c r="AC38" s="28">
        <v>200</v>
      </c>
      <c r="AD38" s="62">
        <v>1</v>
      </c>
      <c r="AE38" s="28">
        <v>10</v>
      </c>
      <c r="AF38" s="63">
        <f t="shared" si="20"/>
        <v>200</v>
      </c>
      <c r="AG38" s="28">
        <v>10</v>
      </c>
      <c r="AH38" s="63">
        <f t="shared" si="21"/>
        <v>200</v>
      </c>
      <c r="AI38" s="64">
        <v>0</v>
      </c>
      <c r="AJ38" s="63">
        <f t="shared" si="3"/>
        <v>0</v>
      </c>
      <c r="AK38" s="64">
        <v>0</v>
      </c>
      <c r="AL38" s="63">
        <f t="shared" si="4"/>
        <v>0</v>
      </c>
      <c r="AM38" s="64">
        <v>0</v>
      </c>
      <c r="AN38" s="63">
        <f t="shared" si="5"/>
        <v>0</v>
      </c>
      <c r="AO38" s="64">
        <v>0</v>
      </c>
      <c r="AP38" s="63">
        <f t="shared" si="6"/>
        <v>0</v>
      </c>
      <c r="AQ38" s="64">
        <v>0</v>
      </c>
      <c r="AR38" s="63">
        <f t="shared" si="7"/>
        <v>0</v>
      </c>
      <c r="AS38" s="64">
        <v>0</v>
      </c>
      <c r="AT38" s="63">
        <f t="shared" si="8"/>
        <v>0</v>
      </c>
      <c r="AU38" s="64">
        <v>0</v>
      </c>
      <c r="AV38" s="63">
        <f t="shared" si="9"/>
        <v>0</v>
      </c>
      <c r="AW38" s="64">
        <v>0</v>
      </c>
      <c r="AX38" s="63">
        <f t="shared" si="10"/>
        <v>0</v>
      </c>
      <c r="AY38" s="64">
        <v>0</v>
      </c>
      <c r="AZ38" s="63">
        <f t="shared" si="11"/>
        <v>0</v>
      </c>
      <c r="BA38" s="64">
        <v>0</v>
      </c>
      <c r="BB38" s="63">
        <f t="shared" si="12"/>
        <v>0</v>
      </c>
      <c r="BC38" s="64">
        <v>0</v>
      </c>
      <c r="BD38" s="63">
        <f t="shared" si="13"/>
        <v>0</v>
      </c>
      <c r="BE38" s="64">
        <v>0</v>
      </c>
      <c r="BF38" s="63">
        <f t="shared" si="14"/>
        <v>0</v>
      </c>
      <c r="BG38" s="64">
        <v>0</v>
      </c>
      <c r="BH38" s="63">
        <f t="shared" si="15"/>
        <v>0</v>
      </c>
      <c r="BI38" s="64">
        <v>0</v>
      </c>
      <c r="BJ38" s="63">
        <f t="shared" si="16"/>
        <v>0</v>
      </c>
      <c r="BK38" s="64">
        <v>0</v>
      </c>
      <c r="BL38" s="63">
        <f t="shared" si="17"/>
        <v>0</v>
      </c>
      <c r="BM38" s="82">
        <f t="shared" si="22"/>
        <v>330</v>
      </c>
      <c r="BN38" s="83">
        <f t="shared" si="23"/>
        <v>611</v>
      </c>
    </row>
    <row r="39" spans="2:66" hidden="1" x14ac:dyDescent="0.25">
      <c r="B39" s="6" t="str">
        <f>'Base Period'!B39</f>
        <v>Name</v>
      </c>
      <c r="C39" s="6" t="str">
        <f>'Base Period'!C39</f>
        <v>Enter Labor Category/Title</v>
      </c>
      <c r="D39" s="103">
        <f>'Base Period'!D39</f>
        <v>0</v>
      </c>
      <c r="E39" s="28">
        <v>0</v>
      </c>
      <c r="F39" s="63">
        <f t="shared" si="18"/>
        <v>0</v>
      </c>
      <c r="G39" s="28">
        <v>0</v>
      </c>
      <c r="H39" s="63">
        <f t="shared" ref="H39:H62" si="24">IF(ISERROR(G39*$D39), "$0", G39*$D39)</f>
        <v>0</v>
      </c>
      <c r="I39" s="28">
        <v>0</v>
      </c>
      <c r="J39" s="63">
        <f t="shared" ref="J39:J62" si="25">IF(ISERROR(I39*$D39), "$0", I39*$D39)</f>
        <v>0</v>
      </c>
      <c r="K39" s="28">
        <v>0</v>
      </c>
      <c r="L39" s="63">
        <f t="shared" si="19"/>
        <v>0</v>
      </c>
      <c r="M39" s="28">
        <v>0</v>
      </c>
      <c r="N39" s="63">
        <f t="shared" ref="N39:N62" si="26">IF(ISERROR(M39*$D39), "$0", M39*$D39)</f>
        <v>0</v>
      </c>
      <c r="O39" s="28">
        <v>0</v>
      </c>
      <c r="P39" s="63">
        <f t="shared" ref="P39:P62" si="27">IF(ISERROR(O39*$D39), "$0", O39*$D39)</f>
        <v>0</v>
      </c>
      <c r="Q39" s="28">
        <v>0</v>
      </c>
      <c r="R39" s="63">
        <f t="shared" ref="R39:R62" si="28">IF(ISERROR(Q39*$D39), "$0", Q39*$D39)</f>
        <v>0</v>
      </c>
      <c r="S39" s="28">
        <v>0</v>
      </c>
      <c r="T39" s="63">
        <f t="shared" ref="T39:T62" si="29">IF(ISERROR(S39*$D39), "$0", S39*$D39)</f>
        <v>0</v>
      </c>
      <c r="U39" s="28">
        <v>0</v>
      </c>
      <c r="V39" s="63">
        <f t="shared" ref="V39:V62" si="30">IF(ISERROR(U39*$D39), "$0", U39*$D39)</f>
        <v>0</v>
      </c>
      <c r="W39" s="28">
        <v>0</v>
      </c>
      <c r="X39" s="63">
        <f t="shared" ref="X39:X62" si="31">IF(ISERROR(W39*$D39), "$0", W39*$D39)</f>
        <v>0</v>
      </c>
      <c r="Y39" s="28">
        <v>0</v>
      </c>
      <c r="Z39" s="63">
        <f t="shared" ref="Z39:Z62" si="32">IF(ISERROR(Y39*$D39), "$0", Y39*$D39)</f>
        <v>0</v>
      </c>
      <c r="AA39" s="28">
        <v>0</v>
      </c>
      <c r="AB39" s="63">
        <f t="shared" ref="AB39:AB62" si="33">IF(ISERROR(AA39*$D39), "$0", AA39*$D39)</f>
        <v>0</v>
      </c>
      <c r="AC39" s="28">
        <v>0</v>
      </c>
      <c r="AD39" s="63">
        <f t="shared" ref="AD39:AD62" si="34">IF(ISERROR(AC39*$D39), "$0", AC39*$D39)</f>
        <v>0</v>
      </c>
      <c r="AE39" s="28">
        <v>0</v>
      </c>
      <c r="AF39" s="63">
        <f t="shared" si="20"/>
        <v>0</v>
      </c>
      <c r="AG39" s="28">
        <v>0</v>
      </c>
      <c r="AH39" s="63">
        <f t="shared" si="21"/>
        <v>0</v>
      </c>
      <c r="AI39" s="64">
        <v>0</v>
      </c>
      <c r="AJ39" s="63">
        <f t="shared" si="3"/>
        <v>0</v>
      </c>
      <c r="AK39" s="64">
        <v>0</v>
      </c>
      <c r="AL39" s="63">
        <f t="shared" si="4"/>
        <v>0</v>
      </c>
      <c r="AM39" s="64">
        <v>0</v>
      </c>
      <c r="AN39" s="63">
        <f t="shared" si="5"/>
        <v>0</v>
      </c>
      <c r="AO39" s="64">
        <v>0</v>
      </c>
      <c r="AP39" s="63">
        <f t="shared" si="6"/>
        <v>0</v>
      </c>
      <c r="AQ39" s="64">
        <v>0</v>
      </c>
      <c r="AR39" s="63">
        <f t="shared" si="7"/>
        <v>0</v>
      </c>
      <c r="AS39" s="64">
        <v>0</v>
      </c>
      <c r="AT39" s="63">
        <f t="shared" si="8"/>
        <v>0</v>
      </c>
      <c r="AU39" s="64">
        <v>0</v>
      </c>
      <c r="AV39" s="63">
        <f t="shared" si="9"/>
        <v>0</v>
      </c>
      <c r="AW39" s="64">
        <v>0</v>
      </c>
      <c r="AX39" s="63">
        <f t="shared" si="10"/>
        <v>0</v>
      </c>
      <c r="AY39" s="64">
        <v>0</v>
      </c>
      <c r="AZ39" s="63">
        <f t="shared" si="11"/>
        <v>0</v>
      </c>
      <c r="BA39" s="64">
        <v>0</v>
      </c>
      <c r="BB39" s="63">
        <f t="shared" si="12"/>
        <v>0</v>
      </c>
      <c r="BC39" s="64">
        <v>0</v>
      </c>
      <c r="BD39" s="63">
        <f t="shared" si="13"/>
        <v>0</v>
      </c>
      <c r="BE39" s="64">
        <v>0</v>
      </c>
      <c r="BF39" s="63">
        <f t="shared" si="14"/>
        <v>0</v>
      </c>
      <c r="BG39" s="64">
        <v>0</v>
      </c>
      <c r="BH39" s="63">
        <f t="shared" si="15"/>
        <v>0</v>
      </c>
      <c r="BI39" s="64">
        <v>0</v>
      </c>
      <c r="BJ39" s="63">
        <f t="shared" si="16"/>
        <v>0</v>
      </c>
      <c r="BK39" s="64">
        <v>0</v>
      </c>
      <c r="BL39" s="63">
        <f t="shared" si="17"/>
        <v>0</v>
      </c>
      <c r="BM39" s="82">
        <f t="shared" si="22"/>
        <v>0</v>
      </c>
      <c r="BN39" s="83">
        <f t="shared" si="23"/>
        <v>0</v>
      </c>
    </row>
    <row r="40" spans="2:66" hidden="1" x14ac:dyDescent="0.25">
      <c r="B40" s="6" t="str">
        <f>'Base Period'!B40</f>
        <v>Name</v>
      </c>
      <c r="C40" s="6" t="str">
        <f>'Base Period'!C40</f>
        <v>Enter Labor Category/Title</v>
      </c>
      <c r="D40" s="103">
        <f>'Base Period'!D40</f>
        <v>0</v>
      </c>
      <c r="E40" s="28">
        <v>0</v>
      </c>
      <c r="F40" s="63">
        <f t="shared" si="18"/>
        <v>0</v>
      </c>
      <c r="G40" s="28">
        <v>0</v>
      </c>
      <c r="H40" s="63">
        <f t="shared" si="24"/>
        <v>0</v>
      </c>
      <c r="I40" s="28">
        <v>0</v>
      </c>
      <c r="J40" s="63">
        <f t="shared" si="25"/>
        <v>0</v>
      </c>
      <c r="K40" s="28">
        <v>0</v>
      </c>
      <c r="L40" s="63">
        <f t="shared" si="19"/>
        <v>0</v>
      </c>
      <c r="M40" s="28">
        <v>0</v>
      </c>
      <c r="N40" s="63">
        <f t="shared" si="26"/>
        <v>0</v>
      </c>
      <c r="O40" s="28">
        <v>0</v>
      </c>
      <c r="P40" s="63">
        <f t="shared" si="27"/>
        <v>0</v>
      </c>
      <c r="Q40" s="28">
        <v>0</v>
      </c>
      <c r="R40" s="63">
        <f t="shared" si="28"/>
        <v>0</v>
      </c>
      <c r="S40" s="28">
        <v>0</v>
      </c>
      <c r="T40" s="63">
        <f t="shared" si="29"/>
        <v>0</v>
      </c>
      <c r="U40" s="28">
        <v>0</v>
      </c>
      <c r="V40" s="63">
        <f t="shared" si="30"/>
        <v>0</v>
      </c>
      <c r="W40" s="28">
        <v>0</v>
      </c>
      <c r="X40" s="63">
        <f t="shared" si="31"/>
        <v>0</v>
      </c>
      <c r="Y40" s="28">
        <v>0</v>
      </c>
      <c r="Z40" s="63">
        <f t="shared" si="32"/>
        <v>0</v>
      </c>
      <c r="AA40" s="28">
        <v>0</v>
      </c>
      <c r="AB40" s="63">
        <f t="shared" si="33"/>
        <v>0</v>
      </c>
      <c r="AC40" s="28">
        <v>0</v>
      </c>
      <c r="AD40" s="63">
        <f t="shared" si="34"/>
        <v>0</v>
      </c>
      <c r="AE40" s="28">
        <v>0</v>
      </c>
      <c r="AF40" s="63">
        <f t="shared" si="20"/>
        <v>0</v>
      </c>
      <c r="AG40" s="28">
        <v>0</v>
      </c>
      <c r="AH40" s="63">
        <f t="shared" si="21"/>
        <v>0</v>
      </c>
      <c r="AI40" s="64">
        <v>0</v>
      </c>
      <c r="AJ40" s="63">
        <f t="shared" si="3"/>
        <v>0</v>
      </c>
      <c r="AK40" s="64">
        <v>0</v>
      </c>
      <c r="AL40" s="63">
        <f t="shared" si="4"/>
        <v>0</v>
      </c>
      <c r="AM40" s="64">
        <v>0</v>
      </c>
      <c r="AN40" s="63">
        <f t="shared" si="5"/>
        <v>0</v>
      </c>
      <c r="AO40" s="64">
        <v>0</v>
      </c>
      <c r="AP40" s="63">
        <f t="shared" si="6"/>
        <v>0</v>
      </c>
      <c r="AQ40" s="64">
        <v>0</v>
      </c>
      <c r="AR40" s="63">
        <f t="shared" si="7"/>
        <v>0</v>
      </c>
      <c r="AS40" s="64">
        <v>0</v>
      </c>
      <c r="AT40" s="63">
        <f t="shared" si="8"/>
        <v>0</v>
      </c>
      <c r="AU40" s="64">
        <v>0</v>
      </c>
      <c r="AV40" s="63">
        <f t="shared" si="9"/>
        <v>0</v>
      </c>
      <c r="AW40" s="64">
        <v>0</v>
      </c>
      <c r="AX40" s="63">
        <f t="shared" si="10"/>
        <v>0</v>
      </c>
      <c r="AY40" s="64">
        <v>0</v>
      </c>
      <c r="AZ40" s="63">
        <f t="shared" si="11"/>
        <v>0</v>
      </c>
      <c r="BA40" s="64">
        <v>0</v>
      </c>
      <c r="BB40" s="63">
        <f t="shared" si="12"/>
        <v>0</v>
      </c>
      <c r="BC40" s="64">
        <v>0</v>
      </c>
      <c r="BD40" s="63">
        <f t="shared" si="13"/>
        <v>0</v>
      </c>
      <c r="BE40" s="64">
        <v>0</v>
      </c>
      <c r="BF40" s="63">
        <f t="shared" si="14"/>
        <v>0</v>
      </c>
      <c r="BG40" s="64">
        <v>0</v>
      </c>
      <c r="BH40" s="63">
        <f t="shared" si="15"/>
        <v>0</v>
      </c>
      <c r="BI40" s="64">
        <v>0</v>
      </c>
      <c r="BJ40" s="63">
        <f t="shared" si="16"/>
        <v>0</v>
      </c>
      <c r="BK40" s="64">
        <v>0</v>
      </c>
      <c r="BL40" s="63">
        <f t="shared" si="17"/>
        <v>0</v>
      </c>
      <c r="BM40" s="82">
        <f t="shared" si="22"/>
        <v>0</v>
      </c>
      <c r="BN40" s="83">
        <f t="shared" si="23"/>
        <v>0</v>
      </c>
    </row>
    <row r="41" spans="2:66" hidden="1" x14ac:dyDescent="0.25">
      <c r="B41" s="6" t="str">
        <f>'Base Period'!B41</f>
        <v>Name</v>
      </c>
      <c r="C41" s="6" t="str">
        <f>'Base Period'!C41</f>
        <v>Enter Labor Category/Title</v>
      </c>
      <c r="D41" s="103">
        <f>'Base Period'!D41</f>
        <v>0</v>
      </c>
      <c r="E41" s="28">
        <v>0</v>
      </c>
      <c r="F41" s="63">
        <f t="shared" si="18"/>
        <v>0</v>
      </c>
      <c r="G41" s="28">
        <v>0</v>
      </c>
      <c r="H41" s="63">
        <f t="shared" si="24"/>
        <v>0</v>
      </c>
      <c r="I41" s="28">
        <v>0</v>
      </c>
      <c r="J41" s="63">
        <f t="shared" si="25"/>
        <v>0</v>
      </c>
      <c r="K41" s="28">
        <v>0</v>
      </c>
      <c r="L41" s="63">
        <f t="shared" si="19"/>
        <v>0</v>
      </c>
      <c r="M41" s="28">
        <v>0</v>
      </c>
      <c r="N41" s="63">
        <f t="shared" si="26"/>
        <v>0</v>
      </c>
      <c r="O41" s="28">
        <v>0</v>
      </c>
      <c r="P41" s="63">
        <f t="shared" si="27"/>
        <v>0</v>
      </c>
      <c r="Q41" s="28">
        <v>0</v>
      </c>
      <c r="R41" s="63">
        <f t="shared" si="28"/>
        <v>0</v>
      </c>
      <c r="S41" s="28">
        <v>0</v>
      </c>
      <c r="T41" s="63">
        <f t="shared" si="29"/>
        <v>0</v>
      </c>
      <c r="U41" s="28">
        <v>0</v>
      </c>
      <c r="V41" s="63">
        <f t="shared" si="30"/>
        <v>0</v>
      </c>
      <c r="W41" s="28">
        <v>0</v>
      </c>
      <c r="X41" s="63">
        <f t="shared" si="31"/>
        <v>0</v>
      </c>
      <c r="Y41" s="28">
        <v>0</v>
      </c>
      <c r="Z41" s="63">
        <f t="shared" si="32"/>
        <v>0</v>
      </c>
      <c r="AA41" s="28">
        <v>0</v>
      </c>
      <c r="AB41" s="63">
        <f t="shared" si="33"/>
        <v>0</v>
      </c>
      <c r="AC41" s="28">
        <v>0</v>
      </c>
      <c r="AD41" s="63">
        <f t="shared" si="34"/>
        <v>0</v>
      </c>
      <c r="AE41" s="28">
        <v>0</v>
      </c>
      <c r="AF41" s="63">
        <f t="shared" si="20"/>
        <v>0</v>
      </c>
      <c r="AG41" s="28">
        <v>0</v>
      </c>
      <c r="AH41" s="63">
        <f t="shared" si="21"/>
        <v>0</v>
      </c>
      <c r="AI41" s="64">
        <v>0</v>
      </c>
      <c r="AJ41" s="63">
        <f t="shared" si="3"/>
        <v>0</v>
      </c>
      <c r="AK41" s="64">
        <v>0</v>
      </c>
      <c r="AL41" s="63">
        <f t="shared" si="4"/>
        <v>0</v>
      </c>
      <c r="AM41" s="64">
        <v>0</v>
      </c>
      <c r="AN41" s="63">
        <f t="shared" si="5"/>
        <v>0</v>
      </c>
      <c r="AO41" s="64">
        <v>0</v>
      </c>
      <c r="AP41" s="63">
        <f t="shared" si="6"/>
        <v>0</v>
      </c>
      <c r="AQ41" s="64">
        <v>0</v>
      </c>
      <c r="AR41" s="63">
        <f t="shared" si="7"/>
        <v>0</v>
      </c>
      <c r="AS41" s="64">
        <v>0</v>
      </c>
      <c r="AT41" s="63">
        <f t="shared" si="8"/>
        <v>0</v>
      </c>
      <c r="AU41" s="64">
        <v>0</v>
      </c>
      <c r="AV41" s="63">
        <f t="shared" si="9"/>
        <v>0</v>
      </c>
      <c r="AW41" s="64">
        <v>0</v>
      </c>
      <c r="AX41" s="63">
        <f t="shared" si="10"/>
        <v>0</v>
      </c>
      <c r="AY41" s="64">
        <v>0</v>
      </c>
      <c r="AZ41" s="63">
        <f t="shared" si="11"/>
        <v>0</v>
      </c>
      <c r="BA41" s="64">
        <v>0</v>
      </c>
      <c r="BB41" s="63">
        <f t="shared" si="12"/>
        <v>0</v>
      </c>
      <c r="BC41" s="64">
        <v>0</v>
      </c>
      <c r="BD41" s="63">
        <f t="shared" si="13"/>
        <v>0</v>
      </c>
      <c r="BE41" s="64">
        <v>0</v>
      </c>
      <c r="BF41" s="63">
        <f t="shared" si="14"/>
        <v>0</v>
      </c>
      <c r="BG41" s="64">
        <v>0</v>
      </c>
      <c r="BH41" s="63">
        <f t="shared" si="15"/>
        <v>0</v>
      </c>
      <c r="BI41" s="64">
        <v>0</v>
      </c>
      <c r="BJ41" s="63">
        <f t="shared" si="16"/>
        <v>0</v>
      </c>
      <c r="BK41" s="64">
        <v>0</v>
      </c>
      <c r="BL41" s="63">
        <f t="shared" si="17"/>
        <v>0</v>
      </c>
      <c r="BM41" s="82">
        <f t="shared" si="22"/>
        <v>0</v>
      </c>
      <c r="BN41" s="83">
        <f t="shared" si="23"/>
        <v>0</v>
      </c>
    </row>
    <row r="42" spans="2:66" hidden="1" x14ac:dyDescent="0.25">
      <c r="B42" s="6" t="str">
        <f>'Base Period'!B42</f>
        <v>Name</v>
      </c>
      <c r="C42" s="6" t="str">
        <f>'Base Period'!C42</f>
        <v>Enter Labor Category/Title</v>
      </c>
      <c r="D42" s="103">
        <f>'Base Period'!D42</f>
        <v>0</v>
      </c>
      <c r="E42" s="28">
        <v>0</v>
      </c>
      <c r="F42" s="63">
        <f t="shared" si="18"/>
        <v>0</v>
      </c>
      <c r="G42" s="28">
        <v>0</v>
      </c>
      <c r="H42" s="63">
        <f t="shared" si="24"/>
        <v>0</v>
      </c>
      <c r="I42" s="28">
        <v>0</v>
      </c>
      <c r="J42" s="63">
        <f t="shared" si="25"/>
        <v>0</v>
      </c>
      <c r="K42" s="28">
        <v>0</v>
      </c>
      <c r="L42" s="63">
        <f t="shared" si="19"/>
        <v>0</v>
      </c>
      <c r="M42" s="28">
        <v>0</v>
      </c>
      <c r="N42" s="63">
        <f t="shared" si="26"/>
        <v>0</v>
      </c>
      <c r="O42" s="28">
        <v>0</v>
      </c>
      <c r="P42" s="63">
        <f t="shared" si="27"/>
        <v>0</v>
      </c>
      <c r="Q42" s="28">
        <v>0</v>
      </c>
      <c r="R42" s="63">
        <f t="shared" si="28"/>
        <v>0</v>
      </c>
      <c r="S42" s="28">
        <v>0</v>
      </c>
      <c r="T42" s="63">
        <f t="shared" si="29"/>
        <v>0</v>
      </c>
      <c r="U42" s="28">
        <v>0</v>
      </c>
      <c r="V42" s="63">
        <f t="shared" si="30"/>
        <v>0</v>
      </c>
      <c r="W42" s="28">
        <v>0</v>
      </c>
      <c r="X42" s="63">
        <f t="shared" si="31"/>
        <v>0</v>
      </c>
      <c r="Y42" s="28">
        <v>0</v>
      </c>
      <c r="Z42" s="63">
        <f t="shared" si="32"/>
        <v>0</v>
      </c>
      <c r="AA42" s="28">
        <v>0</v>
      </c>
      <c r="AB42" s="63">
        <f t="shared" si="33"/>
        <v>0</v>
      </c>
      <c r="AC42" s="28">
        <v>0</v>
      </c>
      <c r="AD42" s="63">
        <f t="shared" si="34"/>
        <v>0</v>
      </c>
      <c r="AE42" s="28">
        <v>0</v>
      </c>
      <c r="AF42" s="63">
        <f t="shared" si="20"/>
        <v>0</v>
      </c>
      <c r="AG42" s="28">
        <v>0</v>
      </c>
      <c r="AH42" s="63">
        <f t="shared" si="21"/>
        <v>0</v>
      </c>
      <c r="AI42" s="64">
        <v>0</v>
      </c>
      <c r="AJ42" s="63">
        <f t="shared" si="3"/>
        <v>0</v>
      </c>
      <c r="AK42" s="64">
        <v>0</v>
      </c>
      <c r="AL42" s="63">
        <f t="shared" si="4"/>
        <v>0</v>
      </c>
      <c r="AM42" s="64">
        <v>0</v>
      </c>
      <c r="AN42" s="63">
        <f t="shared" si="5"/>
        <v>0</v>
      </c>
      <c r="AO42" s="64">
        <v>0</v>
      </c>
      <c r="AP42" s="63">
        <f t="shared" si="6"/>
        <v>0</v>
      </c>
      <c r="AQ42" s="64">
        <v>0</v>
      </c>
      <c r="AR42" s="63">
        <f t="shared" si="7"/>
        <v>0</v>
      </c>
      <c r="AS42" s="64">
        <v>0</v>
      </c>
      <c r="AT42" s="63">
        <f t="shared" si="8"/>
        <v>0</v>
      </c>
      <c r="AU42" s="64">
        <v>0</v>
      </c>
      <c r="AV42" s="63">
        <f t="shared" si="9"/>
        <v>0</v>
      </c>
      <c r="AW42" s="64">
        <v>0</v>
      </c>
      <c r="AX42" s="63">
        <f t="shared" si="10"/>
        <v>0</v>
      </c>
      <c r="AY42" s="64">
        <v>0</v>
      </c>
      <c r="AZ42" s="63">
        <f t="shared" si="11"/>
        <v>0</v>
      </c>
      <c r="BA42" s="64">
        <v>0</v>
      </c>
      <c r="BB42" s="63">
        <f t="shared" si="12"/>
        <v>0</v>
      </c>
      <c r="BC42" s="64">
        <v>0</v>
      </c>
      <c r="BD42" s="63">
        <f t="shared" si="13"/>
        <v>0</v>
      </c>
      <c r="BE42" s="64">
        <v>0</v>
      </c>
      <c r="BF42" s="63">
        <f t="shared" si="14"/>
        <v>0</v>
      </c>
      <c r="BG42" s="64">
        <v>0</v>
      </c>
      <c r="BH42" s="63">
        <f t="shared" si="15"/>
        <v>0</v>
      </c>
      <c r="BI42" s="64">
        <v>0</v>
      </c>
      <c r="BJ42" s="63">
        <f t="shared" si="16"/>
        <v>0</v>
      </c>
      <c r="BK42" s="64">
        <v>0</v>
      </c>
      <c r="BL42" s="63">
        <f t="shared" si="17"/>
        <v>0</v>
      </c>
      <c r="BM42" s="82">
        <f t="shared" si="22"/>
        <v>0</v>
      </c>
      <c r="BN42" s="83">
        <f t="shared" si="23"/>
        <v>0</v>
      </c>
    </row>
    <row r="43" spans="2:66" hidden="1" x14ac:dyDescent="0.25">
      <c r="B43" s="6" t="str">
        <f>'Base Period'!B43</f>
        <v>Name</v>
      </c>
      <c r="C43" s="6" t="str">
        <f>'Base Period'!C43</f>
        <v>Enter Labor Category/Title</v>
      </c>
      <c r="D43" s="103">
        <f>'Base Period'!D43</f>
        <v>0</v>
      </c>
      <c r="E43" s="28">
        <v>0</v>
      </c>
      <c r="F43" s="63">
        <f t="shared" si="18"/>
        <v>0</v>
      </c>
      <c r="G43" s="28">
        <v>0</v>
      </c>
      <c r="H43" s="63">
        <f t="shared" si="24"/>
        <v>0</v>
      </c>
      <c r="I43" s="28">
        <v>0</v>
      </c>
      <c r="J43" s="63">
        <f t="shared" si="25"/>
        <v>0</v>
      </c>
      <c r="K43" s="28">
        <v>0</v>
      </c>
      <c r="L43" s="63">
        <f t="shared" si="19"/>
        <v>0</v>
      </c>
      <c r="M43" s="28">
        <v>0</v>
      </c>
      <c r="N43" s="63">
        <f t="shared" si="26"/>
        <v>0</v>
      </c>
      <c r="O43" s="28">
        <v>0</v>
      </c>
      <c r="P43" s="63">
        <f t="shared" si="27"/>
        <v>0</v>
      </c>
      <c r="Q43" s="28">
        <v>0</v>
      </c>
      <c r="R43" s="63">
        <f t="shared" si="28"/>
        <v>0</v>
      </c>
      <c r="S43" s="28">
        <v>0</v>
      </c>
      <c r="T43" s="63">
        <f t="shared" si="29"/>
        <v>0</v>
      </c>
      <c r="U43" s="28">
        <v>0</v>
      </c>
      <c r="V43" s="63">
        <f t="shared" si="30"/>
        <v>0</v>
      </c>
      <c r="W43" s="28">
        <v>0</v>
      </c>
      <c r="X43" s="63">
        <f t="shared" si="31"/>
        <v>0</v>
      </c>
      <c r="Y43" s="28">
        <v>0</v>
      </c>
      <c r="Z43" s="63">
        <f t="shared" si="32"/>
        <v>0</v>
      </c>
      <c r="AA43" s="28">
        <v>0</v>
      </c>
      <c r="AB43" s="63">
        <f t="shared" si="33"/>
        <v>0</v>
      </c>
      <c r="AC43" s="28">
        <v>0</v>
      </c>
      <c r="AD43" s="63">
        <f t="shared" si="34"/>
        <v>0</v>
      </c>
      <c r="AE43" s="28">
        <v>0</v>
      </c>
      <c r="AF43" s="63">
        <f t="shared" si="20"/>
        <v>0</v>
      </c>
      <c r="AG43" s="28">
        <v>0</v>
      </c>
      <c r="AH43" s="63">
        <f t="shared" si="21"/>
        <v>0</v>
      </c>
      <c r="AI43" s="64">
        <v>0</v>
      </c>
      <c r="AJ43" s="63">
        <f t="shared" si="3"/>
        <v>0</v>
      </c>
      <c r="AK43" s="64">
        <v>0</v>
      </c>
      <c r="AL43" s="63">
        <f t="shared" si="4"/>
        <v>0</v>
      </c>
      <c r="AM43" s="64">
        <v>0</v>
      </c>
      <c r="AN43" s="63">
        <f t="shared" si="5"/>
        <v>0</v>
      </c>
      <c r="AO43" s="64">
        <v>0</v>
      </c>
      <c r="AP43" s="63">
        <f t="shared" si="6"/>
        <v>0</v>
      </c>
      <c r="AQ43" s="64">
        <v>0</v>
      </c>
      <c r="AR43" s="63">
        <f t="shared" si="7"/>
        <v>0</v>
      </c>
      <c r="AS43" s="64">
        <v>0</v>
      </c>
      <c r="AT43" s="63">
        <f t="shared" si="8"/>
        <v>0</v>
      </c>
      <c r="AU43" s="64">
        <v>0</v>
      </c>
      <c r="AV43" s="63">
        <f t="shared" si="9"/>
        <v>0</v>
      </c>
      <c r="AW43" s="64">
        <v>0</v>
      </c>
      <c r="AX43" s="63">
        <f t="shared" si="10"/>
        <v>0</v>
      </c>
      <c r="AY43" s="64">
        <v>0</v>
      </c>
      <c r="AZ43" s="63">
        <f t="shared" si="11"/>
        <v>0</v>
      </c>
      <c r="BA43" s="64">
        <v>0</v>
      </c>
      <c r="BB43" s="63">
        <f t="shared" si="12"/>
        <v>0</v>
      </c>
      <c r="BC43" s="64">
        <v>0</v>
      </c>
      <c r="BD43" s="63">
        <f t="shared" si="13"/>
        <v>0</v>
      </c>
      <c r="BE43" s="64">
        <v>0</v>
      </c>
      <c r="BF43" s="63">
        <f t="shared" si="14"/>
        <v>0</v>
      </c>
      <c r="BG43" s="64">
        <v>0</v>
      </c>
      <c r="BH43" s="63">
        <f t="shared" si="15"/>
        <v>0</v>
      </c>
      <c r="BI43" s="64">
        <v>0</v>
      </c>
      <c r="BJ43" s="63">
        <f t="shared" si="16"/>
        <v>0</v>
      </c>
      <c r="BK43" s="64">
        <v>0</v>
      </c>
      <c r="BL43" s="63">
        <f t="shared" si="17"/>
        <v>0</v>
      </c>
      <c r="BM43" s="82">
        <f t="shared" si="22"/>
        <v>0</v>
      </c>
      <c r="BN43" s="83">
        <f t="shared" si="23"/>
        <v>0</v>
      </c>
    </row>
    <row r="44" spans="2:66" hidden="1" x14ac:dyDescent="0.25">
      <c r="B44" s="6" t="str">
        <f>'Base Period'!B44</f>
        <v>Name</v>
      </c>
      <c r="C44" s="6" t="str">
        <f>'Base Period'!C44</f>
        <v>Enter Labor Category/Title</v>
      </c>
      <c r="D44" s="103">
        <f>'Base Period'!D44</f>
        <v>0</v>
      </c>
      <c r="E44" s="28">
        <v>0</v>
      </c>
      <c r="F44" s="63">
        <f t="shared" si="18"/>
        <v>0</v>
      </c>
      <c r="G44" s="28">
        <v>0</v>
      </c>
      <c r="H44" s="63">
        <f t="shared" si="24"/>
        <v>0</v>
      </c>
      <c r="I44" s="28">
        <v>0</v>
      </c>
      <c r="J44" s="63">
        <f t="shared" si="25"/>
        <v>0</v>
      </c>
      <c r="K44" s="28">
        <v>0</v>
      </c>
      <c r="L44" s="63">
        <f t="shared" si="19"/>
        <v>0</v>
      </c>
      <c r="M44" s="28">
        <v>0</v>
      </c>
      <c r="N44" s="63">
        <f t="shared" si="26"/>
        <v>0</v>
      </c>
      <c r="O44" s="28">
        <v>0</v>
      </c>
      <c r="P44" s="63">
        <f t="shared" si="27"/>
        <v>0</v>
      </c>
      <c r="Q44" s="28">
        <v>0</v>
      </c>
      <c r="R44" s="63">
        <f t="shared" si="28"/>
        <v>0</v>
      </c>
      <c r="S44" s="28">
        <v>0</v>
      </c>
      <c r="T44" s="63">
        <f t="shared" si="29"/>
        <v>0</v>
      </c>
      <c r="U44" s="28">
        <v>0</v>
      </c>
      <c r="V44" s="63">
        <f t="shared" si="30"/>
        <v>0</v>
      </c>
      <c r="W44" s="28">
        <v>0</v>
      </c>
      <c r="X44" s="63">
        <f t="shared" si="31"/>
        <v>0</v>
      </c>
      <c r="Y44" s="28">
        <v>0</v>
      </c>
      <c r="Z44" s="63">
        <f t="shared" si="32"/>
        <v>0</v>
      </c>
      <c r="AA44" s="28">
        <v>0</v>
      </c>
      <c r="AB44" s="63">
        <f t="shared" si="33"/>
        <v>0</v>
      </c>
      <c r="AC44" s="28">
        <v>0</v>
      </c>
      <c r="AD44" s="63">
        <f t="shared" si="34"/>
        <v>0</v>
      </c>
      <c r="AE44" s="28">
        <v>0</v>
      </c>
      <c r="AF44" s="63">
        <f t="shared" si="20"/>
        <v>0</v>
      </c>
      <c r="AG44" s="28">
        <v>0</v>
      </c>
      <c r="AH44" s="63">
        <f t="shared" si="21"/>
        <v>0</v>
      </c>
      <c r="AI44" s="64">
        <v>0</v>
      </c>
      <c r="AJ44" s="63">
        <f t="shared" si="3"/>
        <v>0</v>
      </c>
      <c r="AK44" s="64">
        <v>0</v>
      </c>
      <c r="AL44" s="63">
        <f t="shared" si="4"/>
        <v>0</v>
      </c>
      <c r="AM44" s="64">
        <v>0</v>
      </c>
      <c r="AN44" s="63">
        <f t="shared" si="5"/>
        <v>0</v>
      </c>
      <c r="AO44" s="64">
        <v>0</v>
      </c>
      <c r="AP44" s="63">
        <f t="shared" si="6"/>
        <v>0</v>
      </c>
      <c r="AQ44" s="64">
        <v>0</v>
      </c>
      <c r="AR44" s="63">
        <f t="shared" si="7"/>
        <v>0</v>
      </c>
      <c r="AS44" s="64">
        <v>0</v>
      </c>
      <c r="AT44" s="63">
        <f t="shared" si="8"/>
        <v>0</v>
      </c>
      <c r="AU44" s="64">
        <v>0</v>
      </c>
      <c r="AV44" s="63">
        <f t="shared" si="9"/>
        <v>0</v>
      </c>
      <c r="AW44" s="64">
        <v>0</v>
      </c>
      <c r="AX44" s="63">
        <f t="shared" si="10"/>
        <v>0</v>
      </c>
      <c r="AY44" s="64">
        <v>0</v>
      </c>
      <c r="AZ44" s="63">
        <f t="shared" si="11"/>
        <v>0</v>
      </c>
      <c r="BA44" s="64">
        <v>0</v>
      </c>
      <c r="BB44" s="63">
        <f t="shared" si="12"/>
        <v>0</v>
      </c>
      <c r="BC44" s="64">
        <v>0</v>
      </c>
      <c r="BD44" s="63">
        <f t="shared" si="13"/>
        <v>0</v>
      </c>
      <c r="BE44" s="64">
        <v>0</v>
      </c>
      <c r="BF44" s="63">
        <f t="shared" si="14"/>
        <v>0</v>
      </c>
      <c r="BG44" s="64">
        <v>0</v>
      </c>
      <c r="BH44" s="63">
        <f t="shared" si="15"/>
        <v>0</v>
      </c>
      <c r="BI44" s="64">
        <v>0</v>
      </c>
      <c r="BJ44" s="63">
        <f t="shared" si="16"/>
        <v>0</v>
      </c>
      <c r="BK44" s="64">
        <v>0</v>
      </c>
      <c r="BL44" s="63">
        <f t="shared" si="17"/>
        <v>0</v>
      </c>
      <c r="BM44" s="82">
        <f t="shared" si="22"/>
        <v>0</v>
      </c>
      <c r="BN44" s="83">
        <f t="shared" si="23"/>
        <v>0</v>
      </c>
    </row>
    <row r="45" spans="2:66" hidden="1" x14ac:dyDescent="0.25">
      <c r="B45" s="6" t="str">
        <f>'Base Period'!B45</f>
        <v>Name</v>
      </c>
      <c r="C45" s="6" t="str">
        <f>'Base Period'!C45</f>
        <v>Enter Labor Category/Title</v>
      </c>
      <c r="D45" s="103">
        <f>'Base Period'!D45</f>
        <v>0</v>
      </c>
      <c r="E45" s="28">
        <v>0</v>
      </c>
      <c r="F45" s="63">
        <f t="shared" si="18"/>
        <v>0</v>
      </c>
      <c r="G45" s="28">
        <v>0</v>
      </c>
      <c r="H45" s="63">
        <f t="shared" si="24"/>
        <v>0</v>
      </c>
      <c r="I45" s="28">
        <v>0</v>
      </c>
      <c r="J45" s="63">
        <f t="shared" si="25"/>
        <v>0</v>
      </c>
      <c r="K45" s="28">
        <v>0</v>
      </c>
      <c r="L45" s="63">
        <f t="shared" si="19"/>
        <v>0</v>
      </c>
      <c r="M45" s="28">
        <v>0</v>
      </c>
      <c r="N45" s="63">
        <f t="shared" si="26"/>
        <v>0</v>
      </c>
      <c r="O45" s="28">
        <v>0</v>
      </c>
      <c r="P45" s="63">
        <f t="shared" si="27"/>
        <v>0</v>
      </c>
      <c r="Q45" s="28">
        <v>0</v>
      </c>
      <c r="R45" s="63">
        <f t="shared" si="28"/>
        <v>0</v>
      </c>
      <c r="S45" s="28">
        <v>0</v>
      </c>
      <c r="T45" s="63">
        <f t="shared" si="29"/>
        <v>0</v>
      </c>
      <c r="U45" s="28">
        <v>0</v>
      </c>
      <c r="V45" s="63">
        <f t="shared" si="30"/>
        <v>0</v>
      </c>
      <c r="W45" s="28">
        <v>0</v>
      </c>
      <c r="X45" s="63">
        <f t="shared" si="31"/>
        <v>0</v>
      </c>
      <c r="Y45" s="28">
        <v>0</v>
      </c>
      <c r="Z45" s="63">
        <f t="shared" si="32"/>
        <v>0</v>
      </c>
      <c r="AA45" s="28">
        <v>0</v>
      </c>
      <c r="AB45" s="63">
        <f t="shared" si="33"/>
        <v>0</v>
      </c>
      <c r="AC45" s="28">
        <v>0</v>
      </c>
      <c r="AD45" s="63">
        <f t="shared" si="34"/>
        <v>0</v>
      </c>
      <c r="AE45" s="28">
        <v>0</v>
      </c>
      <c r="AF45" s="63">
        <f t="shared" si="20"/>
        <v>0</v>
      </c>
      <c r="AG45" s="28">
        <v>0</v>
      </c>
      <c r="AH45" s="63">
        <f t="shared" si="21"/>
        <v>0</v>
      </c>
      <c r="AI45" s="64">
        <v>0</v>
      </c>
      <c r="AJ45" s="63">
        <f t="shared" si="3"/>
        <v>0</v>
      </c>
      <c r="AK45" s="64">
        <v>0</v>
      </c>
      <c r="AL45" s="63">
        <f t="shared" si="4"/>
        <v>0</v>
      </c>
      <c r="AM45" s="64">
        <v>0</v>
      </c>
      <c r="AN45" s="63">
        <f t="shared" si="5"/>
        <v>0</v>
      </c>
      <c r="AO45" s="64">
        <v>0</v>
      </c>
      <c r="AP45" s="63">
        <f t="shared" si="6"/>
        <v>0</v>
      </c>
      <c r="AQ45" s="64">
        <v>0</v>
      </c>
      <c r="AR45" s="63">
        <f t="shared" si="7"/>
        <v>0</v>
      </c>
      <c r="AS45" s="64">
        <v>0</v>
      </c>
      <c r="AT45" s="63">
        <f t="shared" si="8"/>
        <v>0</v>
      </c>
      <c r="AU45" s="64">
        <v>0</v>
      </c>
      <c r="AV45" s="63">
        <f t="shared" si="9"/>
        <v>0</v>
      </c>
      <c r="AW45" s="64">
        <v>0</v>
      </c>
      <c r="AX45" s="63">
        <f t="shared" si="10"/>
        <v>0</v>
      </c>
      <c r="AY45" s="64">
        <v>0</v>
      </c>
      <c r="AZ45" s="63">
        <f t="shared" si="11"/>
        <v>0</v>
      </c>
      <c r="BA45" s="64">
        <v>0</v>
      </c>
      <c r="BB45" s="63">
        <f t="shared" si="12"/>
        <v>0</v>
      </c>
      <c r="BC45" s="64">
        <v>0</v>
      </c>
      <c r="BD45" s="63">
        <f t="shared" si="13"/>
        <v>0</v>
      </c>
      <c r="BE45" s="64">
        <v>0</v>
      </c>
      <c r="BF45" s="63">
        <f t="shared" si="14"/>
        <v>0</v>
      </c>
      <c r="BG45" s="64">
        <v>0</v>
      </c>
      <c r="BH45" s="63">
        <f t="shared" si="15"/>
        <v>0</v>
      </c>
      <c r="BI45" s="64">
        <v>0</v>
      </c>
      <c r="BJ45" s="63">
        <f t="shared" si="16"/>
        <v>0</v>
      </c>
      <c r="BK45" s="64">
        <v>0</v>
      </c>
      <c r="BL45" s="63">
        <f t="shared" si="17"/>
        <v>0</v>
      </c>
      <c r="BM45" s="82">
        <f t="shared" si="22"/>
        <v>0</v>
      </c>
      <c r="BN45" s="83">
        <f t="shared" si="23"/>
        <v>0</v>
      </c>
    </row>
    <row r="46" spans="2:66" hidden="1" x14ac:dyDescent="0.25">
      <c r="B46" s="6" t="str">
        <f>'Base Period'!B46</f>
        <v>Name</v>
      </c>
      <c r="C46" s="6" t="str">
        <f>'Base Period'!C46</f>
        <v>Enter Labor Category/Title</v>
      </c>
      <c r="D46" s="103">
        <f>'Base Period'!D46</f>
        <v>0</v>
      </c>
      <c r="E46" s="28">
        <v>0</v>
      </c>
      <c r="F46" s="63">
        <f t="shared" si="18"/>
        <v>0</v>
      </c>
      <c r="G46" s="28">
        <v>0</v>
      </c>
      <c r="H46" s="63">
        <f t="shared" si="24"/>
        <v>0</v>
      </c>
      <c r="I46" s="28">
        <v>0</v>
      </c>
      <c r="J46" s="63">
        <f t="shared" si="25"/>
        <v>0</v>
      </c>
      <c r="K46" s="28">
        <v>0</v>
      </c>
      <c r="L46" s="63">
        <f t="shared" si="19"/>
        <v>0</v>
      </c>
      <c r="M46" s="28">
        <v>0</v>
      </c>
      <c r="N46" s="63">
        <f t="shared" si="26"/>
        <v>0</v>
      </c>
      <c r="O46" s="28">
        <v>0</v>
      </c>
      <c r="P46" s="63">
        <f t="shared" si="27"/>
        <v>0</v>
      </c>
      <c r="Q46" s="28">
        <v>0</v>
      </c>
      <c r="R46" s="63">
        <f t="shared" si="28"/>
        <v>0</v>
      </c>
      <c r="S46" s="28">
        <v>0</v>
      </c>
      <c r="T46" s="63">
        <f t="shared" si="29"/>
        <v>0</v>
      </c>
      <c r="U46" s="28">
        <v>0</v>
      </c>
      <c r="V46" s="63">
        <f t="shared" si="30"/>
        <v>0</v>
      </c>
      <c r="W46" s="28">
        <v>0</v>
      </c>
      <c r="X46" s="63">
        <f t="shared" si="31"/>
        <v>0</v>
      </c>
      <c r="Y46" s="28">
        <v>0</v>
      </c>
      <c r="Z46" s="63">
        <f t="shared" si="32"/>
        <v>0</v>
      </c>
      <c r="AA46" s="28">
        <v>0</v>
      </c>
      <c r="AB46" s="63">
        <f t="shared" si="33"/>
        <v>0</v>
      </c>
      <c r="AC46" s="28">
        <v>0</v>
      </c>
      <c r="AD46" s="63">
        <f t="shared" si="34"/>
        <v>0</v>
      </c>
      <c r="AE46" s="28">
        <v>0</v>
      </c>
      <c r="AF46" s="63">
        <f t="shared" si="20"/>
        <v>0</v>
      </c>
      <c r="AG46" s="28">
        <v>0</v>
      </c>
      <c r="AH46" s="63">
        <f t="shared" si="21"/>
        <v>0</v>
      </c>
      <c r="AI46" s="64">
        <v>0</v>
      </c>
      <c r="AJ46" s="63">
        <f t="shared" si="3"/>
        <v>0</v>
      </c>
      <c r="AK46" s="64">
        <v>0</v>
      </c>
      <c r="AL46" s="63">
        <f t="shared" si="4"/>
        <v>0</v>
      </c>
      <c r="AM46" s="64">
        <v>0</v>
      </c>
      <c r="AN46" s="63">
        <f t="shared" si="5"/>
        <v>0</v>
      </c>
      <c r="AO46" s="64">
        <v>0</v>
      </c>
      <c r="AP46" s="63">
        <f t="shared" si="6"/>
        <v>0</v>
      </c>
      <c r="AQ46" s="64">
        <v>0</v>
      </c>
      <c r="AR46" s="63">
        <f t="shared" si="7"/>
        <v>0</v>
      </c>
      <c r="AS46" s="64">
        <v>0</v>
      </c>
      <c r="AT46" s="63">
        <f t="shared" si="8"/>
        <v>0</v>
      </c>
      <c r="AU46" s="64">
        <v>0</v>
      </c>
      <c r="AV46" s="63">
        <f t="shared" si="9"/>
        <v>0</v>
      </c>
      <c r="AW46" s="64">
        <v>0</v>
      </c>
      <c r="AX46" s="63">
        <f t="shared" si="10"/>
        <v>0</v>
      </c>
      <c r="AY46" s="64">
        <v>0</v>
      </c>
      <c r="AZ46" s="63">
        <f t="shared" si="11"/>
        <v>0</v>
      </c>
      <c r="BA46" s="64">
        <v>0</v>
      </c>
      <c r="BB46" s="63">
        <f t="shared" si="12"/>
        <v>0</v>
      </c>
      <c r="BC46" s="64">
        <v>0</v>
      </c>
      <c r="BD46" s="63">
        <f t="shared" si="13"/>
        <v>0</v>
      </c>
      <c r="BE46" s="64">
        <v>0</v>
      </c>
      <c r="BF46" s="63">
        <f t="shared" si="14"/>
        <v>0</v>
      </c>
      <c r="BG46" s="64">
        <v>0</v>
      </c>
      <c r="BH46" s="63">
        <f t="shared" si="15"/>
        <v>0</v>
      </c>
      <c r="BI46" s="64">
        <v>0</v>
      </c>
      <c r="BJ46" s="63">
        <f t="shared" si="16"/>
        <v>0</v>
      </c>
      <c r="BK46" s="64">
        <v>0</v>
      </c>
      <c r="BL46" s="63">
        <f t="shared" si="17"/>
        <v>0</v>
      </c>
      <c r="BM46" s="82">
        <f t="shared" si="22"/>
        <v>0</v>
      </c>
      <c r="BN46" s="83">
        <f t="shared" si="23"/>
        <v>0</v>
      </c>
    </row>
    <row r="47" spans="2:66" ht="13.5" hidden="1" customHeight="1" x14ac:dyDescent="0.25">
      <c r="B47" s="6" t="str">
        <f>'Base Period'!B47</f>
        <v>Name</v>
      </c>
      <c r="C47" s="6" t="str">
        <f>'Base Period'!C47</f>
        <v>Enter Labor Category/Title</v>
      </c>
      <c r="D47" s="103">
        <f>'Base Period'!D47</f>
        <v>0</v>
      </c>
      <c r="E47" s="28">
        <v>0</v>
      </c>
      <c r="F47" s="63">
        <f t="shared" si="18"/>
        <v>0</v>
      </c>
      <c r="G47" s="28">
        <v>0</v>
      </c>
      <c r="H47" s="63">
        <f t="shared" si="24"/>
        <v>0</v>
      </c>
      <c r="I47" s="28">
        <v>0</v>
      </c>
      <c r="J47" s="63">
        <f t="shared" si="25"/>
        <v>0</v>
      </c>
      <c r="K47" s="28">
        <v>0</v>
      </c>
      <c r="L47" s="63">
        <f t="shared" si="19"/>
        <v>0</v>
      </c>
      <c r="M47" s="28">
        <v>0</v>
      </c>
      <c r="N47" s="63">
        <f t="shared" si="26"/>
        <v>0</v>
      </c>
      <c r="O47" s="28">
        <v>0</v>
      </c>
      <c r="P47" s="63">
        <f t="shared" si="27"/>
        <v>0</v>
      </c>
      <c r="Q47" s="28">
        <v>0</v>
      </c>
      <c r="R47" s="63">
        <f t="shared" si="28"/>
        <v>0</v>
      </c>
      <c r="S47" s="28">
        <v>0</v>
      </c>
      <c r="T47" s="63">
        <f t="shared" si="29"/>
        <v>0</v>
      </c>
      <c r="U47" s="28">
        <v>0</v>
      </c>
      <c r="V47" s="63">
        <f t="shared" si="30"/>
        <v>0</v>
      </c>
      <c r="W47" s="28">
        <v>0</v>
      </c>
      <c r="X47" s="63">
        <f t="shared" si="31"/>
        <v>0</v>
      </c>
      <c r="Y47" s="28">
        <v>0</v>
      </c>
      <c r="Z47" s="63">
        <f t="shared" si="32"/>
        <v>0</v>
      </c>
      <c r="AA47" s="28">
        <v>0</v>
      </c>
      <c r="AB47" s="63">
        <f t="shared" si="33"/>
        <v>0</v>
      </c>
      <c r="AC47" s="28">
        <v>0</v>
      </c>
      <c r="AD47" s="63">
        <f t="shared" si="34"/>
        <v>0</v>
      </c>
      <c r="AE47" s="28">
        <v>0</v>
      </c>
      <c r="AF47" s="63">
        <f t="shared" si="20"/>
        <v>0</v>
      </c>
      <c r="AG47" s="28">
        <v>0</v>
      </c>
      <c r="AH47" s="63">
        <f t="shared" si="21"/>
        <v>0</v>
      </c>
      <c r="AI47" s="64">
        <v>0</v>
      </c>
      <c r="AJ47" s="63">
        <f t="shared" si="3"/>
        <v>0</v>
      </c>
      <c r="AK47" s="64">
        <v>0</v>
      </c>
      <c r="AL47" s="63">
        <f t="shared" si="4"/>
        <v>0</v>
      </c>
      <c r="AM47" s="64">
        <v>0</v>
      </c>
      <c r="AN47" s="63">
        <f t="shared" si="5"/>
        <v>0</v>
      </c>
      <c r="AO47" s="64">
        <v>0</v>
      </c>
      <c r="AP47" s="63">
        <f t="shared" si="6"/>
        <v>0</v>
      </c>
      <c r="AQ47" s="64">
        <v>0</v>
      </c>
      <c r="AR47" s="63">
        <f t="shared" si="7"/>
        <v>0</v>
      </c>
      <c r="AS47" s="64">
        <v>0</v>
      </c>
      <c r="AT47" s="63">
        <f t="shared" si="8"/>
        <v>0</v>
      </c>
      <c r="AU47" s="64">
        <v>0</v>
      </c>
      <c r="AV47" s="63">
        <f t="shared" si="9"/>
        <v>0</v>
      </c>
      <c r="AW47" s="64">
        <v>0</v>
      </c>
      <c r="AX47" s="63">
        <f t="shared" si="10"/>
        <v>0</v>
      </c>
      <c r="AY47" s="64">
        <v>0</v>
      </c>
      <c r="AZ47" s="63">
        <f t="shared" si="11"/>
        <v>0</v>
      </c>
      <c r="BA47" s="64">
        <v>0</v>
      </c>
      <c r="BB47" s="63">
        <f t="shared" si="12"/>
        <v>0</v>
      </c>
      <c r="BC47" s="64">
        <v>0</v>
      </c>
      <c r="BD47" s="63">
        <f t="shared" si="13"/>
        <v>0</v>
      </c>
      <c r="BE47" s="64">
        <v>0</v>
      </c>
      <c r="BF47" s="63">
        <f t="shared" si="14"/>
        <v>0</v>
      </c>
      <c r="BG47" s="64">
        <v>0</v>
      </c>
      <c r="BH47" s="63">
        <f t="shared" si="15"/>
        <v>0</v>
      </c>
      <c r="BI47" s="64">
        <v>0</v>
      </c>
      <c r="BJ47" s="63">
        <f t="shared" si="16"/>
        <v>0</v>
      </c>
      <c r="BK47" s="64">
        <v>0</v>
      </c>
      <c r="BL47" s="63">
        <f t="shared" si="17"/>
        <v>0</v>
      </c>
      <c r="BM47" s="82">
        <f t="shared" si="22"/>
        <v>0</v>
      </c>
      <c r="BN47" s="83">
        <f t="shared" si="23"/>
        <v>0</v>
      </c>
    </row>
    <row r="48" spans="2:66" hidden="1" x14ac:dyDescent="0.25">
      <c r="B48" s="6" t="str">
        <f>'Base Period'!B48</f>
        <v>Name</v>
      </c>
      <c r="C48" s="6" t="str">
        <f>'Base Period'!C48</f>
        <v>Enter Labor Category/Title</v>
      </c>
      <c r="D48" s="103">
        <f>'Base Period'!D48</f>
        <v>0</v>
      </c>
      <c r="E48" s="28">
        <v>0</v>
      </c>
      <c r="F48" s="63">
        <f t="shared" si="18"/>
        <v>0</v>
      </c>
      <c r="G48" s="28">
        <v>0</v>
      </c>
      <c r="H48" s="63">
        <f t="shared" si="24"/>
        <v>0</v>
      </c>
      <c r="I48" s="28">
        <v>0</v>
      </c>
      <c r="J48" s="63">
        <f t="shared" si="25"/>
        <v>0</v>
      </c>
      <c r="K48" s="28">
        <v>0</v>
      </c>
      <c r="L48" s="63">
        <f t="shared" si="19"/>
        <v>0</v>
      </c>
      <c r="M48" s="28">
        <v>0</v>
      </c>
      <c r="N48" s="63">
        <f t="shared" si="26"/>
        <v>0</v>
      </c>
      <c r="O48" s="28">
        <v>0</v>
      </c>
      <c r="P48" s="63">
        <f t="shared" si="27"/>
        <v>0</v>
      </c>
      <c r="Q48" s="28">
        <v>0</v>
      </c>
      <c r="R48" s="63">
        <f t="shared" si="28"/>
        <v>0</v>
      </c>
      <c r="S48" s="28">
        <v>0</v>
      </c>
      <c r="T48" s="63">
        <f t="shared" si="29"/>
        <v>0</v>
      </c>
      <c r="U48" s="28">
        <v>0</v>
      </c>
      <c r="V48" s="63">
        <f t="shared" si="30"/>
        <v>0</v>
      </c>
      <c r="W48" s="28">
        <v>0</v>
      </c>
      <c r="X48" s="63">
        <f t="shared" si="31"/>
        <v>0</v>
      </c>
      <c r="Y48" s="28">
        <v>0</v>
      </c>
      <c r="Z48" s="63">
        <f t="shared" si="32"/>
        <v>0</v>
      </c>
      <c r="AA48" s="28">
        <v>0</v>
      </c>
      <c r="AB48" s="63">
        <f t="shared" si="33"/>
        <v>0</v>
      </c>
      <c r="AC48" s="28">
        <v>0</v>
      </c>
      <c r="AD48" s="63">
        <f t="shared" si="34"/>
        <v>0</v>
      </c>
      <c r="AE48" s="28">
        <v>0</v>
      </c>
      <c r="AF48" s="63">
        <f t="shared" si="20"/>
        <v>0</v>
      </c>
      <c r="AG48" s="28">
        <v>0</v>
      </c>
      <c r="AH48" s="63">
        <f t="shared" si="21"/>
        <v>0</v>
      </c>
      <c r="AI48" s="64">
        <v>0</v>
      </c>
      <c r="AJ48" s="63">
        <f t="shared" si="3"/>
        <v>0</v>
      </c>
      <c r="AK48" s="64">
        <v>0</v>
      </c>
      <c r="AL48" s="63">
        <f t="shared" si="4"/>
        <v>0</v>
      </c>
      <c r="AM48" s="64">
        <v>0</v>
      </c>
      <c r="AN48" s="63">
        <f t="shared" si="5"/>
        <v>0</v>
      </c>
      <c r="AO48" s="64">
        <v>0</v>
      </c>
      <c r="AP48" s="63">
        <f t="shared" si="6"/>
        <v>0</v>
      </c>
      <c r="AQ48" s="64">
        <v>0</v>
      </c>
      <c r="AR48" s="63">
        <f t="shared" si="7"/>
        <v>0</v>
      </c>
      <c r="AS48" s="64">
        <v>0</v>
      </c>
      <c r="AT48" s="63">
        <f t="shared" si="8"/>
        <v>0</v>
      </c>
      <c r="AU48" s="64">
        <v>0</v>
      </c>
      <c r="AV48" s="63">
        <f t="shared" si="9"/>
        <v>0</v>
      </c>
      <c r="AW48" s="64">
        <v>0</v>
      </c>
      <c r="AX48" s="63">
        <f t="shared" si="10"/>
        <v>0</v>
      </c>
      <c r="AY48" s="64">
        <v>0</v>
      </c>
      <c r="AZ48" s="63">
        <f t="shared" si="11"/>
        <v>0</v>
      </c>
      <c r="BA48" s="64">
        <v>0</v>
      </c>
      <c r="BB48" s="63">
        <f t="shared" si="12"/>
        <v>0</v>
      </c>
      <c r="BC48" s="64">
        <v>0</v>
      </c>
      <c r="BD48" s="63">
        <f t="shared" si="13"/>
        <v>0</v>
      </c>
      <c r="BE48" s="64">
        <v>0</v>
      </c>
      <c r="BF48" s="63">
        <f t="shared" si="14"/>
        <v>0</v>
      </c>
      <c r="BG48" s="64">
        <v>0</v>
      </c>
      <c r="BH48" s="63">
        <f t="shared" si="15"/>
        <v>0</v>
      </c>
      <c r="BI48" s="64">
        <v>0</v>
      </c>
      <c r="BJ48" s="63">
        <f t="shared" si="16"/>
        <v>0</v>
      </c>
      <c r="BK48" s="64">
        <v>0</v>
      </c>
      <c r="BL48" s="63">
        <f t="shared" si="17"/>
        <v>0</v>
      </c>
      <c r="BM48" s="82">
        <f t="shared" si="22"/>
        <v>0</v>
      </c>
      <c r="BN48" s="83">
        <f t="shared" si="23"/>
        <v>0</v>
      </c>
    </row>
    <row r="49" spans="2:66" hidden="1" x14ac:dyDescent="0.25">
      <c r="B49" s="6" t="str">
        <f>'Base Period'!B49</f>
        <v>Name</v>
      </c>
      <c r="C49" s="6" t="str">
        <f>'Base Period'!C49</f>
        <v>Enter Labor Category/Title</v>
      </c>
      <c r="D49" s="103">
        <f>'Base Period'!D49</f>
        <v>0</v>
      </c>
      <c r="E49" s="28">
        <v>0</v>
      </c>
      <c r="F49" s="63">
        <f t="shared" si="18"/>
        <v>0</v>
      </c>
      <c r="G49" s="28">
        <v>0</v>
      </c>
      <c r="H49" s="63">
        <f t="shared" si="24"/>
        <v>0</v>
      </c>
      <c r="I49" s="28">
        <v>0</v>
      </c>
      <c r="J49" s="63">
        <f t="shared" si="25"/>
        <v>0</v>
      </c>
      <c r="K49" s="28">
        <v>0</v>
      </c>
      <c r="L49" s="63">
        <f t="shared" si="19"/>
        <v>0</v>
      </c>
      <c r="M49" s="28">
        <v>0</v>
      </c>
      <c r="N49" s="63">
        <f t="shared" si="26"/>
        <v>0</v>
      </c>
      <c r="O49" s="28">
        <v>0</v>
      </c>
      <c r="P49" s="63">
        <f t="shared" si="27"/>
        <v>0</v>
      </c>
      <c r="Q49" s="28">
        <v>0</v>
      </c>
      <c r="R49" s="63">
        <f t="shared" si="28"/>
        <v>0</v>
      </c>
      <c r="S49" s="28">
        <v>0</v>
      </c>
      <c r="T49" s="63">
        <f t="shared" si="29"/>
        <v>0</v>
      </c>
      <c r="U49" s="28">
        <v>0</v>
      </c>
      <c r="V49" s="63">
        <f t="shared" si="30"/>
        <v>0</v>
      </c>
      <c r="W49" s="28">
        <v>0</v>
      </c>
      <c r="X49" s="63">
        <f t="shared" si="31"/>
        <v>0</v>
      </c>
      <c r="Y49" s="28">
        <v>0</v>
      </c>
      <c r="Z49" s="63">
        <f t="shared" si="32"/>
        <v>0</v>
      </c>
      <c r="AA49" s="28">
        <v>0</v>
      </c>
      <c r="AB49" s="63">
        <f t="shared" si="33"/>
        <v>0</v>
      </c>
      <c r="AC49" s="28">
        <v>0</v>
      </c>
      <c r="AD49" s="63">
        <f t="shared" si="34"/>
        <v>0</v>
      </c>
      <c r="AE49" s="28">
        <v>0</v>
      </c>
      <c r="AF49" s="63">
        <f t="shared" si="20"/>
        <v>0</v>
      </c>
      <c r="AG49" s="28">
        <v>0</v>
      </c>
      <c r="AH49" s="63">
        <f t="shared" si="21"/>
        <v>0</v>
      </c>
      <c r="AI49" s="64">
        <v>0</v>
      </c>
      <c r="AJ49" s="63">
        <f t="shared" ref="AJ49:AJ62" si="35">IF(ISERROR(AI49*$D49), "$0", AI49*$D49)</f>
        <v>0</v>
      </c>
      <c r="AK49" s="64">
        <v>0</v>
      </c>
      <c r="AL49" s="63">
        <f t="shared" ref="AL49:AL62" si="36">IF(ISERROR(AK49*$D49), "$0", AK49*$D49)</f>
        <v>0</v>
      </c>
      <c r="AM49" s="64">
        <v>0</v>
      </c>
      <c r="AN49" s="63">
        <f t="shared" ref="AN49:AN62" si="37">IF(ISERROR(AM49*$D49), "$0", AM49*$D49)</f>
        <v>0</v>
      </c>
      <c r="AO49" s="64">
        <v>0</v>
      </c>
      <c r="AP49" s="63">
        <f t="shared" ref="AP49:AP62" si="38">IF(ISERROR(AO49*$D49), "$0", AO49*$D49)</f>
        <v>0</v>
      </c>
      <c r="AQ49" s="64">
        <v>0</v>
      </c>
      <c r="AR49" s="63">
        <f t="shared" ref="AR49:AR62" si="39">IF(ISERROR(AQ49*$D49), "$0", AQ49*$D49)</f>
        <v>0</v>
      </c>
      <c r="AS49" s="64">
        <v>0</v>
      </c>
      <c r="AT49" s="63">
        <f t="shared" ref="AT49:AT62" si="40">IF(ISERROR(AS49*$D49), "$0", AS49*$D49)</f>
        <v>0</v>
      </c>
      <c r="AU49" s="64">
        <v>0</v>
      </c>
      <c r="AV49" s="63">
        <f t="shared" ref="AV49:AV62" si="41">IF(ISERROR(AU49*$D49), "$0", AU49*$D49)</f>
        <v>0</v>
      </c>
      <c r="AW49" s="64">
        <v>0</v>
      </c>
      <c r="AX49" s="63">
        <f t="shared" ref="AX49:AX62" si="42">IF(ISERROR(AW49*$D49), "$0", AW49*$D49)</f>
        <v>0</v>
      </c>
      <c r="AY49" s="64">
        <v>0</v>
      </c>
      <c r="AZ49" s="63">
        <f t="shared" ref="AZ49:AZ62" si="43">IF(ISERROR(AY49*$D49), "$0", AY49*$D49)</f>
        <v>0</v>
      </c>
      <c r="BA49" s="64">
        <v>0</v>
      </c>
      <c r="BB49" s="63">
        <f t="shared" ref="BB49:BB62" si="44">IF(ISERROR(BA49*$D49), "$0", BA49*$D49)</f>
        <v>0</v>
      </c>
      <c r="BC49" s="64">
        <v>0</v>
      </c>
      <c r="BD49" s="63">
        <f t="shared" ref="BD49:BD62" si="45">IF(ISERROR(BC49*$D49), "$0", BC49*$D49)</f>
        <v>0</v>
      </c>
      <c r="BE49" s="64">
        <v>0</v>
      </c>
      <c r="BF49" s="63">
        <f t="shared" ref="BF49:BF62" si="46">IF(ISERROR(BE49*$D49), "$0", BE49*$D49)</f>
        <v>0</v>
      </c>
      <c r="BG49" s="64">
        <v>0</v>
      </c>
      <c r="BH49" s="63">
        <f t="shared" ref="BH49:BH62" si="47">IF(ISERROR(BG49*$D49), "$0", BG49*$D49)</f>
        <v>0</v>
      </c>
      <c r="BI49" s="64">
        <v>0</v>
      </c>
      <c r="BJ49" s="63">
        <f t="shared" ref="BJ49:BJ62" si="48">IF(ISERROR(BI49*$D49), "$0", BI49*$D49)</f>
        <v>0</v>
      </c>
      <c r="BK49" s="64">
        <v>0</v>
      </c>
      <c r="BL49" s="63">
        <f t="shared" si="17"/>
        <v>0</v>
      </c>
      <c r="BM49" s="82">
        <f t="shared" si="22"/>
        <v>0</v>
      </c>
      <c r="BN49" s="83">
        <f t="shared" si="23"/>
        <v>0</v>
      </c>
    </row>
    <row r="50" spans="2:66" hidden="1" x14ac:dyDescent="0.25">
      <c r="B50" s="6" t="str">
        <f>'Base Period'!B50</f>
        <v>Name</v>
      </c>
      <c r="C50" s="6" t="str">
        <f>'Base Period'!C50</f>
        <v>Enter Labor Category/Title</v>
      </c>
      <c r="D50" s="103">
        <f>'Base Period'!D50</f>
        <v>0</v>
      </c>
      <c r="E50" s="28">
        <v>0</v>
      </c>
      <c r="F50" s="63">
        <f t="shared" si="18"/>
        <v>0</v>
      </c>
      <c r="G50" s="28">
        <v>0</v>
      </c>
      <c r="H50" s="63">
        <f t="shared" si="24"/>
        <v>0</v>
      </c>
      <c r="I50" s="28">
        <v>0</v>
      </c>
      <c r="J50" s="63">
        <f t="shared" si="25"/>
        <v>0</v>
      </c>
      <c r="K50" s="28">
        <v>0</v>
      </c>
      <c r="L50" s="63">
        <f t="shared" si="19"/>
        <v>0</v>
      </c>
      <c r="M50" s="28">
        <v>0</v>
      </c>
      <c r="N50" s="63">
        <f t="shared" si="26"/>
        <v>0</v>
      </c>
      <c r="O50" s="28">
        <v>0</v>
      </c>
      <c r="P50" s="63">
        <f t="shared" si="27"/>
        <v>0</v>
      </c>
      <c r="Q50" s="28">
        <v>0</v>
      </c>
      <c r="R50" s="63">
        <f t="shared" si="28"/>
        <v>0</v>
      </c>
      <c r="S50" s="28">
        <v>0</v>
      </c>
      <c r="T50" s="63">
        <f t="shared" si="29"/>
        <v>0</v>
      </c>
      <c r="U50" s="28">
        <v>0</v>
      </c>
      <c r="V50" s="63">
        <f t="shared" si="30"/>
        <v>0</v>
      </c>
      <c r="W50" s="28">
        <v>0</v>
      </c>
      <c r="X50" s="63">
        <f t="shared" si="31"/>
        <v>0</v>
      </c>
      <c r="Y50" s="28">
        <v>0</v>
      </c>
      <c r="Z50" s="63">
        <f t="shared" si="32"/>
        <v>0</v>
      </c>
      <c r="AA50" s="28">
        <v>0</v>
      </c>
      <c r="AB50" s="63">
        <f t="shared" si="33"/>
        <v>0</v>
      </c>
      <c r="AC50" s="28">
        <v>0</v>
      </c>
      <c r="AD50" s="63">
        <f t="shared" si="34"/>
        <v>0</v>
      </c>
      <c r="AE50" s="28">
        <v>0</v>
      </c>
      <c r="AF50" s="63">
        <f t="shared" si="20"/>
        <v>0</v>
      </c>
      <c r="AG50" s="28">
        <v>0</v>
      </c>
      <c r="AH50" s="63">
        <f t="shared" si="21"/>
        <v>0</v>
      </c>
      <c r="AI50" s="64">
        <v>0</v>
      </c>
      <c r="AJ50" s="63">
        <f t="shared" si="35"/>
        <v>0</v>
      </c>
      <c r="AK50" s="64">
        <v>0</v>
      </c>
      <c r="AL50" s="63">
        <f t="shared" si="36"/>
        <v>0</v>
      </c>
      <c r="AM50" s="64">
        <v>0</v>
      </c>
      <c r="AN50" s="63">
        <f t="shared" si="37"/>
        <v>0</v>
      </c>
      <c r="AO50" s="64">
        <v>0</v>
      </c>
      <c r="AP50" s="63">
        <f t="shared" si="38"/>
        <v>0</v>
      </c>
      <c r="AQ50" s="64">
        <v>0</v>
      </c>
      <c r="AR50" s="63">
        <f t="shared" si="39"/>
        <v>0</v>
      </c>
      <c r="AS50" s="64">
        <v>0</v>
      </c>
      <c r="AT50" s="63">
        <f t="shared" si="40"/>
        <v>0</v>
      </c>
      <c r="AU50" s="64">
        <v>0</v>
      </c>
      <c r="AV50" s="63">
        <f t="shared" si="41"/>
        <v>0</v>
      </c>
      <c r="AW50" s="64">
        <v>0</v>
      </c>
      <c r="AX50" s="63">
        <f t="shared" si="42"/>
        <v>0</v>
      </c>
      <c r="AY50" s="64">
        <v>0</v>
      </c>
      <c r="AZ50" s="63">
        <f t="shared" si="43"/>
        <v>0</v>
      </c>
      <c r="BA50" s="64">
        <v>0</v>
      </c>
      <c r="BB50" s="63">
        <f t="shared" si="44"/>
        <v>0</v>
      </c>
      <c r="BC50" s="64">
        <v>0</v>
      </c>
      <c r="BD50" s="63">
        <f t="shared" si="45"/>
        <v>0</v>
      </c>
      <c r="BE50" s="64">
        <v>0</v>
      </c>
      <c r="BF50" s="63">
        <f t="shared" si="46"/>
        <v>0</v>
      </c>
      <c r="BG50" s="64">
        <v>0</v>
      </c>
      <c r="BH50" s="63">
        <f t="shared" si="47"/>
        <v>0</v>
      </c>
      <c r="BI50" s="64">
        <v>0</v>
      </c>
      <c r="BJ50" s="63">
        <f t="shared" si="48"/>
        <v>0</v>
      </c>
      <c r="BK50" s="64">
        <v>0</v>
      </c>
      <c r="BL50" s="63">
        <f t="shared" si="17"/>
        <v>0</v>
      </c>
      <c r="BM50" s="82">
        <f t="shared" si="22"/>
        <v>0</v>
      </c>
      <c r="BN50" s="83">
        <f t="shared" si="23"/>
        <v>0</v>
      </c>
    </row>
    <row r="51" spans="2:66" hidden="1" x14ac:dyDescent="0.25">
      <c r="B51" s="6" t="str">
        <f>'Base Period'!B51</f>
        <v>Name</v>
      </c>
      <c r="C51" s="6" t="str">
        <f>'Base Period'!C51</f>
        <v>Enter Labor Category/Title</v>
      </c>
      <c r="D51" s="103">
        <f>'Base Period'!D51</f>
        <v>0</v>
      </c>
      <c r="E51" s="28">
        <v>0</v>
      </c>
      <c r="F51" s="63">
        <f t="shared" si="18"/>
        <v>0</v>
      </c>
      <c r="G51" s="28">
        <v>0</v>
      </c>
      <c r="H51" s="63">
        <f t="shared" si="24"/>
        <v>0</v>
      </c>
      <c r="I51" s="28">
        <v>0</v>
      </c>
      <c r="J51" s="63">
        <f t="shared" si="25"/>
        <v>0</v>
      </c>
      <c r="K51" s="28">
        <v>0</v>
      </c>
      <c r="L51" s="63">
        <f t="shared" si="19"/>
        <v>0</v>
      </c>
      <c r="M51" s="28">
        <v>0</v>
      </c>
      <c r="N51" s="63">
        <f t="shared" si="26"/>
        <v>0</v>
      </c>
      <c r="O51" s="28">
        <v>0</v>
      </c>
      <c r="P51" s="63">
        <f t="shared" si="27"/>
        <v>0</v>
      </c>
      <c r="Q51" s="28">
        <v>0</v>
      </c>
      <c r="R51" s="63">
        <f t="shared" si="28"/>
        <v>0</v>
      </c>
      <c r="S51" s="28">
        <v>0</v>
      </c>
      <c r="T51" s="63">
        <f t="shared" si="29"/>
        <v>0</v>
      </c>
      <c r="U51" s="28">
        <v>0</v>
      </c>
      <c r="V51" s="63">
        <f t="shared" si="30"/>
        <v>0</v>
      </c>
      <c r="W51" s="28">
        <v>0</v>
      </c>
      <c r="X51" s="63">
        <f t="shared" si="31"/>
        <v>0</v>
      </c>
      <c r="Y51" s="28">
        <v>0</v>
      </c>
      <c r="Z51" s="63">
        <f t="shared" si="32"/>
        <v>0</v>
      </c>
      <c r="AA51" s="28">
        <v>0</v>
      </c>
      <c r="AB51" s="63">
        <f t="shared" si="33"/>
        <v>0</v>
      </c>
      <c r="AC51" s="28">
        <v>0</v>
      </c>
      <c r="AD51" s="63">
        <f t="shared" si="34"/>
        <v>0</v>
      </c>
      <c r="AE51" s="28">
        <v>0</v>
      </c>
      <c r="AF51" s="63">
        <f t="shared" si="20"/>
        <v>0</v>
      </c>
      <c r="AG51" s="28">
        <v>0</v>
      </c>
      <c r="AH51" s="63">
        <f t="shared" si="21"/>
        <v>0</v>
      </c>
      <c r="AI51" s="64">
        <v>0</v>
      </c>
      <c r="AJ51" s="63">
        <f t="shared" si="35"/>
        <v>0</v>
      </c>
      <c r="AK51" s="64">
        <v>0</v>
      </c>
      <c r="AL51" s="63">
        <f t="shared" si="36"/>
        <v>0</v>
      </c>
      <c r="AM51" s="64">
        <v>0</v>
      </c>
      <c r="AN51" s="63">
        <f t="shared" si="37"/>
        <v>0</v>
      </c>
      <c r="AO51" s="64">
        <v>0</v>
      </c>
      <c r="AP51" s="63">
        <f t="shared" si="38"/>
        <v>0</v>
      </c>
      <c r="AQ51" s="64">
        <v>0</v>
      </c>
      <c r="AR51" s="63">
        <f t="shared" si="39"/>
        <v>0</v>
      </c>
      <c r="AS51" s="64">
        <v>0</v>
      </c>
      <c r="AT51" s="63">
        <f t="shared" si="40"/>
        <v>0</v>
      </c>
      <c r="AU51" s="64">
        <v>0</v>
      </c>
      <c r="AV51" s="63">
        <f t="shared" si="41"/>
        <v>0</v>
      </c>
      <c r="AW51" s="64">
        <v>0</v>
      </c>
      <c r="AX51" s="63">
        <f t="shared" si="42"/>
        <v>0</v>
      </c>
      <c r="AY51" s="64">
        <v>0</v>
      </c>
      <c r="AZ51" s="63">
        <f t="shared" si="43"/>
        <v>0</v>
      </c>
      <c r="BA51" s="64">
        <v>0</v>
      </c>
      <c r="BB51" s="63">
        <f t="shared" si="44"/>
        <v>0</v>
      </c>
      <c r="BC51" s="64">
        <v>0</v>
      </c>
      <c r="BD51" s="63">
        <f t="shared" si="45"/>
        <v>0</v>
      </c>
      <c r="BE51" s="64">
        <v>0</v>
      </c>
      <c r="BF51" s="63">
        <f t="shared" si="46"/>
        <v>0</v>
      </c>
      <c r="BG51" s="64">
        <v>0</v>
      </c>
      <c r="BH51" s="63">
        <f t="shared" si="47"/>
        <v>0</v>
      </c>
      <c r="BI51" s="64">
        <v>0</v>
      </c>
      <c r="BJ51" s="63">
        <f t="shared" si="48"/>
        <v>0</v>
      </c>
      <c r="BK51" s="64">
        <v>0</v>
      </c>
      <c r="BL51" s="63">
        <f t="shared" si="17"/>
        <v>0</v>
      </c>
      <c r="BM51" s="82">
        <f t="shared" si="22"/>
        <v>0</v>
      </c>
      <c r="BN51" s="83">
        <f t="shared" si="23"/>
        <v>0</v>
      </c>
    </row>
    <row r="52" spans="2:66" hidden="1" x14ac:dyDescent="0.25">
      <c r="B52" s="6" t="str">
        <f>'Base Period'!B52</f>
        <v>Name</v>
      </c>
      <c r="C52" s="6" t="str">
        <f>'Base Period'!C52</f>
        <v>Enter Labor Category/Title</v>
      </c>
      <c r="D52" s="103">
        <f>'Base Period'!D52</f>
        <v>0</v>
      </c>
      <c r="E52" s="28">
        <v>0</v>
      </c>
      <c r="F52" s="63">
        <f>IF(ISERROR(E52*$D52), "$0", E52*$D52)</f>
        <v>0</v>
      </c>
      <c r="G52" s="28">
        <v>0</v>
      </c>
      <c r="H52" s="63">
        <f t="shared" si="24"/>
        <v>0</v>
      </c>
      <c r="I52" s="28">
        <v>0</v>
      </c>
      <c r="J52" s="63">
        <f t="shared" si="25"/>
        <v>0</v>
      </c>
      <c r="K52" s="28">
        <v>0</v>
      </c>
      <c r="L52" s="63">
        <f t="shared" si="19"/>
        <v>0</v>
      </c>
      <c r="M52" s="28">
        <v>0</v>
      </c>
      <c r="N52" s="63">
        <f t="shared" si="26"/>
        <v>0</v>
      </c>
      <c r="O52" s="28">
        <v>0</v>
      </c>
      <c r="P52" s="63">
        <f t="shared" si="27"/>
        <v>0</v>
      </c>
      <c r="Q52" s="28">
        <v>0</v>
      </c>
      <c r="R52" s="63">
        <f t="shared" si="28"/>
        <v>0</v>
      </c>
      <c r="S52" s="28">
        <v>0</v>
      </c>
      <c r="T52" s="63">
        <f t="shared" si="29"/>
        <v>0</v>
      </c>
      <c r="U52" s="28">
        <v>0</v>
      </c>
      <c r="V52" s="63">
        <f t="shared" si="30"/>
        <v>0</v>
      </c>
      <c r="W52" s="28">
        <v>0</v>
      </c>
      <c r="X52" s="63">
        <f t="shared" si="31"/>
        <v>0</v>
      </c>
      <c r="Y52" s="28">
        <v>0</v>
      </c>
      <c r="Z52" s="63">
        <f t="shared" si="32"/>
        <v>0</v>
      </c>
      <c r="AA52" s="28">
        <v>0</v>
      </c>
      <c r="AB52" s="63">
        <f t="shared" si="33"/>
        <v>0</v>
      </c>
      <c r="AC52" s="28">
        <v>0</v>
      </c>
      <c r="AD52" s="63">
        <f t="shared" si="34"/>
        <v>0</v>
      </c>
      <c r="AE52" s="28">
        <v>0</v>
      </c>
      <c r="AF52" s="63">
        <f t="shared" si="20"/>
        <v>0</v>
      </c>
      <c r="AG52" s="28">
        <v>0</v>
      </c>
      <c r="AH52" s="63">
        <f t="shared" si="21"/>
        <v>0</v>
      </c>
      <c r="AI52" s="64">
        <v>0</v>
      </c>
      <c r="AJ52" s="63">
        <f t="shared" si="35"/>
        <v>0</v>
      </c>
      <c r="AK52" s="64">
        <v>0</v>
      </c>
      <c r="AL52" s="63">
        <f t="shared" si="36"/>
        <v>0</v>
      </c>
      <c r="AM52" s="64">
        <v>0</v>
      </c>
      <c r="AN52" s="63">
        <f t="shared" si="37"/>
        <v>0</v>
      </c>
      <c r="AO52" s="64">
        <v>0</v>
      </c>
      <c r="AP52" s="63">
        <f t="shared" si="38"/>
        <v>0</v>
      </c>
      <c r="AQ52" s="64">
        <v>0</v>
      </c>
      <c r="AR52" s="63">
        <f t="shared" si="39"/>
        <v>0</v>
      </c>
      <c r="AS52" s="64">
        <v>0</v>
      </c>
      <c r="AT52" s="63">
        <f t="shared" si="40"/>
        <v>0</v>
      </c>
      <c r="AU52" s="64">
        <v>0</v>
      </c>
      <c r="AV52" s="63">
        <f t="shared" si="41"/>
        <v>0</v>
      </c>
      <c r="AW52" s="64">
        <v>0</v>
      </c>
      <c r="AX52" s="63">
        <f t="shared" si="42"/>
        <v>0</v>
      </c>
      <c r="AY52" s="64">
        <v>0</v>
      </c>
      <c r="AZ52" s="63">
        <f t="shared" si="43"/>
        <v>0</v>
      </c>
      <c r="BA52" s="64">
        <v>0</v>
      </c>
      <c r="BB52" s="63">
        <f t="shared" si="44"/>
        <v>0</v>
      </c>
      <c r="BC52" s="64">
        <v>0</v>
      </c>
      <c r="BD52" s="63">
        <f t="shared" si="45"/>
        <v>0</v>
      </c>
      <c r="BE52" s="64">
        <v>0</v>
      </c>
      <c r="BF52" s="63">
        <f t="shared" si="46"/>
        <v>0</v>
      </c>
      <c r="BG52" s="64">
        <v>0</v>
      </c>
      <c r="BH52" s="63">
        <f t="shared" si="47"/>
        <v>0</v>
      </c>
      <c r="BI52" s="64">
        <v>0</v>
      </c>
      <c r="BJ52" s="63">
        <f t="shared" si="48"/>
        <v>0</v>
      </c>
      <c r="BK52" s="64">
        <v>0</v>
      </c>
      <c r="BL52" s="63">
        <f t="shared" si="17"/>
        <v>0</v>
      </c>
      <c r="BM52" s="82">
        <f t="shared" si="22"/>
        <v>0</v>
      </c>
      <c r="BN52" s="83">
        <f t="shared" si="23"/>
        <v>0</v>
      </c>
    </row>
    <row r="53" spans="2:66" ht="14.45" hidden="1" customHeight="1" x14ac:dyDescent="0.25">
      <c r="B53" s="6" t="str">
        <f>'Base Period'!B53</f>
        <v>Name</v>
      </c>
      <c r="C53" s="6" t="str">
        <f>'Base Period'!C53</f>
        <v>Enter Labor Category/Title</v>
      </c>
      <c r="D53" s="103">
        <f>'Base Period'!D53</f>
        <v>0</v>
      </c>
      <c r="E53" s="28">
        <v>0</v>
      </c>
      <c r="F53" s="63">
        <f t="shared" si="18"/>
        <v>0</v>
      </c>
      <c r="G53" s="28">
        <v>0</v>
      </c>
      <c r="H53" s="63">
        <f t="shared" si="24"/>
        <v>0</v>
      </c>
      <c r="I53" s="28">
        <v>0</v>
      </c>
      <c r="J53" s="63">
        <f t="shared" si="25"/>
        <v>0</v>
      </c>
      <c r="K53" s="28">
        <v>0</v>
      </c>
      <c r="L53" s="63">
        <f t="shared" si="19"/>
        <v>0</v>
      </c>
      <c r="M53" s="28">
        <v>0</v>
      </c>
      <c r="N53" s="63">
        <f t="shared" si="26"/>
        <v>0</v>
      </c>
      <c r="O53" s="28">
        <v>0</v>
      </c>
      <c r="P53" s="63">
        <f t="shared" si="27"/>
        <v>0</v>
      </c>
      <c r="Q53" s="28">
        <v>0</v>
      </c>
      <c r="R53" s="63">
        <f t="shared" si="28"/>
        <v>0</v>
      </c>
      <c r="S53" s="28">
        <v>0</v>
      </c>
      <c r="T53" s="63">
        <f t="shared" si="29"/>
        <v>0</v>
      </c>
      <c r="U53" s="28">
        <v>0</v>
      </c>
      <c r="V53" s="63">
        <f t="shared" si="30"/>
        <v>0</v>
      </c>
      <c r="W53" s="28">
        <v>0</v>
      </c>
      <c r="X53" s="63">
        <f t="shared" si="31"/>
        <v>0</v>
      </c>
      <c r="Y53" s="28">
        <v>0</v>
      </c>
      <c r="Z53" s="63">
        <f t="shared" si="32"/>
        <v>0</v>
      </c>
      <c r="AA53" s="28">
        <v>0</v>
      </c>
      <c r="AB53" s="63">
        <f t="shared" si="33"/>
        <v>0</v>
      </c>
      <c r="AC53" s="28">
        <v>0</v>
      </c>
      <c r="AD53" s="63">
        <f t="shared" si="34"/>
        <v>0</v>
      </c>
      <c r="AE53" s="28">
        <v>0</v>
      </c>
      <c r="AF53" s="63">
        <f t="shared" si="20"/>
        <v>0</v>
      </c>
      <c r="AG53" s="28">
        <v>0</v>
      </c>
      <c r="AH53" s="63">
        <f t="shared" si="21"/>
        <v>0</v>
      </c>
      <c r="AI53" s="64">
        <v>0</v>
      </c>
      <c r="AJ53" s="63">
        <f t="shared" si="35"/>
        <v>0</v>
      </c>
      <c r="AK53" s="64">
        <v>0</v>
      </c>
      <c r="AL53" s="63">
        <f t="shared" si="36"/>
        <v>0</v>
      </c>
      <c r="AM53" s="64">
        <v>0</v>
      </c>
      <c r="AN53" s="63">
        <f t="shared" si="37"/>
        <v>0</v>
      </c>
      <c r="AO53" s="64">
        <v>0</v>
      </c>
      <c r="AP53" s="63">
        <f t="shared" si="38"/>
        <v>0</v>
      </c>
      <c r="AQ53" s="64">
        <v>0</v>
      </c>
      <c r="AR53" s="63">
        <f t="shared" si="39"/>
        <v>0</v>
      </c>
      <c r="AS53" s="64">
        <v>0</v>
      </c>
      <c r="AT53" s="63">
        <f t="shared" si="40"/>
        <v>0</v>
      </c>
      <c r="AU53" s="64">
        <v>0</v>
      </c>
      <c r="AV53" s="63">
        <f t="shared" si="41"/>
        <v>0</v>
      </c>
      <c r="AW53" s="64">
        <v>0</v>
      </c>
      <c r="AX53" s="63">
        <f t="shared" si="42"/>
        <v>0</v>
      </c>
      <c r="AY53" s="64">
        <v>0</v>
      </c>
      <c r="AZ53" s="63">
        <f t="shared" si="43"/>
        <v>0</v>
      </c>
      <c r="BA53" s="64">
        <v>0</v>
      </c>
      <c r="BB53" s="63">
        <f t="shared" si="44"/>
        <v>0</v>
      </c>
      <c r="BC53" s="64">
        <v>0</v>
      </c>
      <c r="BD53" s="63">
        <f t="shared" si="45"/>
        <v>0</v>
      </c>
      <c r="BE53" s="64">
        <v>0</v>
      </c>
      <c r="BF53" s="63">
        <f t="shared" si="46"/>
        <v>0</v>
      </c>
      <c r="BG53" s="64">
        <v>0</v>
      </c>
      <c r="BH53" s="63">
        <f t="shared" si="47"/>
        <v>0</v>
      </c>
      <c r="BI53" s="64">
        <v>0</v>
      </c>
      <c r="BJ53" s="63">
        <f t="shared" si="48"/>
        <v>0</v>
      </c>
      <c r="BK53" s="64">
        <v>0</v>
      </c>
      <c r="BL53" s="63">
        <f t="shared" si="17"/>
        <v>0</v>
      </c>
      <c r="BM53" s="82">
        <f t="shared" si="22"/>
        <v>0</v>
      </c>
      <c r="BN53" s="83">
        <f t="shared" si="23"/>
        <v>0</v>
      </c>
    </row>
    <row r="54" spans="2:66" ht="14.45" hidden="1" customHeight="1" x14ac:dyDescent="0.25">
      <c r="B54" s="6" t="str">
        <f>'Base Period'!B54</f>
        <v>Name</v>
      </c>
      <c r="C54" s="6" t="str">
        <f>'Base Period'!C54</f>
        <v>Enter Labor Category/Title</v>
      </c>
      <c r="D54" s="103">
        <f>'Base Period'!D54</f>
        <v>0</v>
      </c>
      <c r="E54" s="28">
        <v>0</v>
      </c>
      <c r="F54" s="63">
        <f t="shared" si="18"/>
        <v>0</v>
      </c>
      <c r="G54" s="28">
        <v>0</v>
      </c>
      <c r="H54" s="63">
        <f t="shared" si="24"/>
        <v>0</v>
      </c>
      <c r="I54" s="28">
        <v>0</v>
      </c>
      <c r="J54" s="63">
        <f t="shared" si="25"/>
        <v>0</v>
      </c>
      <c r="K54" s="28">
        <v>0</v>
      </c>
      <c r="L54" s="63">
        <f t="shared" si="19"/>
        <v>0</v>
      </c>
      <c r="M54" s="28">
        <v>0</v>
      </c>
      <c r="N54" s="63">
        <f t="shared" si="26"/>
        <v>0</v>
      </c>
      <c r="O54" s="28">
        <v>0</v>
      </c>
      <c r="P54" s="63">
        <f t="shared" si="27"/>
        <v>0</v>
      </c>
      <c r="Q54" s="28">
        <v>0</v>
      </c>
      <c r="R54" s="63">
        <f t="shared" si="28"/>
        <v>0</v>
      </c>
      <c r="S54" s="28">
        <v>0</v>
      </c>
      <c r="T54" s="63">
        <f t="shared" si="29"/>
        <v>0</v>
      </c>
      <c r="U54" s="28">
        <v>0</v>
      </c>
      <c r="V54" s="63">
        <f t="shared" si="30"/>
        <v>0</v>
      </c>
      <c r="W54" s="28">
        <v>0</v>
      </c>
      <c r="X54" s="63">
        <f t="shared" si="31"/>
        <v>0</v>
      </c>
      <c r="Y54" s="28">
        <v>0</v>
      </c>
      <c r="Z54" s="63">
        <f t="shared" si="32"/>
        <v>0</v>
      </c>
      <c r="AA54" s="28">
        <v>0</v>
      </c>
      <c r="AB54" s="63">
        <f t="shared" si="33"/>
        <v>0</v>
      </c>
      <c r="AC54" s="28">
        <v>0</v>
      </c>
      <c r="AD54" s="63">
        <f t="shared" si="34"/>
        <v>0</v>
      </c>
      <c r="AE54" s="28">
        <v>0</v>
      </c>
      <c r="AF54" s="63">
        <f t="shared" si="20"/>
        <v>0</v>
      </c>
      <c r="AG54" s="28">
        <v>0</v>
      </c>
      <c r="AH54" s="63">
        <f t="shared" si="21"/>
        <v>0</v>
      </c>
      <c r="AI54" s="64">
        <v>0</v>
      </c>
      <c r="AJ54" s="63">
        <f t="shared" si="35"/>
        <v>0</v>
      </c>
      <c r="AK54" s="64">
        <v>0</v>
      </c>
      <c r="AL54" s="63">
        <f t="shared" si="36"/>
        <v>0</v>
      </c>
      <c r="AM54" s="64">
        <v>0</v>
      </c>
      <c r="AN54" s="63">
        <f t="shared" si="37"/>
        <v>0</v>
      </c>
      <c r="AO54" s="64">
        <v>0</v>
      </c>
      <c r="AP54" s="63">
        <f t="shared" si="38"/>
        <v>0</v>
      </c>
      <c r="AQ54" s="64">
        <v>0</v>
      </c>
      <c r="AR54" s="63">
        <f t="shared" si="39"/>
        <v>0</v>
      </c>
      <c r="AS54" s="64">
        <v>0</v>
      </c>
      <c r="AT54" s="63">
        <f t="shared" si="40"/>
        <v>0</v>
      </c>
      <c r="AU54" s="64">
        <v>0</v>
      </c>
      <c r="AV54" s="63">
        <f t="shared" si="41"/>
        <v>0</v>
      </c>
      <c r="AW54" s="64">
        <v>0</v>
      </c>
      <c r="AX54" s="63">
        <f t="shared" si="42"/>
        <v>0</v>
      </c>
      <c r="AY54" s="64">
        <v>0</v>
      </c>
      <c r="AZ54" s="63">
        <f t="shared" si="43"/>
        <v>0</v>
      </c>
      <c r="BA54" s="64">
        <v>0</v>
      </c>
      <c r="BB54" s="63">
        <f t="shared" si="44"/>
        <v>0</v>
      </c>
      <c r="BC54" s="64">
        <v>0</v>
      </c>
      <c r="BD54" s="63">
        <f t="shared" si="45"/>
        <v>0</v>
      </c>
      <c r="BE54" s="64">
        <v>0</v>
      </c>
      <c r="BF54" s="63">
        <f t="shared" si="46"/>
        <v>0</v>
      </c>
      <c r="BG54" s="64">
        <v>0</v>
      </c>
      <c r="BH54" s="63">
        <f t="shared" si="47"/>
        <v>0</v>
      </c>
      <c r="BI54" s="64">
        <v>0</v>
      </c>
      <c r="BJ54" s="63">
        <f t="shared" si="48"/>
        <v>0</v>
      </c>
      <c r="BK54" s="64">
        <v>0</v>
      </c>
      <c r="BL54" s="63">
        <f t="shared" si="17"/>
        <v>0</v>
      </c>
      <c r="BM54" s="82">
        <f t="shared" si="22"/>
        <v>0</v>
      </c>
      <c r="BN54" s="83">
        <f t="shared" si="23"/>
        <v>0</v>
      </c>
    </row>
    <row r="55" spans="2:66" ht="14.45" hidden="1" customHeight="1" x14ac:dyDescent="0.25">
      <c r="B55" s="6" t="str">
        <f>'Base Period'!B55</f>
        <v>Name</v>
      </c>
      <c r="C55" s="6" t="str">
        <f>'Base Period'!C55</f>
        <v>Enter Labor Category/Title</v>
      </c>
      <c r="D55" s="103">
        <f>'Base Period'!D55</f>
        <v>0</v>
      </c>
      <c r="E55" s="28">
        <v>0</v>
      </c>
      <c r="F55" s="63">
        <f t="shared" si="18"/>
        <v>0</v>
      </c>
      <c r="G55" s="28">
        <v>0</v>
      </c>
      <c r="H55" s="63">
        <f t="shared" si="24"/>
        <v>0</v>
      </c>
      <c r="I55" s="28">
        <v>0</v>
      </c>
      <c r="J55" s="63">
        <f t="shared" si="25"/>
        <v>0</v>
      </c>
      <c r="K55" s="28">
        <v>0</v>
      </c>
      <c r="L55" s="63">
        <f t="shared" si="19"/>
        <v>0</v>
      </c>
      <c r="M55" s="28">
        <v>0</v>
      </c>
      <c r="N55" s="63">
        <f t="shared" si="26"/>
        <v>0</v>
      </c>
      <c r="O55" s="28">
        <v>0</v>
      </c>
      <c r="P55" s="63">
        <f t="shared" si="27"/>
        <v>0</v>
      </c>
      <c r="Q55" s="28">
        <v>0</v>
      </c>
      <c r="R55" s="63">
        <f t="shared" si="28"/>
        <v>0</v>
      </c>
      <c r="S55" s="28">
        <v>0</v>
      </c>
      <c r="T55" s="63">
        <f t="shared" si="29"/>
        <v>0</v>
      </c>
      <c r="U55" s="28">
        <v>0</v>
      </c>
      <c r="V55" s="63">
        <f t="shared" si="30"/>
        <v>0</v>
      </c>
      <c r="W55" s="28">
        <v>0</v>
      </c>
      <c r="X55" s="63">
        <f t="shared" si="31"/>
        <v>0</v>
      </c>
      <c r="Y55" s="28">
        <v>0</v>
      </c>
      <c r="Z55" s="63">
        <f t="shared" si="32"/>
        <v>0</v>
      </c>
      <c r="AA55" s="28">
        <v>0</v>
      </c>
      <c r="AB55" s="63">
        <f t="shared" si="33"/>
        <v>0</v>
      </c>
      <c r="AC55" s="28">
        <v>0</v>
      </c>
      <c r="AD55" s="63">
        <f t="shared" si="34"/>
        <v>0</v>
      </c>
      <c r="AE55" s="28">
        <v>0</v>
      </c>
      <c r="AF55" s="63">
        <f t="shared" si="20"/>
        <v>0</v>
      </c>
      <c r="AG55" s="28">
        <v>0</v>
      </c>
      <c r="AH55" s="63">
        <f t="shared" si="21"/>
        <v>0</v>
      </c>
      <c r="AI55" s="64">
        <v>0</v>
      </c>
      <c r="AJ55" s="63">
        <f t="shared" si="35"/>
        <v>0</v>
      </c>
      <c r="AK55" s="64">
        <v>0</v>
      </c>
      <c r="AL55" s="63">
        <f t="shared" si="36"/>
        <v>0</v>
      </c>
      <c r="AM55" s="64">
        <v>0</v>
      </c>
      <c r="AN55" s="63">
        <f t="shared" si="37"/>
        <v>0</v>
      </c>
      <c r="AO55" s="64">
        <v>0</v>
      </c>
      <c r="AP55" s="63">
        <f t="shared" si="38"/>
        <v>0</v>
      </c>
      <c r="AQ55" s="64">
        <v>0</v>
      </c>
      <c r="AR55" s="63">
        <f t="shared" si="39"/>
        <v>0</v>
      </c>
      <c r="AS55" s="64">
        <v>0</v>
      </c>
      <c r="AT55" s="63">
        <f t="shared" si="40"/>
        <v>0</v>
      </c>
      <c r="AU55" s="64">
        <v>0</v>
      </c>
      <c r="AV55" s="63">
        <f t="shared" si="41"/>
        <v>0</v>
      </c>
      <c r="AW55" s="64">
        <v>0</v>
      </c>
      <c r="AX55" s="63">
        <f t="shared" si="42"/>
        <v>0</v>
      </c>
      <c r="AY55" s="64">
        <v>0</v>
      </c>
      <c r="AZ55" s="63">
        <f t="shared" si="43"/>
        <v>0</v>
      </c>
      <c r="BA55" s="64">
        <v>0</v>
      </c>
      <c r="BB55" s="63">
        <f t="shared" si="44"/>
        <v>0</v>
      </c>
      <c r="BC55" s="64">
        <v>0</v>
      </c>
      <c r="BD55" s="63">
        <f t="shared" si="45"/>
        <v>0</v>
      </c>
      <c r="BE55" s="64">
        <v>0</v>
      </c>
      <c r="BF55" s="63">
        <f t="shared" si="46"/>
        <v>0</v>
      </c>
      <c r="BG55" s="64">
        <v>0</v>
      </c>
      <c r="BH55" s="63">
        <f t="shared" si="47"/>
        <v>0</v>
      </c>
      <c r="BI55" s="64">
        <v>0</v>
      </c>
      <c r="BJ55" s="63">
        <f t="shared" si="48"/>
        <v>0</v>
      </c>
      <c r="BK55" s="64">
        <v>0</v>
      </c>
      <c r="BL55" s="63">
        <f t="shared" si="17"/>
        <v>0</v>
      </c>
      <c r="BM55" s="82">
        <f t="shared" si="22"/>
        <v>0</v>
      </c>
      <c r="BN55" s="83">
        <f t="shared" si="23"/>
        <v>0</v>
      </c>
    </row>
    <row r="56" spans="2:66" ht="14.45" hidden="1" customHeight="1" x14ac:dyDescent="0.25">
      <c r="B56" s="6" t="str">
        <f>'Base Period'!B56</f>
        <v>Name</v>
      </c>
      <c r="C56" s="6" t="str">
        <f>'Base Period'!C56</f>
        <v>Enter Labor Category/Title</v>
      </c>
      <c r="D56" s="103">
        <f>'Base Period'!D56</f>
        <v>0</v>
      </c>
      <c r="E56" s="28">
        <v>0</v>
      </c>
      <c r="F56" s="63">
        <f t="shared" si="18"/>
        <v>0</v>
      </c>
      <c r="G56" s="28">
        <v>0</v>
      </c>
      <c r="H56" s="63">
        <f t="shared" si="24"/>
        <v>0</v>
      </c>
      <c r="I56" s="28">
        <v>0</v>
      </c>
      <c r="J56" s="63">
        <f t="shared" si="25"/>
        <v>0</v>
      </c>
      <c r="K56" s="28">
        <v>0</v>
      </c>
      <c r="L56" s="63">
        <f t="shared" si="19"/>
        <v>0</v>
      </c>
      <c r="M56" s="28">
        <v>0</v>
      </c>
      <c r="N56" s="63">
        <f t="shared" si="26"/>
        <v>0</v>
      </c>
      <c r="O56" s="28">
        <v>0</v>
      </c>
      <c r="P56" s="63">
        <f t="shared" si="27"/>
        <v>0</v>
      </c>
      <c r="Q56" s="28">
        <v>0</v>
      </c>
      <c r="R56" s="63">
        <f t="shared" si="28"/>
        <v>0</v>
      </c>
      <c r="S56" s="28">
        <v>0</v>
      </c>
      <c r="T56" s="63">
        <f t="shared" si="29"/>
        <v>0</v>
      </c>
      <c r="U56" s="28">
        <v>0</v>
      </c>
      <c r="V56" s="63">
        <f t="shared" si="30"/>
        <v>0</v>
      </c>
      <c r="W56" s="28">
        <v>0</v>
      </c>
      <c r="X56" s="63">
        <f t="shared" si="31"/>
        <v>0</v>
      </c>
      <c r="Y56" s="28">
        <v>0</v>
      </c>
      <c r="Z56" s="63">
        <f t="shared" si="32"/>
        <v>0</v>
      </c>
      <c r="AA56" s="28">
        <v>0</v>
      </c>
      <c r="AB56" s="63">
        <f t="shared" si="33"/>
        <v>0</v>
      </c>
      <c r="AC56" s="28">
        <v>0</v>
      </c>
      <c r="AD56" s="63">
        <f t="shared" si="34"/>
        <v>0</v>
      </c>
      <c r="AE56" s="28">
        <v>0</v>
      </c>
      <c r="AF56" s="63">
        <f t="shared" si="20"/>
        <v>0</v>
      </c>
      <c r="AG56" s="28">
        <v>0</v>
      </c>
      <c r="AH56" s="63">
        <f t="shared" si="21"/>
        <v>0</v>
      </c>
      <c r="AI56" s="64">
        <v>0</v>
      </c>
      <c r="AJ56" s="63">
        <f t="shared" si="35"/>
        <v>0</v>
      </c>
      <c r="AK56" s="64">
        <v>0</v>
      </c>
      <c r="AL56" s="63">
        <f t="shared" si="36"/>
        <v>0</v>
      </c>
      <c r="AM56" s="64">
        <v>0</v>
      </c>
      <c r="AN56" s="63">
        <f t="shared" si="37"/>
        <v>0</v>
      </c>
      <c r="AO56" s="64">
        <v>0</v>
      </c>
      <c r="AP56" s="63">
        <f t="shared" si="38"/>
        <v>0</v>
      </c>
      <c r="AQ56" s="64">
        <v>0</v>
      </c>
      <c r="AR56" s="63">
        <f t="shared" si="39"/>
        <v>0</v>
      </c>
      <c r="AS56" s="64">
        <v>0</v>
      </c>
      <c r="AT56" s="63">
        <f t="shared" si="40"/>
        <v>0</v>
      </c>
      <c r="AU56" s="64">
        <v>0</v>
      </c>
      <c r="AV56" s="63">
        <f t="shared" si="41"/>
        <v>0</v>
      </c>
      <c r="AW56" s="64">
        <v>0</v>
      </c>
      <c r="AX56" s="63">
        <f t="shared" si="42"/>
        <v>0</v>
      </c>
      <c r="AY56" s="64">
        <v>0</v>
      </c>
      <c r="AZ56" s="63">
        <f t="shared" si="43"/>
        <v>0</v>
      </c>
      <c r="BA56" s="64">
        <v>0</v>
      </c>
      <c r="BB56" s="63">
        <f t="shared" si="44"/>
        <v>0</v>
      </c>
      <c r="BC56" s="64">
        <v>0</v>
      </c>
      <c r="BD56" s="63">
        <f t="shared" si="45"/>
        <v>0</v>
      </c>
      <c r="BE56" s="64">
        <v>0</v>
      </c>
      <c r="BF56" s="63">
        <f t="shared" si="46"/>
        <v>0</v>
      </c>
      <c r="BG56" s="64">
        <v>0</v>
      </c>
      <c r="BH56" s="63">
        <f t="shared" si="47"/>
        <v>0</v>
      </c>
      <c r="BI56" s="64">
        <v>0</v>
      </c>
      <c r="BJ56" s="63">
        <f t="shared" si="48"/>
        <v>0</v>
      </c>
      <c r="BK56" s="64">
        <v>0</v>
      </c>
      <c r="BL56" s="63">
        <f t="shared" si="17"/>
        <v>0</v>
      </c>
      <c r="BM56" s="82">
        <f t="shared" si="22"/>
        <v>0</v>
      </c>
      <c r="BN56" s="83">
        <f t="shared" si="23"/>
        <v>0</v>
      </c>
    </row>
    <row r="57" spans="2:66" ht="14.45" hidden="1" customHeight="1" x14ac:dyDescent="0.25">
      <c r="B57" s="6" t="str">
        <f>'Base Period'!B57</f>
        <v>Name</v>
      </c>
      <c r="C57" s="6" t="str">
        <f>'Base Period'!C57</f>
        <v>Enter Labor Category/Title</v>
      </c>
      <c r="D57" s="103">
        <f>'Base Period'!D57</f>
        <v>0</v>
      </c>
      <c r="E57" s="28">
        <v>0</v>
      </c>
      <c r="F57" s="63">
        <f t="shared" si="18"/>
        <v>0</v>
      </c>
      <c r="G57" s="28">
        <v>0</v>
      </c>
      <c r="H57" s="63">
        <f t="shared" si="24"/>
        <v>0</v>
      </c>
      <c r="I57" s="28">
        <v>0</v>
      </c>
      <c r="J57" s="63">
        <f t="shared" si="25"/>
        <v>0</v>
      </c>
      <c r="K57" s="28">
        <v>0</v>
      </c>
      <c r="L57" s="63">
        <f t="shared" si="19"/>
        <v>0</v>
      </c>
      <c r="M57" s="28">
        <v>0</v>
      </c>
      <c r="N57" s="63">
        <f t="shared" si="26"/>
        <v>0</v>
      </c>
      <c r="O57" s="28">
        <v>0</v>
      </c>
      <c r="P57" s="63">
        <f t="shared" si="27"/>
        <v>0</v>
      </c>
      <c r="Q57" s="28">
        <v>0</v>
      </c>
      <c r="R57" s="63">
        <f t="shared" si="28"/>
        <v>0</v>
      </c>
      <c r="S57" s="28">
        <v>0</v>
      </c>
      <c r="T57" s="63">
        <f t="shared" si="29"/>
        <v>0</v>
      </c>
      <c r="U57" s="28">
        <v>0</v>
      </c>
      <c r="V57" s="63">
        <f t="shared" si="30"/>
        <v>0</v>
      </c>
      <c r="W57" s="28">
        <v>0</v>
      </c>
      <c r="X57" s="63">
        <f t="shared" si="31"/>
        <v>0</v>
      </c>
      <c r="Y57" s="28">
        <v>0</v>
      </c>
      <c r="Z57" s="63">
        <f t="shared" si="32"/>
        <v>0</v>
      </c>
      <c r="AA57" s="28">
        <v>0</v>
      </c>
      <c r="AB57" s="63">
        <f t="shared" si="33"/>
        <v>0</v>
      </c>
      <c r="AC57" s="28">
        <v>0</v>
      </c>
      <c r="AD57" s="63">
        <f t="shared" si="34"/>
        <v>0</v>
      </c>
      <c r="AE57" s="28">
        <v>0</v>
      </c>
      <c r="AF57" s="63">
        <f t="shared" si="20"/>
        <v>0</v>
      </c>
      <c r="AG57" s="28">
        <v>0</v>
      </c>
      <c r="AH57" s="63">
        <f t="shared" si="21"/>
        <v>0</v>
      </c>
      <c r="AI57" s="64">
        <v>0</v>
      </c>
      <c r="AJ57" s="63">
        <f t="shared" si="35"/>
        <v>0</v>
      </c>
      <c r="AK57" s="64">
        <v>0</v>
      </c>
      <c r="AL57" s="63">
        <f t="shared" si="36"/>
        <v>0</v>
      </c>
      <c r="AM57" s="64">
        <v>0</v>
      </c>
      <c r="AN57" s="63">
        <f t="shared" si="37"/>
        <v>0</v>
      </c>
      <c r="AO57" s="64">
        <v>0</v>
      </c>
      <c r="AP57" s="63">
        <f t="shared" si="38"/>
        <v>0</v>
      </c>
      <c r="AQ57" s="64">
        <v>0</v>
      </c>
      <c r="AR57" s="63">
        <f t="shared" si="39"/>
        <v>0</v>
      </c>
      <c r="AS57" s="64">
        <v>0</v>
      </c>
      <c r="AT57" s="63">
        <f t="shared" si="40"/>
        <v>0</v>
      </c>
      <c r="AU57" s="64">
        <v>0</v>
      </c>
      <c r="AV57" s="63">
        <f t="shared" si="41"/>
        <v>0</v>
      </c>
      <c r="AW57" s="64">
        <v>0</v>
      </c>
      <c r="AX57" s="63">
        <f t="shared" si="42"/>
        <v>0</v>
      </c>
      <c r="AY57" s="64">
        <v>0</v>
      </c>
      <c r="AZ57" s="63">
        <f t="shared" si="43"/>
        <v>0</v>
      </c>
      <c r="BA57" s="64">
        <v>0</v>
      </c>
      <c r="BB57" s="63">
        <f t="shared" si="44"/>
        <v>0</v>
      </c>
      <c r="BC57" s="64">
        <v>0</v>
      </c>
      <c r="BD57" s="63">
        <f t="shared" si="45"/>
        <v>0</v>
      </c>
      <c r="BE57" s="64">
        <v>0</v>
      </c>
      <c r="BF57" s="63">
        <f t="shared" si="46"/>
        <v>0</v>
      </c>
      <c r="BG57" s="64">
        <v>0</v>
      </c>
      <c r="BH57" s="63">
        <f t="shared" si="47"/>
        <v>0</v>
      </c>
      <c r="BI57" s="64">
        <v>0</v>
      </c>
      <c r="BJ57" s="63">
        <f t="shared" si="48"/>
        <v>0</v>
      </c>
      <c r="BK57" s="64">
        <v>0</v>
      </c>
      <c r="BL57" s="63">
        <f t="shared" si="17"/>
        <v>0</v>
      </c>
      <c r="BM57" s="82">
        <f t="shared" si="22"/>
        <v>0</v>
      </c>
      <c r="BN57" s="83">
        <f t="shared" si="23"/>
        <v>0</v>
      </c>
    </row>
    <row r="58" spans="2:66" ht="14.45" hidden="1" customHeight="1" x14ac:dyDescent="0.25">
      <c r="B58" s="6" t="str">
        <f>'Base Period'!B58</f>
        <v>Name</v>
      </c>
      <c r="C58" s="6" t="str">
        <f>'Base Period'!C58</f>
        <v>Enter Labor Category/Title</v>
      </c>
      <c r="D58" s="103">
        <f>'Base Period'!D58</f>
        <v>0</v>
      </c>
      <c r="E58" s="28">
        <v>0</v>
      </c>
      <c r="F58" s="63">
        <f t="shared" si="18"/>
        <v>0</v>
      </c>
      <c r="G58" s="28">
        <v>0</v>
      </c>
      <c r="H58" s="63">
        <f t="shared" si="24"/>
        <v>0</v>
      </c>
      <c r="I58" s="28">
        <v>0</v>
      </c>
      <c r="J58" s="63">
        <f t="shared" si="25"/>
        <v>0</v>
      </c>
      <c r="K58" s="28">
        <v>0</v>
      </c>
      <c r="L58" s="63">
        <f t="shared" si="19"/>
        <v>0</v>
      </c>
      <c r="M58" s="28">
        <v>0</v>
      </c>
      <c r="N58" s="63">
        <f t="shared" si="26"/>
        <v>0</v>
      </c>
      <c r="O58" s="28">
        <v>0</v>
      </c>
      <c r="P58" s="63">
        <f t="shared" si="27"/>
        <v>0</v>
      </c>
      <c r="Q58" s="28">
        <v>0</v>
      </c>
      <c r="R58" s="63">
        <f t="shared" si="28"/>
        <v>0</v>
      </c>
      <c r="S58" s="28">
        <v>0</v>
      </c>
      <c r="T58" s="63">
        <f t="shared" si="29"/>
        <v>0</v>
      </c>
      <c r="U58" s="28">
        <v>0</v>
      </c>
      <c r="V58" s="63">
        <f t="shared" si="30"/>
        <v>0</v>
      </c>
      <c r="W58" s="28">
        <v>0</v>
      </c>
      <c r="X58" s="63">
        <f t="shared" si="31"/>
        <v>0</v>
      </c>
      <c r="Y58" s="28">
        <v>0</v>
      </c>
      <c r="Z58" s="63">
        <f t="shared" si="32"/>
        <v>0</v>
      </c>
      <c r="AA58" s="28">
        <v>0</v>
      </c>
      <c r="AB58" s="63">
        <f t="shared" si="33"/>
        <v>0</v>
      </c>
      <c r="AC58" s="28">
        <v>0</v>
      </c>
      <c r="AD58" s="63">
        <f t="shared" si="34"/>
        <v>0</v>
      </c>
      <c r="AE58" s="28">
        <v>0</v>
      </c>
      <c r="AF58" s="63">
        <f t="shared" si="20"/>
        <v>0</v>
      </c>
      <c r="AG58" s="28">
        <v>0</v>
      </c>
      <c r="AH58" s="63">
        <f t="shared" si="21"/>
        <v>0</v>
      </c>
      <c r="AI58" s="64">
        <v>0</v>
      </c>
      <c r="AJ58" s="63">
        <f t="shared" si="35"/>
        <v>0</v>
      </c>
      <c r="AK58" s="64">
        <v>0</v>
      </c>
      <c r="AL58" s="63">
        <f t="shared" si="36"/>
        <v>0</v>
      </c>
      <c r="AM58" s="64">
        <v>0</v>
      </c>
      <c r="AN58" s="63">
        <f t="shared" si="37"/>
        <v>0</v>
      </c>
      <c r="AO58" s="64">
        <v>0</v>
      </c>
      <c r="AP58" s="63">
        <f t="shared" si="38"/>
        <v>0</v>
      </c>
      <c r="AQ58" s="64">
        <v>0</v>
      </c>
      <c r="AR58" s="63">
        <f t="shared" si="39"/>
        <v>0</v>
      </c>
      <c r="AS58" s="64">
        <v>0</v>
      </c>
      <c r="AT58" s="63">
        <f t="shared" si="40"/>
        <v>0</v>
      </c>
      <c r="AU58" s="64">
        <v>0</v>
      </c>
      <c r="AV58" s="63">
        <f t="shared" si="41"/>
        <v>0</v>
      </c>
      <c r="AW58" s="64">
        <v>0</v>
      </c>
      <c r="AX58" s="63">
        <f t="shared" si="42"/>
        <v>0</v>
      </c>
      <c r="AY58" s="64">
        <v>0</v>
      </c>
      <c r="AZ58" s="63">
        <f t="shared" si="43"/>
        <v>0</v>
      </c>
      <c r="BA58" s="64">
        <v>0</v>
      </c>
      <c r="BB58" s="63">
        <f t="shared" si="44"/>
        <v>0</v>
      </c>
      <c r="BC58" s="64">
        <v>0</v>
      </c>
      <c r="BD58" s="63">
        <f t="shared" si="45"/>
        <v>0</v>
      </c>
      <c r="BE58" s="64">
        <v>0</v>
      </c>
      <c r="BF58" s="63">
        <f t="shared" si="46"/>
        <v>0</v>
      </c>
      <c r="BG58" s="64">
        <v>0</v>
      </c>
      <c r="BH58" s="63">
        <f t="shared" si="47"/>
        <v>0</v>
      </c>
      <c r="BI58" s="64">
        <v>0</v>
      </c>
      <c r="BJ58" s="63">
        <f t="shared" si="48"/>
        <v>0</v>
      </c>
      <c r="BK58" s="64">
        <v>0</v>
      </c>
      <c r="BL58" s="63">
        <f t="shared" si="17"/>
        <v>0</v>
      </c>
      <c r="BM58" s="82">
        <f t="shared" si="22"/>
        <v>0</v>
      </c>
      <c r="BN58" s="83">
        <f t="shared" si="23"/>
        <v>0</v>
      </c>
    </row>
    <row r="59" spans="2:66" ht="14.45" hidden="1" customHeight="1" x14ac:dyDescent="0.25">
      <c r="B59" s="6" t="str">
        <f>'Base Period'!B59</f>
        <v>Name</v>
      </c>
      <c r="C59" s="6" t="str">
        <f>'Base Period'!C59</f>
        <v>Enter Labor Category/Title</v>
      </c>
      <c r="D59" s="103">
        <f>'Base Period'!D59</f>
        <v>0</v>
      </c>
      <c r="E59" s="28">
        <v>0</v>
      </c>
      <c r="F59" s="63">
        <f>IF(ISERROR(E59*$D59), "$0", E59*$D59)</f>
        <v>0</v>
      </c>
      <c r="G59" s="28">
        <v>0</v>
      </c>
      <c r="H59" s="63">
        <f>IF(ISERROR(G59*$D59), "$0", G59*$D59)</f>
        <v>0</v>
      </c>
      <c r="I59" s="28">
        <v>0</v>
      </c>
      <c r="J59" s="63">
        <f>IF(ISERROR(I59*$D59), "$0", I59*$D59)</f>
        <v>0</v>
      </c>
      <c r="K59" s="28">
        <v>0</v>
      </c>
      <c r="L59" s="63">
        <f>IF(ISERROR(K59*$D59), "$0", K59*$D59)</f>
        <v>0</v>
      </c>
      <c r="M59" s="28">
        <v>0</v>
      </c>
      <c r="N59" s="63">
        <f>IF(ISERROR(M59*$D59), "$0", M59*$D59)</f>
        <v>0</v>
      </c>
      <c r="O59" s="28">
        <v>0</v>
      </c>
      <c r="P59" s="63">
        <f>IF(ISERROR(O59*$D59), "$0", O59*$D59)</f>
        <v>0</v>
      </c>
      <c r="Q59" s="28">
        <v>0</v>
      </c>
      <c r="R59" s="63">
        <f>IF(ISERROR(Q59*$D59), "$0", Q59*$D59)</f>
        <v>0</v>
      </c>
      <c r="S59" s="28">
        <v>0</v>
      </c>
      <c r="T59" s="63">
        <f>IF(ISERROR(S59*$D59), "$0", S59*$D59)</f>
        <v>0</v>
      </c>
      <c r="U59" s="28">
        <v>0</v>
      </c>
      <c r="V59" s="63">
        <f>IF(ISERROR(U59*$D59), "$0", U59*$D59)</f>
        <v>0</v>
      </c>
      <c r="W59" s="28">
        <v>0</v>
      </c>
      <c r="X59" s="63">
        <f>IF(ISERROR(W59*$D59), "$0", W59*$D59)</f>
        <v>0</v>
      </c>
      <c r="Y59" s="28">
        <v>0</v>
      </c>
      <c r="Z59" s="63">
        <f t="shared" si="32"/>
        <v>0</v>
      </c>
      <c r="AA59" s="28">
        <v>0</v>
      </c>
      <c r="AB59" s="63">
        <f t="shared" si="33"/>
        <v>0</v>
      </c>
      <c r="AC59" s="28">
        <v>0</v>
      </c>
      <c r="AD59" s="63">
        <f t="shared" si="34"/>
        <v>0</v>
      </c>
      <c r="AE59" s="28">
        <v>0</v>
      </c>
      <c r="AF59" s="63">
        <f t="shared" si="20"/>
        <v>0</v>
      </c>
      <c r="AG59" s="28">
        <v>0</v>
      </c>
      <c r="AH59" s="63">
        <f t="shared" si="21"/>
        <v>0</v>
      </c>
      <c r="AI59" s="64">
        <v>0</v>
      </c>
      <c r="AJ59" s="63">
        <f t="shared" si="35"/>
        <v>0</v>
      </c>
      <c r="AK59" s="64">
        <v>0</v>
      </c>
      <c r="AL59" s="63">
        <f t="shared" si="36"/>
        <v>0</v>
      </c>
      <c r="AM59" s="64">
        <v>0</v>
      </c>
      <c r="AN59" s="63">
        <f t="shared" si="37"/>
        <v>0</v>
      </c>
      <c r="AO59" s="64">
        <v>0</v>
      </c>
      <c r="AP59" s="63">
        <f t="shared" si="38"/>
        <v>0</v>
      </c>
      <c r="AQ59" s="64">
        <v>0</v>
      </c>
      <c r="AR59" s="63">
        <f t="shared" si="39"/>
        <v>0</v>
      </c>
      <c r="AS59" s="64">
        <v>0</v>
      </c>
      <c r="AT59" s="63">
        <f t="shared" si="40"/>
        <v>0</v>
      </c>
      <c r="AU59" s="64">
        <v>0</v>
      </c>
      <c r="AV59" s="63">
        <f t="shared" si="41"/>
        <v>0</v>
      </c>
      <c r="AW59" s="64">
        <v>0</v>
      </c>
      <c r="AX59" s="63">
        <f t="shared" si="42"/>
        <v>0</v>
      </c>
      <c r="AY59" s="64">
        <v>0</v>
      </c>
      <c r="AZ59" s="63">
        <f t="shared" si="43"/>
        <v>0</v>
      </c>
      <c r="BA59" s="64">
        <v>0</v>
      </c>
      <c r="BB59" s="63">
        <f t="shared" si="44"/>
        <v>0</v>
      </c>
      <c r="BC59" s="64">
        <v>0</v>
      </c>
      <c r="BD59" s="63">
        <f t="shared" si="45"/>
        <v>0</v>
      </c>
      <c r="BE59" s="64">
        <v>0</v>
      </c>
      <c r="BF59" s="63">
        <f t="shared" si="46"/>
        <v>0</v>
      </c>
      <c r="BG59" s="64">
        <v>0</v>
      </c>
      <c r="BH59" s="63">
        <f t="shared" si="47"/>
        <v>0</v>
      </c>
      <c r="BI59" s="64">
        <v>0</v>
      </c>
      <c r="BJ59" s="63">
        <f t="shared" si="48"/>
        <v>0</v>
      </c>
      <c r="BK59" s="64">
        <v>0</v>
      </c>
      <c r="BL59" s="63">
        <f t="shared" si="17"/>
        <v>0</v>
      </c>
      <c r="BM59" s="82">
        <f t="shared" si="22"/>
        <v>0</v>
      </c>
      <c r="BN59" s="83">
        <f t="shared" si="23"/>
        <v>0</v>
      </c>
    </row>
    <row r="60" spans="2:66" ht="14.45" hidden="1" customHeight="1" x14ac:dyDescent="0.25">
      <c r="B60" s="6" t="str">
        <f>'Base Period'!B60</f>
        <v>Name</v>
      </c>
      <c r="C60" s="6" t="str">
        <f>'Base Period'!C60</f>
        <v>Enter Labor Category/Title</v>
      </c>
      <c r="D60" s="103">
        <f>'Base Period'!D60</f>
        <v>0</v>
      </c>
      <c r="E60" s="28">
        <v>0</v>
      </c>
      <c r="F60" s="63">
        <f>IF(ISERROR(E60*$D60), "$0", E60*$D60)</f>
        <v>0</v>
      </c>
      <c r="G60" s="28">
        <v>0</v>
      </c>
      <c r="H60" s="63">
        <f>IF(ISERROR(G60*$D60), "$0", G60*$D60)</f>
        <v>0</v>
      </c>
      <c r="I60" s="28">
        <v>0</v>
      </c>
      <c r="J60" s="63">
        <f>IF(ISERROR(I60*$D60), "$0", I60*$D60)</f>
        <v>0</v>
      </c>
      <c r="K60" s="28">
        <v>0</v>
      </c>
      <c r="L60" s="63">
        <f>IF(ISERROR(K60*$D60), "$0", K60*$D60)</f>
        <v>0</v>
      </c>
      <c r="M60" s="28">
        <v>0</v>
      </c>
      <c r="N60" s="63">
        <f>IF(ISERROR(M60*$D60), "$0", M60*$D60)</f>
        <v>0</v>
      </c>
      <c r="O60" s="28">
        <v>0</v>
      </c>
      <c r="P60" s="63">
        <f>IF(ISERROR(O60*$D60), "$0", O60*$D60)</f>
        <v>0</v>
      </c>
      <c r="Q60" s="28">
        <v>0</v>
      </c>
      <c r="R60" s="63">
        <f>IF(ISERROR(Q60*$D60), "$0", Q60*$D60)</f>
        <v>0</v>
      </c>
      <c r="S60" s="28">
        <v>0</v>
      </c>
      <c r="T60" s="63">
        <f>IF(ISERROR(S60*$D60), "$0", S60*$D60)</f>
        <v>0</v>
      </c>
      <c r="U60" s="28">
        <v>0</v>
      </c>
      <c r="V60" s="63">
        <f>IF(ISERROR(U60*$D60), "$0", U60*$D60)</f>
        <v>0</v>
      </c>
      <c r="W60" s="28">
        <v>0</v>
      </c>
      <c r="X60" s="63">
        <f>IF(ISERROR(W60*$D60), "$0", W60*$D60)</f>
        <v>0</v>
      </c>
      <c r="Y60" s="28">
        <v>0</v>
      </c>
      <c r="Z60" s="63">
        <f t="shared" si="32"/>
        <v>0</v>
      </c>
      <c r="AA60" s="28">
        <v>0</v>
      </c>
      <c r="AB60" s="63">
        <f t="shared" si="33"/>
        <v>0</v>
      </c>
      <c r="AC60" s="28">
        <v>0</v>
      </c>
      <c r="AD60" s="63">
        <f t="shared" si="34"/>
        <v>0</v>
      </c>
      <c r="AE60" s="28">
        <v>0</v>
      </c>
      <c r="AF60" s="63">
        <f t="shared" si="20"/>
        <v>0</v>
      </c>
      <c r="AG60" s="28">
        <v>0</v>
      </c>
      <c r="AH60" s="63">
        <f t="shared" si="21"/>
        <v>0</v>
      </c>
      <c r="AI60" s="64">
        <v>0</v>
      </c>
      <c r="AJ60" s="63">
        <f t="shared" si="35"/>
        <v>0</v>
      </c>
      <c r="AK60" s="64">
        <v>0</v>
      </c>
      <c r="AL60" s="63">
        <f t="shared" si="36"/>
        <v>0</v>
      </c>
      <c r="AM60" s="64">
        <v>0</v>
      </c>
      <c r="AN60" s="63">
        <f t="shared" si="37"/>
        <v>0</v>
      </c>
      <c r="AO60" s="64">
        <v>0</v>
      </c>
      <c r="AP60" s="63">
        <f t="shared" si="38"/>
        <v>0</v>
      </c>
      <c r="AQ60" s="64">
        <v>0</v>
      </c>
      <c r="AR60" s="63">
        <f t="shared" si="39"/>
        <v>0</v>
      </c>
      <c r="AS60" s="64">
        <v>0</v>
      </c>
      <c r="AT60" s="63">
        <f t="shared" si="40"/>
        <v>0</v>
      </c>
      <c r="AU60" s="64">
        <v>0</v>
      </c>
      <c r="AV60" s="63">
        <f t="shared" si="41"/>
        <v>0</v>
      </c>
      <c r="AW60" s="64">
        <v>0</v>
      </c>
      <c r="AX60" s="63">
        <f t="shared" si="42"/>
        <v>0</v>
      </c>
      <c r="AY60" s="64">
        <v>0</v>
      </c>
      <c r="AZ60" s="63">
        <f t="shared" si="43"/>
        <v>0</v>
      </c>
      <c r="BA60" s="64">
        <v>0</v>
      </c>
      <c r="BB60" s="63">
        <f t="shared" si="44"/>
        <v>0</v>
      </c>
      <c r="BC60" s="64">
        <v>0</v>
      </c>
      <c r="BD60" s="63">
        <f t="shared" si="45"/>
        <v>0</v>
      </c>
      <c r="BE60" s="64">
        <v>0</v>
      </c>
      <c r="BF60" s="63">
        <f t="shared" si="46"/>
        <v>0</v>
      </c>
      <c r="BG60" s="64">
        <v>0</v>
      </c>
      <c r="BH60" s="63">
        <f t="shared" si="47"/>
        <v>0</v>
      </c>
      <c r="BI60" s="64">
        <v>0</v>
      </c>
      <c r="BJ60" s="63">
        <f t="shared" si="48"/>
        <v>0</v>
      </c>
      <c r="BK60" s="64">
        <v>0</v>
      </c>
      <c r="BL60" s="63">
        <f t="shared" si="17"/>
        <v>0</v>
      </c>
      <c r="BM60" s="82">
        <f t="shared" si="22"/>
        <v>0</v>
      </c>
      <c r="BN60" s="83">
        <f t="shared" si="23"/>
        <v>0</v>
      </c>
    </row>
    <row r="61" spans="2:66" ht="14.45" hidden="1" customHeight="1" x14ac:dyDescent="0.25">
      <c r="B61" s="6" t="str">
        <f>'Base Period'!B61</f>
        <v>Name</v>
      </c>
      <c r="C61" s="6" t="str">
        <f>'Base Period'!C61</f>
        <v>Enter Labor Category/Title</v>
      </c>
      <c r="D61" s="103">
        <f>'Base Period'!D61</f>
        <v>0</v>
      </c>
      <c r="E61" s="28">
        <v>0</v>
      </c>
      <c r="F61" s="63">
        <f>IF(ISERROR(E61*$D61), "$0", E61*$D61)</f>
        <v>0</v>
      </c>
      <c r="G61" s="28">
        <v>0</v>
      </c>
      <c r="H61" s="63">
        <f>IF(ISERROR(G61*$D61), "$0", G61*$D61)</f>
        <v>0</v>
      </c>
      <c r="I61" s="28">
        <v>0</v>
      </c>
      <c r="J61" s="63">
        <f>IF(ISERROR(I61*$D61), "$0", I61*$D61)</f>
        <v>0</v>
      </c>
      <c r="K61" s="28">
        <v>0</v>
      </c>
      <c r="L61" s="63">
        <f>IF(ISERROR(K61*$D61), "$0", K61*$D61)</f>
        <v>0</v>
      </c>
      <c r="M61" s="28">
        <v>0</v>
      </c>
      <c r="N61" s="63">
        <f>IF(ISERROR(M61*$D61), "$0", M61*$D61)</f>
        <v>0</v>
      </c>
      <c r="O61" s="28">
        <v>0</v>
      </c>
      <c r="P61" s="63">
        <f>IF(ISERROR(O61*$D61), "$0", O61*$D61)</f>
        <v>0</v>
      </c>
      <c r="Q61" s="28">
        <v>0</v>
      </c>
      <c r="R61" s="63">
        <f>IF(ISERROR(Q61*$D61), "$0", Q61*$D61)</f>
        <v>0</v>
      </c>
      <c r="S61" s="28">
        <v>0</v>
      </c>
      <c r="T61" s="63">
        <f>IF(ISERROR(S61*$D61), "$0", S61*$D61)</f>
        <v>0</v>
      </c>
      <c r="U61" s="28">
        <v>0</v>
      </c>
      <c r="V61" s="63">
        <f>IF(ISERROR(U61*$D61), "$0", U61*$D61)</f>
        <v>0</v>
      </c>
      <c r="W61" s="28">
        <v>0</v>
      </c>
      <c r="X61" s="63">
        <f>IF(ISERROR(W61*$D61), "$0", W61*$D61)</f>
        <v>0</v>
      </c>
      <c r="Y61" s="28">
        <v>0</v>
      </c>
      <c r="Z61" s="63">
        <f t="shared" si="32"/>
        <v>0</v>
      </c>
      <c r="AA61" s="28">
        <v>0</v>
      </c>
      <c r="AB61" s="63">
        <f t="shared" si="33"/>
        <v>0</v>
      </c>
      <c r="AC61" s="28">
        <v>0</v>
      </c>
      <c r="AD61" s="63">
        <f t="shared" si="34"/>
        <v>0</v>
      </c>
      <c r="AE61" s="28">
        <v>0</v>
      </c>
      <c r="AF61" s="63">
        <f t="shared" si="20"/>
        <v>0</v>
      </c>
      <c r="AG61" s="28">
        <v>0</v>
      </c>
      <c r="AH61" s="63">
        <f t="shared" si="21"/>
        <v>0</v>
      </c>
      <c r="AI61" s="64">
        <v>0</v>
      </c>
      <c r="AJ61" s="63">
        <f t="shared" si="35"/>
        <v>0</v>
      </c>
      <c r="AK61" s="64">
        <v>0</v>
      </c>
      <c r="AL61" s="63">
        <f t="shared" si="36"/>
        <v>0</v>
      </c>
      <c r="AM61" s="64">
        <v>0</v>
      </c>
      <c r="AN61" s="63">
        <f t="shared" si="37"/>
        <v>0</v>
      </c>
      <c r="AO61" s="64">
        <v>0</v>
      </c>
      <c r="AP61" s="63">
        <f t="shared" si="38"/>
        <v>0</v>
      </c>
      <c r="AQ61" s="64">
        <v>0</v>
      </c>
      <c r="AR61" s="63">
        <f t="shared" si="39"/>
        <v>0</v>
      </c>
      <c r="AS61" s="64">
        <v>0</v>
      </c>
      <c r="AT61" s="63">
        <f t="shared" si="40"/>
        <v>0</v>
      </c>
      <c r="AU61" s="64">
        <v>0</v>
      </c>
      <c r="AV61" s="63">
        <f t="shared" si="41"/>
        <v>0</v>
      </c>
      <c r="AW61" s="64">
        <v>0</v>
      </c>
      <c r="AX61" s="63">
        <f t="shared" si="42"/>
        <v>0</v>
      </c>
      <c r="AY61" s="64">
        <v>0</v>
      </c>
      <c r="AZ61" s="63">
        <f t="shared" si="43"/>
        <v>0</v>
      </c>
      <c r="BA61" s="64">
        <v>0</v>
      </c>
      <c r="BB61" s="63">
        <f t="shared" si="44"/>
        <v>0</v>
      </c>
      <c r="BC61" s="64">
        <v>0</v>
      </c>
      <c r="BD61" s="63">
        <f t="shared" si="45"/>
        <v>0</v>
      </c>
      <c r="BE61" s="64">
        <v>0</v>
      </c>
      <c r="BF61" s="63">
        <f t="shared" si="46"/>
        <v>0</v>
      </c>
      <c r="BG61" s="64">
        <v>0</v>
      </c>
      <c r="BH61" s="63">
        <f t="shared" si="47"/>
        <v>0</v>
      </c>
      <c r="BI61" s="64">
        <v>0</v>
      </c>
      <c r="BJ61" s="63">
        <f t="shared" si="48"/>
        <v>0</v>
      </c>
      <c r="BK61" s="64">
        <v>0</v>
      </c>
      <c r="BL61" s="63">
        <f t="shared" si="17"/>
        <v>0</v>
      </c>
      <c r="BM61" s="82">
        <f t="shared" si="22"/>
        <v>0</v>
      </c>
      <c r="BN61" s="83">
        <f t="shared" si="23"/>
        <v>0</v>
      </c>
    </row>
    <row r="62" spans="2:66" ht="13.5" hidden="1" customHeight="1" x14ac:dyDescent="0.25">
      <c r="B62" s="6" t="str">
        <f>'Base Period'!B62</f>
        <v>Name</v>
      </c>
      <c r="C62" s="6" t="str">
        <f>'Base Period'!C62</f>
        <v>Enter Labor Category/Title</v>
      </c>
      <c r="D62" s="103">
        <f>'Base Period'!D62</f>
        <v>0</v>
      </c>
      <c r="E62" s="28">
        <v>0</v>
      </c>
      <c r="F62" s="63">
        <f t="shared" si="18"/>
        <v>0</v>
      </c>
      <c r="G62" s="28">
        <v>0</v>
      </c>
      <c r="H62" s="63">
        <f t="shared" si="24"/>
        <v>0</v>
      </c>
      <c r="I62" s="28">
        <v>0</v>
      </c>
      <c r="J62" s="63">
        <f t="shared" si="25"/>
        <v>0</v>
      </c>
      <c r="K62" s="28">
        <v>0</v>
      </c>
      <c r="L62" s="63">
        <f t="shared" si="19"/>
        <v>0</v>
      </c>
      <c r="M62" s="28">
        <v>0</v>
      </c>
      <c r="N62" s="63">
        <f t="shared" si="26"/>
        <v>0</v>
      </c>
      <c r="O62" s="28">
        <v>0</v>
      </c>
      <c r="P62" s="63">
        <f t="shared" si="27"/>
        <v>0</v>
      </c>
      <c r="Q62" s="28">
        <v>0</v>
      </c>
      <c r="R62" s="63">
        <f t="shared" si="28"/>
        <v>0</v>
      </c>
      <c r="S62" s="28">
        <v>0</v>
      </c>
      <c r="T62" s="63">
        <f t="shared" si="29"/>
        <v>0</v>
      </c>
      <c r="U62" s="28">
        <v>0</v>
      </c>
      <c r="V62" s="63">
        <f t="shared" si="30"/>
        <v>0</v>
      </c>
      <c r="W62" s="28">
        <v>0</v>
      </c>
      <c r="X62" s="63">
        <f t="shared" si="31"/>
        <v>0</v>
      </c>
      <c r="Y62" s="28">
        <v>0</v>
      </c>
      <c r="Z62" s="63">
        <f t="shared" si="32"/>
        <v>0</v>
      </c>
      <c r="AA62" s="28">
        <v>0</v>
      </c>
      <c r="AB62" s="63">
        <f t="shared" si="33"/>
        <v>0</v>
      </c>
      <c r="AC62" s="28">
        <v>0</v>
      </c>
      <c r="AD62" s="63">
        <f t="shared" si="34"/>
        <v>0</v>
      </c>
      <c r="AE62" s="28">
        <v>0</v>
      </c>
      <c r="AF62" s="63">
        <f t="shared" si="20"/>
        <v>0</v>
      </c>
      <c r="AG62" s="28">
        <v>0</v>
      </c>
      <c r="AH62" s="63">
        <f t="shared" si="21"/>
        <v>0</v>
      </c>
      <c r="AI62" s="64">
        <v>0</v>
      </c>
      <c r="AJ62" s="63">
        <f t="shared" si="35"/>
        <v>0</v>
      </c>
      <c r="AK62" s="64">
        <v>0</v>
      </c>
      <c r="AL62" s="63">
        <f t="shared" si="36"/>
        <v>0</v>
      </c>
      <c r="AM62" s="64">
        <v>0</v>
      </c>
      <c r="AN62" s="63">
        <f t="shared" si="37"/>
        <v>0</v>
      </c>
      <c r="AO62" s="64">
        <v>0</v>
      </c>
      <c r="AP62" s="79">
        <f t="shared" si="38"/>
        <v>0</v>
      </c>
      <c r="AQ62" s="64">
        <v>0</v>
      </c>
      <c r="AR62" s="79">
        <f t="shared" si="39"/>
        <v>0</v>
      </c>
      <c r="AS62" s="64">
        <v>0</v>
      </c>
      <c r="AT62" s="63">
        <f t="shared" si="40"/>
        <v>0</v>
      </c>
      <c r="AU62" s="64">
        <v>0</v>
      </c>
      <c r="AV62" s="79">
        <f t="shared" si="41"/>
        <v>0</v>
      </c>
      <c r="AW62" s="64">
        <v>0</v>
      </c>
      <c r="AX62" s="63">
        <f t="shared" si="42"/>
        <v>0</v>
      </c>
      <c r="AY62" s="64">
        <v>0</v>
      </c>
      <c r="AZ62" s="79">
        <f t="shared" si="43"/>
        <v>0</v>
      </c>
      <c r="BA62" s="64">
        <v>0</v>
      </c>
      <c r="BB62" s="63">
        <f t="shared" si="44"/>
        <v>0</v>
      </c>
      <c r="BC62" s="64">
        <v>0</v>
      </c>
      <c r="BD62" s="63">
        <f t="shared" si="45"/>
        <v>0</v>
      </c>
      <c r="BE62" s="64">
        <v>0</v>
      </c>
      <c r="BF62" s="79">
        <f t="shared" si="46"/>
        <v>0</v>
      </c>
      <c r="BG62" s="64">
        <v>0</v>
      </c>
      <c r="BH62" s="79">
        <f t="shared" si="47"/>
        <v>0</v>
      </c>
      <c r="BI62" s="64">
        <v>0</v>
      </c>
      <c r="BJ62" s="79">
        <f t="shared" si="48"/>
        <v>0</v>
      </c>
      <c r="BK62" s="64">
        <v>0</v>
      </c>
      <c r="BL62" s="63">
        <f t="shared" si="17"/>
        <v>0</v>
      </c>
      <c r="BM62" s="82">
        <f t="shared" si="22"/>
        <v>0</v>
      </c>
      <c r="BN62" s="83">
        <f t="shared" si="23"/>
        <v>0</v>
      </c>
    </row>
    <row r="63" spans="2:66" x14ac:dyDescent="0.25">
      <c r="B63" s="2"/>
      <c r="C63" s="2"/>
      <c r="D63" s="94"/>
      <c r="E63" s="32"/>
      <c r="F63" s="34"/>
      <c r="G63" s="32"/>
      <c r="H63" s="34"/>
      <c r="I63" s="32"/>
      <c r="J63" s="34"/>
      <c r="K63" s="32"/>
      <c r="L63" s="34"/>
      <c r="M63" s="32"/>
      <c r="N63" s="34"/>
      <c r="O63" s="32"/>
      <c r="P63" s="34"/>
      <c r="Q63" s="32"/>
      <c r="R63" s="34"/>
      <c r="S63" s="32"/>
      <c r="T63" s="34"/>
      <c r="U63" s="32"/>
      <c r="V63" s="34"/>
      <c r="W63" s="32"/>
      <c r="X63" s="34"/>
      <c r="Y63" s="32"/>
      <c r="Z63" s="34"/>
      <c r="AA63" s="32"/>
      <c r="AB63" s="34"/>
      <c r="AC63" s="32"/>
      <c r="AD63" s="34"/>
      <c r="AE63" s="32"/>
      <c r="AF63" s="34"/>
      <c r="AG63" s="32"/>
      <c r="AH63" s="34"/>
      <c r="AI63" s="10"/>
      <c r="AJ63" s="78"/>
      <c r="AK63" s="10"/>
      <c r="AL63" s="78"/>
      <c r="AM63" s="10"/>
      <c r="AN63" s="78"/>
      <c r="AO63" s="10"/>
      <c r="AP63" s="34"/>
      <c r="AQ63" s="10"/>
      <c r="AR63" s="34"/>
      <c r="AS63" s="10"/>
      <c r="AT63" s="78"/>
      <c r="AU63" s="10"/>
      <c r="AV63" s="34"/>
      <c r="AW63" s="10"/>
      <c r="AX63" s="78"/>
      <c r="AY63" s="10"/>
      <c r="AZ63" s="34"/>
      <c r="BA63" s="10"/>
      <c r="BB63" s="78"/>
      <c r="BC63" s="10"/>
      <c r="BD63" s="78"/>
      <c r="BE63" s="10"/>
      <c r="BF63" s="34"/>
      <c r="BG63" s="10"/>
      <c r="BH63" s="34"/>
      <c r="BI63" s="10"/>
      <c r="BJ63" s="34"/>
      <c r="BK63" s="10"/>
      <c r="BL63" s="34"/>
      <c r="BM63" s="88"/>
      <c r="BN63" s="86"/>
    </row>
    <row r="64" spans="2:66" x14ac:dyDescent="0.25">
      <c r="B64" s="6" t="s">
        <v>136</v>
      </c>
      <c r="C64" s="8"/>
      <c r="D64" s="104"/>
      <c r="F64" s="36">
        <f>SUM(F33:F63)</f>
        <v>1</v>
      </c>
      <c r="H64" s="36">
        <f>SUM(H33:H63)</f>
        <v>6</v>
      </c>
      <c r="J64" s="36">
        <f>SUM(J33:J63)</f>
        <v>6</v>
      </c>
      <c r="L64" s="36">
        <f>SUM(L33:L63)</f>
        <v>950</v>
      </c>
      <c r="N64" s="36">
        <f>SUM(N33:N63)</f>
        <v>6</v>
      </c>
      <c r="P64" s="36">
        <f>SUM(P33:P63)</f>
        <v>6</v>
      </c>
      <c r="R64" s="36">
        <f>SUM(R33:R63)</f>
        <v>6</v>
      </c>
      <c r="T64" s="36">
        <f>SUM(T33:T63)</f>
        <v>6</v>
      </c>
      <c r="V64" s="36">
        <f>SUM(V33:V63)</f>
        <v>6</v>
      </c>
      <c r="X64" s="36">
        <f>SUM(X33:X63)</f>
        <v>6</v>
      </c>
      <c r="Z64" s="36">
        <f>SUM(Z33:Z63)</f>
        <v>6</v>
      </c>
      <c r="AB64" s="36">
        <f>SUM(AB33:AB63)</f>
        <v>6</v>
      </c>
      <c r="AD64" s="36">
        <f>SUM(AD33:AD63)</f>
        <v>6</v>
      </c>
      <c r="AF64" s="36">
        <f>SUM(AF33:AF63)</f>
        <v>950</v>
      </c>
      <c r="AH64" s="36">
        <f>SUM(AH33:AH63)</f>
        <v>950</v>
      </c>
      <c r="AJ64" s="36">
        <f>SUM(AJ33:AJ63)</f>
        <v>0</v>
      </c>
      <c r="AL64" s="36">
        <f>SUM(AL33:AL63)</f>
        <v>0</v>
      </c>
      <c r="AN64" s="36">
        <f>SUM(AN33:AN63)</f>
        <v>0</v>
      </c>
      <c r="AP64" s="36">
        <f>SUM(AP33:AP63)</f>
        <v>0</v>
      </c>
      <c r="AR64" s="36">
        <f>SUM(AR33:AR63)</f>
        <v>0</v>
      </c>
      <c r="AT64" s="36">
        <f>SUM(AT33:AT63)</f>
        <v>0</v>
      </c>
      <c r="AV64" s="36">
        <f>SUM(AV33:AV63)</f>
        <v>0</v>
      </c>
      <c r="AX64" s="36">
        <f>SUM(AX33:AX63)</f>
        <v>0</v>
      </c>
      <c r="AZ64" s="36">
        <f>SUM(AZ33:AZ63)</f>
        <v>0</v>
      </c>
      <c r="BB64" s="36">
        <f>SUM(BB33:BB63)</f>
        <v>0</v>
      </c>
      <c r="BD64" s="36">
        <f>SUM(BD33:BD63)</f>
        <v>0</v>
      </c>
      <c r="BF64" s="36">
        <f>SUM(BF33:BF63)</f>
        <v>0</v>
      </c>
      <c r="BH64" s="36">
        <f>SUM(BH33:BH63)</f>
        <v>0</v>
      </c>
      <c r="BJ64" s="36">
        <f>SUM(BJ33:BJ63)</f>
        <v>0</v>
      </c>
      <c r="BL64" s="36">
        <f>SUM(BL33:BL63)</f>
        <v>0</v>
      </c>
      <c r="BM64" s="55"/>
      <c r="BN64" s="87">
        <f>SUMIF(D$32:BO$32,"Dollar Value",D64:BO64)</f>
        <v>2917</v>
      </c>
    </row>
    <row r="65" spans="1:67" x14ac:dyDescent="0.25">
      <c r="A65" s="7"/>
      <c r="B65" s="6" t="s">
        <v>135</v>
      </c>
      <c r="C65" s="8"/>
      <c r="D65" s="95"/>
      <c r="F65" s="142">
        <f>F64*F25</f>
        <v>2.2000000000000002E-2</v>
      </c>
      <c r="G65" s="11"/>
      <c r="H65" s="142">
        <f>H64*H25</f>
        <v>0.13200000000000001</v>
      </c>
      <c r="I65" s="11"/>
      <c r="J65" s="142">
        <f>J64*J25</f>
        <v>0.13200000000000001</v>
      </c>
      <c r="K65" s="11"/>
      <c r="L65" s="142">
        <f>L64*L25</f>
        <v>20.900000000000002</v>
      </c>
      <c r="M65" s="11"/>
      <c r="N65" s="142">
        <f>N64*N25</f>
        <v>0.13200000000000001</v>
      </c>
      <c r="O65" s="11"/>
      <c r="P65" s="142">
        <f>P64*P25</f>
        <v>0.13200000000000001</v>
      </c>
      <c r="Q65" s="11"/>
      <c r="R65" s="142">
        <f>R64*R25</f>
        <v>0.13200000000000001</v>
      </c>
      <c r="S65" s="11"/>
      <c r="T65" s="142">
        <f>T64*T25</f>
        <v>0.13200000000000001</v>
      </c>
      <c r="U65" s="11"/>
      <c r="V65" s="142">
        <f>V64*V25</f>
        <v>0.13200000000000001</v>
      </c>
      <c r="W65" s="11"/>
      <c r="X65" s="142">
        <f>X64*X25</f>
        <v>0.13200000000000001</v>
      </c>
      <c r="Y65" s="11"/>
      <c r="Z65" s="142">
        <f>Z64*Z25</f>
        <v>0.13200000000000001</v>
      </c>
      <c r="AA65" s="11"/>
      <c r="AB65" s="142">
        <f>AB64*AB25</f>
        <v>0.13200000000000001</v>
      </c>
      <c r="AC65" s="11"/>
      <c r="AD65" s="142">
        <f>AD64*AD25</f>
        <v>0.13200000000000001</v>
      </c>
      <c r="AE65" s="11"/>
      <c r="AF65" s="142">
        <f>AF64*AF25</f>
        <v>20.900000000000002</v>
      </c>
      <c r="AG65" s="11"/>
      <c r="AH65" s="142">
        <f>AH64*AH25</f>
        <v>20.900000000000002</v>
      </c>
      <c r="AI65" s="11"/>
      <c r="AJ65" s="142">
        <f>AJ64*AJ25</f>
        <v>0</v>
      </c>
      <c r="AK65" s="11"/>
      <c r="AL65" s="142">
        <f>AL64*AL25</f>
        <v>0</v>
      </c>
      <c r="AM65" s="11"/>
      <c r="AN65" s="142">
        <f>AN64*AN25</f>
        <v>0</v>
      </c>
      <c r="AO65" s="11"/>
      <c r="AP65" s="142">
        <f>AP64*AP25</f>
        <v>0</v>
      </c>
      <c r="AQ65" s="11"/>
      <c r="AR65" s="142">
        <f>AR64*AR25</f>
        <v>0</v>
      </c>
      <c r="AS65" s="11"/>
      <c r="AT65" s="142">
        <f>AT64*AT25</f>
        <v>0</v>
      </c>
      <c r="AU65" s="11"/>
      <c r="AV65" s="142">
        <f>AV64*AV25</f>
        <v>0</v>
      </c>
      <c r="AW65" s="11"/>
      <c r="AX65" s="142">
        <f>AX64*AX25</f>
        <v>0</v>
      </c>
      <c r="AY65" s="11"/>
      <c r="AZ65" s="142">
        <f>AZ64*AZ25</f>
        <v>0</v>
      </c>
      <c r="BA65" s="11"/>
      <c r="BB65" s="142">
        <f>BB64*BB25</f>
        <v>0</v>
      </c>
      <c r="BC65" s="11"/>
      <c r="BD65" s="142">
        <f>BD64*BD25</f>
        <v>0</v>
      </c>
      <c r="BE65" s="11"/>
      <c r="BF65" s="142">
        <f>BF64*BF25</f>
        <v>0</v>
      </c>
      <c r="BG65" s="11"/>
      <c r="BH65" s="142">
        <f>BH64*BH25</f>
        <v>0</v>
      </c>
      <c r="BI65" s="11"/>
      <c r="BJ65" s="142">
        <f>BJ64*BJ25</f>
        <v>0</v>
      </c>
      <c r="BK65" s="11"/>
      <c r="BL65" s="142">
        <f>BL64*BL25</f>
        <v>0</v>
      </c>
      <c r="BM65" s="143"/>
      <c r="BN65" s="87">
        <f>SUMIF(D$32:BO$32,"Dollar Value",D65:BO65)</f>
        <v>64.174000000000021</v>
      </c>
    </row>
    <row r="66" spans="1:67" x14ac:dyDescent="0.25">
      <c r="B66" t="s">
        <v>8</v>
      </c>
      <c r="D66" s="31"/>
      <c r="E66" s="92">
        <f>IF(SUM(E33:E63) = 0,"", SUM(E33:E63))</f>
        <v>10</v>
      </c>
      <c r="F66" s="36">
        <f>SUM(F64:F65)</f>
        <v>1.022</v>
      </c>
      <c r="G66" s="92">
        <f>IF(SUM(G33:G63) = 0,"", SUM(G33:G63))</f>
        <v>60</v>
      </c>
      <c r="H66" s="36">
        <f>SUM(H64:H65)</f>
        <v>6.1319999999999997</v>
      </c>
      <c r="I66" s="92">
        <f>IF(SUM(I33:I63) = 0,"", SUM(I33:I63))</f>
        <v>60</v>
      </c>
      <c r="J66" s="36">
        <f>SUM(J64:J65)</f>
        <v>6.1319999999999997</v>
      </c>
      <c r="K66" s="92">
        <f>IF(SUM(K33:K63) = 0,"", SUM(K33:K63))</f>
        <v>60</v>
      </c>
      <c r="L66" s="36">
        <f>SUM(L64:L65)</f>
        <v>970.9</v>
      </c>
      <c r="M66" s="92">
        <f>IF(SUM(M33:M63) = 0,"", SUM(M33:M63))</f>
        <v>60</v>
      </c>
      <c r="N66" s="36">
        <f>SUM(N64:N65)</f>
        <v>6.1319999999999997</v>
      </c>
      <c r="O66" s="92">
        <f>IF(SUM(O33:O63) = 0,"", SUM(O33:O63))</f>
        <v>60</v>
      </c>
      <c r="P66" s="36">
        <f>SUM(P64:P65)</f>
        <v>6.1319999999999997</v>
      </c>
      <c r="Q66" s="92">
        <f>IF(SUM(Q33:Q63) = 0,"", SUM(Q33:Q63))</f>
        <v>60</v>
      </c>
      <c r="R66" s="36">
        <f>SUM(R64:R65)</f>
        <v>6.1319999999999997</v>
      </c>
      <c r="S66" s="92">
        <f>IF(SUM(S33:S63) = 0,"", SUM(S33:S63))</f>
        <v>60</v>
      </c>
      <c r="T66" s="36">
        <f>SUM(T64:T65)</f>
        <v>6.1319999999999997</v>
      </c>
      <c r="U66" s="92">
        <f>IF(SUM(U33:U63) = 0,"", SUM(U33:U63))</f>
        <v>60</v>
      </c>
      <c r="V66" s="36">
        <f>SUM(V64:V65)</f>
        <v>6.1319999999999997</v>
      </c>
      <c r="W66" s="92">
        <f>IF(SUM(W33:W63) = 0,"", SUM(W33:W63))</f>
        <v>60</v>
      </c>
      <c r="X66" s="36">
        <f>SUM(X64:X65)</f>
        <v>6.1319999999999997</v>
      </c>
      <c r="Y66" s="92">
        <f>IF(SUM(Y33:Y63) = 0,"", SUM(Y33:Y63))</f>
        <v>60</v>
      </c>
      <c r="Z66" s="36">
        <f>SUM(Z64:Z65)</f>
        <v>6.1319999999999997</v>
      </c>
      <c r="AA66" s="92">
        <f>IF(SUM(AA33:AA63) = 0,"", SUM(AA33:AA63))</f>
        <v>60</v>
      </c>
      <c r="AB66" s="36">
        <f>SUM(AB64:AB65)</f>
        <v>6.1319999999999997</v>
      </c>
      <c r="AC66" s="92">
        <f>IF(SUM(AC33:AC63) = 0,"", SUM(AC33:AC63))</f>
        <v>980</v>
      </c>
      <c r="AD66" s="36">
        <f>SUM(AD64:AD65)</f>
        <v>6.1319999999999997</v>
      </c>
      <c r="AE66" s="92">
        <f>IF(SUM(AE33:AE63) = 0,"", SUM(AE33:AE63))</f>
        <v>60</v>
      </c>
      <c r="AF66" s="36">
        <f>SUM(AF64:AF65)</f>
        <v>970.9</v>
      </c>
      <c r="AG66" s="92">
        <f>IF(SUM(AG33:AG63) = 0,"", SUM(AG33:AG63))</f>
        <v>60</v>
      </c>
      <c r="AH66" s="36">
        <f>SUM(AH64:AH65)</f>
        <v>970.9</v>
      </c>
      <c r="AI66" s="92" t="str">
        <f t="shared" ref="AI66" si="49">IF(SUM(AI33:AI63) = 0,"", SUM(AI33:AI63))</f>
        <v/>
      </c>
      <c r="AJ66" s="36">
        <f>SUM(AJ64:AJ65)</f>
        <v>0</v>
      </c>
      <c r="AK66" s="92" t="str">
        <f t="shared" ref="AK66" si="50">IF(SUM(AK33:AK63) = 0,"", SUM(AK33:AK63))</f>
        <v/>
      </c>
      <c r="AL66" s="36">
        <f>SUM(AL64:AL65)</f>
        <v>0</v>
      </c>
      <c r="AM66" s="92" t="str">
        <f t="shared" ref="AM66" si="51">IF(SUM(AM33:AM63) = 0,"", SUM(AM33:AM63))</f>
        <v/>
      </c>
      <c r="AN66" s="36">
        <f>SUM(AN64:AN65)</f>
        <v>0</v>
      </c>
      <c r="AO66" s="92" t="str">
        <f t="shared" ref="AO66" si="52">IF(SUM(AO33:AO63) = 0,"", SUM(AO33:AO63))</f>
        <v/>
      </c>
      <c r="AP66" s="36">
        <f>SUM(AP64:AP65)</f>
        <v>0</v>
      </c>
      <c r="AQ66" s="92" t="str">
        <f t="shared" ref="AQ66" si="53">IF(SUM(AQ33:AQ63) = 0,"", SUM(AQ33:AQ63))</f>
        <v/>
      </c>
      <c r="AR66" s="36">
        <f>SUM(AR64:AR65)</f>
        <v>0</v>
      </c>
      <c r="AS66" s="92" t="str">
        <f t="shared" ref="AS66" si="54">IF(SUM(AS33:AS63) = 0,"", SUM(AS33:AS63))</f>
        <v/>
      </c>
      <c r="AT66" s="36">
        <f>SUM(AT64:AT65)</f>
        <v>0</v>
      </c>
      <c r="AU66" s="92" t="str">
        <f t="shared" ref="AU66" si="55">IF(SUM(AU33:AU63) = 0,"", SUM(AU33:AU63))</f>
        <v/>
      </c>
      <c r="AV66" s="36">
        <f>SUM(AV64:AV65)</f>
        <v>0</v>
      </c>
      <c r="AW66" s="92" t="str">
        <f t="shared" ref="AW66" si="56">IF(SUM(AW33:AW63) = 0,"", SUM(AW33:AW63))</f>
        <v/>
      </c>
      <c r="AX66" s="36">
        <f>SUM(AX64:AX65)</f>
        <v>0</v>
      </c>
      <c r="AY66" s="92" t="str">
        <f t="shared" ref="AY66" si="57">IF(SUM(AY33:AY63) = 0,"", SUM(AY33:AY63))</f>
        <v/>
      </c>
      <c r="AZ66" s="36">
        <f>SUM(AZ64:AZ65)</f>
        <v>0</v>
      </c>
      <c r="BA66" s="91" t="str">
        <f t="shared" ref="BA66" si="58">IF(SUM(BA33:BA63) = 0,"", SUM(BA33:BA63))</f>
        <v/>
      </c>
      <c r="BB66" s="36">
        <f>SUM(BB64:BB65)</f>
        <v>0</v>
      </c>
      <c r="BC66" s="92" t="str">
        <f t="shared" ref="BC66" si="59">IF(SUM(BC33:BC63) = 0,"", SUM(BC33:BC63))</f>
        <v/>
      </c>
      <c r="BD66" s="36">
        <f>SUM(BD64:BD65)</f>
        <v>0</v>
      </c>
      <c r="BE66" s="92" t="str">
        <f t="shared" ref="BE66" si="60">IF(SUM(BE33:BE63) = 0,"", SUM(BE33:BE63))</f>
        <v/>
      </c>
      <c r="BF66" s="36">
        <f>SUM(BF64:BF65)</f>
        <v>0</v>
      </c>
      <c r="BG66" s="92" t="str">
        <f t="shared" ref="BG66" si="61">IF(SUM(BG33:BG63) = 0,"", SUM(BG33:BG63))</f>
        <v/>
      </c>
      <c r="BH66" s="36">
        <f>SUM(BH64:BH65)</f>
        <v>0</v>
      </c>
      <c r="BI66" s="92" t="str">
        <f t="shared" ref="BI66" si="62">IF(SUM(BI33:BI63) = 0,"", SUM(BI33:BI63))</f>
        <v/>
      </c>
      <c r="BJ66" s="36">
        <f>SUM(BJ64:BJ65)</f>
        <v>0</v>
      </c>
      <c r="BK66" s="92" t="str">
        <f t="shared" ref="BK66" si="63">IF(SUM(BK33:BK63) = 0,"", SUM(BK33:BK63))</f>
        <v/>
      </c>
      <c r="BL66" s="36">
        <f>SUM(BL64:BL65)</f>
        <v>0</v>
      </c>
      <c r="BM66" s="91">
        <f>SUMIF(D$32:BO$32,"# Hours",D66:BO66)</f>
        <v>1770</v>
      </c>
      <c r="BN66" s="87">
        <f>SUMIF(D$32:BO$32,"Dollar Value",D66:BO66)</f>
        <v>2981.174</v>
      </c>
    </row>
    <row r="67" spans="1:67" x14ac:dyDescent="0.25">
      <c r="D67" s="31"/>
      <c r="E67" s="5"/>
      <c r="F67" s="89"/>
      <c r="G67" s="5"/>
      <c r="H67" s="89"/>
      <c r="I67" s="5"/>
      <c r="J67" s="89"/>
      <c r="K67" s="5"/>
      <c r="L67" s="89"/>
      <c r="M67" s="5"/>
      <c r="N67" s="89"/>
      <c r="O67" s="5"/>
      <c r="P67" s="89"/>
      <c r="Q67" s="5"/>
      <c r="R67" s="89"/>
      <c r="S67" s="5"/>
      <c r="T67" s="89"/>
      <c r="U67" s="5"/>
      <c r="V67" s="89"/>
      <c r="W67" s="5"/>
      <c r="X67" s="89"/>
      <c r="Y67" s="5"/>
      <c r="Z67" s="89"/>
      <c r="AA67" s="5"/>
      <c r="AB67" s="89"/>
      <c r="AC67" s="5"/>
      <c r="AD67" s="89"/>
      <c r="AE67" s="5"/>
      <c r="AF67" s="89"/>
      <c r="AG67" s="5"/>
      <c r="AH67" s="89"/>
      <c r="AI67" s="5"/>
      <c r="AJ67" s="89"/>
      <c r="AK67" s="5"/>
      <c r="AL67" s="89"/>
      <c r="AM67" s="5"/>
      <c r="AN67" s="89"/>
      <c r="AO67" s="5"/>
      <c r="AP67" s="89"/>
      <c r="AQ67" s="5"/>
      <c r="AR67" s="89"/>
      <c r="AS67" s="5"/>
      <c r="AT67" s="89"/>
      <c r="AU67" s="5"/>
      <c r="AV67" s="89"/>
      <c r="AW67" s="5"/>
      <c r="AX67" s="89"/>
      <c r="AY67" s="5"/>
      <c r="AZ67" s="36"/>
      <c r="BA67" s="5"/>
      <c r="BB67" s="89"/>
      <c r="BC67" s="5"/>
      <c r="BD67" s="89"/>
      <c r="BE67" s="5"/>
      <c r="BF67" s="89"/>
      <c r="BG67" s="5"/>
      <c r="BH67" s="89"/>
      <c r="BI67" s="5"/>
      <c r="BJ67" s="89"/>
      <c r="BK67" s="5"/>
      <c r="BL67" s="36"/>
      <c r="BM67" s="56"/>
      <c r="BN67" s="87"/>
    </row>
    <row r="68" spans="1:67" x14ac:dyDescent="0.25">
      <c r="B68" t="s">
        <v>10</v>
      </c>
      <c r="D68" s="145">
        <f>'Base Period'!D68</f>
        <v>0.01</v>
      </c>
      <c r="F68" s="36">
        <f>IF(ISERROR((F66)*$D$68),"$0",(F66)*$D$68)</f>
        <v>1.022E-2</v>
      </c>
      <c r="H68" s="52">
        <f>IF(ISERROR((H66)*$D$68),"$0",(H66)*$D$68)</f>
        <v>6.132E-2</v>
      </c>
      <c r="I68" s="53"/>
      <c r="J68" s="52">
        <f>IF(ISERROR((J66)*$D$68),"$0",(J66)*$D$68)</f>
        <v>6.132E-2</v>
      </c>
      <c r="K68" s="53"/>
      <c r="L68" s="52">
        <f>IF(ISERROR((L66)*$D$68),"$0",(L66)*$D$68)</f>
        <v>9.7089999999999996</v>
      </c>
      <c r="M68" s="53"/>
      <c r="N68" s="52">
        <f>IF(ISERROR((N66)*$D$68),"$0",(N66)*$D$68)</f>
        <v>6.132E-2</v>
      </c>
      <c r="O68" s="55"/>
      <c r="P68" s="57">
        <f>IF(ISERROR((P66)*$D$68),"$0",(P66)*$D$68)</f>
        <v>6.132E-2</v>
      </c>
      <c r="Q68" s="53"/>
      <c r="R68" s="52">
        <f>IF(ISERROR((R66)*$D$68),"$0",(R66)*$D$68)</f>
        <v>6.132E-2</v>
      </c>
      <c r="S68" s="53"/>
      <c r="T68" s="36">
        <f>IF(ISERROR((T66)*$D$68),"$0",(T66)*$D$68)</f>
        <v>6.132E-2</v>
      </c>
      <c r="U68" s="53"/>
      <c r="V68" s="36">
        <f>IF(ISERROR((V66)*$D$68),"$0",(V66)*$D$68)</f>
        <v>6.132E-2</v>
      </c>
      <c r="X68" s="52">
        <f>IF(ISERROR((X66)*$D$68),"$0",(X66)*$D$68)</f>
        <v>6.132E-2</v>
      </c>
      <c r="Y68" s="55"/>
      <c r="Z68" s="57">
        <f>IF(ISERROR((Z66)*$D$68),"$0",(Z66)*$D$68)</f>
        <v>6.132E-2</v>
      </c>
      <c r="AA68" s="55"/>
      <c r="AB68" s="36">
        <f>IF(ISERROR((AB66)*$D$68),"$0",(AB66)*$D$68)</f>
        <v>6.132E-2</v>
      </c>
      <c r="AC68" s="55"/>
      <c r="AD68" s="36">
        <f>IF(ISERROR((AD66)*$D$68),"$0",(AD66)*$D$68)</f>
        <v>6.132E-2</v>
      </c>
      <c r="AE68" s="55"/>
      <c r="AF68" s="36">
        <f>IF(ISERROR((AF66)*$D$68),"$0",(AF66)*$D$68)</f>
        <v>9.7089999999999996</v>
      </c>
      <c r="AG68" s="55"/>
      <c r="AH68" s="36">
        <f>IF(ISERROR((AH66)*$D$68),"$0",(AH66)*$D$68)</f>
        <v>9.7089999999999996</v>
      </c>
      <c r="AI68" s="1"/>
      <c r="AJ68" s="36">
        <f t="shared" ref="AJ68" si="64">IF(ISERROR((AJ66)*$D$68),"$0",(AJ66)*$D$68)</f>
        <v>0</v>
      </c>
      <c r="AK68" s="1"/>
      <c r="AL68" s="36">
        <f t="shared" ref="AL68" si="65">IF(ISERROR((AL66)*$D$68),"$0",(AL66)*$D$68)</f>
        <v>0</v>
      </c>
      <c r="AM68" s="1"/>
      <c r="AN68" s="36">
        <f t="shared" ref="AN68" si="66">IF(ISERROR((AN66)*$D$68),"$0",(AN66)*$D$68)</f>
        <v>0</v>
      </c>
      <c r="AO68" s="1"/>
      <c r="AP68" s="36">
        <f t="shared" ref="AP68" si="67">IF(ISERROR((AP66)*$D$68),"$0",(AP66)*$D$68)</f>
        <v>0</v>
      </c>
      <c r="AQ68" s="1"/>
      <c r="AR68" s="36">
        <f t="shared" ref="AR68" si="68">IF(ISERROR((AR66)*$D$68),"$0",(AR66)*$D$68)</f>
        <v>0</v>
      </c>
      <c r="AT68" s="36">
        <f t="shared" ref="AT68" si="69">IF(ISERROR((AT66)*$D$68),"$0",(AT66)*$D$68)</f>
        <v>0</v>
      </c>
      <c r="AU68" s="1"/>
      <c r="AV68" s="36">
        <f t="shared" ref="AV68" si="70">IF(ISERROR((AV66)*$D$68),"$0",(AV66)*$D$68)</f>
        <v>0</v>
      </c>
      <c r="AW68" s="1"/>
      <c r="AX68" s="36">
        <f t="shared" ref="AX68" si="71">IF(ISERROR((AX66)*$D$68),"$0",(AX66)*$D$68)</f>
        <v>0</v>
      </c>
      <c r="AY68" s="1"/>
      <c r="AZ68" s="36">
        <f t="shared" ref="AZ68" si="72">IF(ISERROR((AZ66)*$D$68),"$0",(AZ66)*$D$68)</f>
        <v>0</v>
      </c>
      <c r="BA68" s="1"/>
      <c r="BB68" s="36">
        <f t="shared" ref="BB68" si="73">IF(ISERROR((BB66)*$D$68),"$0",(BB66)*$D$68)</f>
        <v>0</v>
      </c>
      <c r="BC68" s="1"/>
      <c r="BD68" s="36">
        <f t="shared" ref="BD68" si="74">IF(ISERROR((BD66)*$D$68),"$0",(BD66)*$D$68)</f>
        <v>0</v>
      </c>
      <c r="BE68" s="1"/>
      <c r="BF68" s="36">
        <f t="shared" ref="BF68" si="75">IF(ISERROR((BF66)*$D$68),"$0",(BF66)*$D$68)</f>
        <v>0</v>
      </c>
      <c r="BG68" s="1"/>
      <c r="BH68" s="36">
        <f t="shared" ref="BH68" si="76">IF(ISERROR((BH66)*$D$68),"$0",(BH66)*$D$68)</f>
        <v>0</v>
      </c>
      <c r="BI68" s="1"/>
      <c r="BJ68" s="36">
        <f t="shared" ref="BJ68" si="77">IF(ISERROR((BJ66)*$D$68),"$0",(BJ66)*$D$68)</f>
        <v>0</v>
      </c>
      <c r="BK68" s="1"/>
      <c r="BL68" s="36">
        <f t="shared" ref="BL68" si="78">IF(ISERROR((BL66)*$D$68),"$0",(BL66)*$D$68)</f>
        <v>0</v>
      </c>
      <c r="BM68" s="55"/>
      <c r="BN68" s="87">
        <f>SUMIF(D$32:BO$32,"Dollar Value",D68:BO68)</f>
        <v>29.811740000000004</v>
      </c>
    </row>
    <row r="69" spans="1:67" x14ac:dyDescent="0.25">
      <c r="B69" t="s">
        <v>8</v>
      </c>
      <c r="D69" s="31"/>
      <c r="E69" s="5"/>
      <c r="F69" s="36">
        <f>IF(ISERROR(F68+F66 = 0),"$0", (F68+F66))</f>
        <v>1.0322199999999999</v>
      </c>
      <c r="G69" s="5"/>
      <c r="H69" s="36">
        <f>IF(ISERROR(H68+H66 = 0),"$0", (H68+H66))</f>
        <v>6.1933199999999999</v>
      </c>
      <c r="I69" s="5"/>
      <c r="J69" s="36">
        <f>IF(ISERROR(J68+J66 = 0),"$0", (J68+J66))</f>
        <v>6.1933199999999999</v>
      </c>
      <c r="K69" s="5"/>
      <c r="L69" s="36">
        <f>IF(ISERROR(L68+L66 = 0),"$0", (L68+L66))</f>
        <v>980.60899999999992</v>
      </c>
      <c r="M69" s="5"/>
      <c r="N69" s="36">
        <f>IF(ISERROR(N68+N66 = 0),"$0", (N68+N66))</f>
        <v>6.1933199999999999</v>
      </c>
      <c r="O69" s="56"/>
      <c r="P69" s="54">
        <f>IF(ISERROR(P68+P66 = 0),"$0", (P68+P66))</f>
        <v>6.1933199999999999</v>
      </c>
      <c r="Q69" s="5"/>
      <c r="R69" s="36">
        <f>IF(ISERROR(R68+R66 = 0),"$0", (R68+R66))</f>
        <v>6.1933199999999999</v>
      </c>
      <c r="S69" s="5"/>
      <c r="T69" s="36">
        <f>IF(ISERROR(T68+T66 = 0),"$0", (T68+T66))</f>
        <v>6.1933199999999999</v>
      </c>
      <c r="U69" s="5"/>
      <c r="V69" s="36">
        <f>IF(ISERROR(V68+V66 = 0),"$0", (V68+V66))</f>
        <v>6.1933199999999999</v>
      </c>
      <c r="W69" s="5"/>
      <c r="X69" s="36">
        <f>IF(ISERROR(X68+X66 = 0),"$0", (X68+X66))</f>
        <v>6.1933199999999999</v>
      </c>
      <c r="Y69" s="5"/>
      <c r="Z69" s="36">
        <f>IF(ISERROR(Z68+Z66 = 0),"$0", (Z68+Z66))</f>
        <v>6.1933199999999999</v>
      </c>
      <c r="AA69" s="5"/>
      <c r="AB69" s="36">
        <f>IF(ISERROR(AB68+AB66 = 0),"$0", (AB68+AB66))</f>
        <v>6.1933199999999999</v>
      </c>
      <c r="AC69" s="5"/>
      <c r="AD69" s="36">
        <f>IF(ISERROR(AD68+AD66 = 0),"$0", (AD68+AD66))</f>
        <v>6.1933199999999999</v>
      </c>
      <c r="AE69" s="5"/>
      <c r="AF69" s="36">
        <f>IF(ISERROR(AF68+AF66 = 0),"$0", (AF68+AF66))</f>
        <v>980.60899999999992</v>
      </c>
      <c r="AG69" s="5"/>
      <c r="AH69" s="36">
        <f>IF(ISERROR(AH68+AH66 = 0),"$0", (AH68+AH66))</f>
        <v>980.60899999999992</v>
      </c>
      <c r="AI69" s="5"/>
      <c r="AJ69" s="36">
        <f t="shared" ref="AJ69" si="79">IF(ISERROR(AJ68+AJ66 = 0),"$0", (AJ68+AJ66))</f>
        <v>0</v>
      </c>
      <c r="AK69" s="5"/>
      <c r="AL69" s="36">
        <f t="shared" ref="AL69" si="80">IF(ISERROR(AL68+AL66 = 0),"$0", (AL68+AL66))</f>
        <v>0</v>
      </c>
      <c r="AM69" s="5"/>
      <c r="AN69" s="36">
        <f t="shared" ref="AN69" si="81">IF(ISERROR(AN68+AN66 = 0),"$0", (AN68+AN66))</f>
        <v>0</v>
      </c>
      <c r="AO69" s="5"/>
      <c r="AP69" s="36">
        <f t="shared" ref="AP69" si="82">IF(ISERROR(AP68+AP66 = 0),"$0", (AP68+AP66))</f>
        <v>0</v>
      </c>
      <c r="AQ69" s="5"/>
      <c r="AR69" s="36">
        <f t="shared" ref="AR69" si="83">IF(ISERROR(AR68+AR66 = 0),"$0", (AR68+AR66))</f>
        <v>0</v>
      </c>
      <c r="AS69" s="5"/>
      <c r="AT69" s="36">
        <f t="shared" ref="AT69" si="84">IF(ISERROR(AT68+AT66 = 0),"$0", (AT68+AT66))</f>
        <v>0</v>
      </c>
      <c r="AU69" s="5"/>
      <c r="AV69" s="36">
        <f t="shared" ref="AV69" si="85">IF(ISERROR(AV68+AV66 = 0),"$0", (AV68+AV66))</f>
        <v>0</v>
      </c>
      <c r="AW69" s="5"/>
      <c r="AX69" s="36">
        <f t="shared" ref="AX69" si="86">IF(ISERROR(AX68+AX66 = 0),"$0", (AX68+AX66))</f>
        <v>0</v>
      </c>
      <c r="AY69" s="5"/>
      <c r="AZ69" s="36">
        <f t="shared" ref="AZ69" si="87">IF(ISERROR(AZ68+AZ66 = 0),"$0", (AZ68+AZ66))</f>
        <v>0</v>
      </c>
      <c r="BA69" s="5"/>
      <c r="BB69" s="36">
        <f t="shared" ref="BB69" si="88">IF(ISERROR(BB68+BB66 = 0),"$0", (BB68+BB66))</f>
        <v>0</v>
      </c>
      <c r="BC69" s="5"/>
      <c r="BD69" s="36">
        <f t="shared" ref="BD69" si="89">IF(ISERROR(BD68+BD66 = 0),"$0", (BD68+BD66))</f>
        <v>0</v>
      </c>
      <c r="BE69" s="5"/>
      <c r="BF69" s="36">
        <f t="shared" ref="BF69" si="90">IF(ISERROR(BF68+BF66 = 0),"$0", (BF68+BF66))</f>
        <v>0</v>
      </c>
      <c r="BG69" s="5"/>
      <c r="BH69" s="36">
        <f t="shared" ref="BH69" si="91">IF(ISERROR(BH68+BH66 = 0),"$0", (BH68+BH66))</f>
        <v>0</v>
      </c>
      <c r="BI69" s="5"/>
      <c r="BJ69" s="36">
        <f t="shared" ref="BJ69" si="92">IF(ISERROR(BJ68+BJ66 = 0),"$0", (BJ68+BJ66))</f>
        <v>0</v>
      </c>
      <c r="BK69" s="5"/>
      <c r="BL69" s="36">
        <f t="shared" ref="BL69" si="93">IF(ISERROR(BL68+BL66 = 0),"$0", (BL68+BL66))</f>
        <v>0</v>
      </c>
      <c r="BM69" s="90"/>
      <c r="BN69" s="68">
        <f>SUMIF(D$32:BO$32,"Dollar Value",D69:BO69)</f>
        <v>3010.9857400000001</v>
      </c>
      <c r="BO69" s="53"/>
    </row>
    <row r="70" spans="1:67" x14ac:dyDescent="0.25">
      <c r="D70" s="31"/>
      <c r="E70" s="5"/>
      <c r="F70" s="36"/>
      <c r="G70" s="5"/>
      <c r="H70" s="36"/>
      <c r="I70" s="5"/>
      <c r="J70" s="36"/>
      <c r="K70" s="5"/>
      <c r="L70" s="36"/>
      <c r="M70" s="5"/>
      <c r="N70" s="36"/>
      <c r="O70" s="5"/>
      <c r="P70" s="36"/>
      <c r="Q70" s="5"/>
      <c r="R70" s="36"/>
      <c r="S70" s="5"/>
      <c r="T70" s="36"/>
      <c r="U70" s="5"/>
      <c r="V70" s="36"/>
      <c r="W70" s="5"/>
      <c r="X70" s="36"/>
      <c r="Y70" s="5"/>
      <c r="Z70" s="36"/>
      <c r="AA70" s="5"/>
      <c r="AB70" s="36"/>
      <c r="AC70" s="5"/>
      <c r="AD70" s="36"/>
      <c r="AE70" s="5"/>
      <c r="AF70" s="36"/>
      <c r="AG70" s="5"/>
      <c r="AH70" s="36"/>
      <c r="AI70" s="5"/>
      <c r="AJ70" s="36"/>
      <c r="AK70" s="5"/>
      <c r="AL70" s="36"/>
      <c r="AM70" s="5"/>
      <c r="AN70" s="36"/>
      <c r="AO70" s="5"/>
      <c r="AP70" s="36"/>
      <c r="AQ70" s="5"/>
      <c r="AR70" s="36"/>
      <c r="AS70" s="5"/>
      <c r="AT70" s="36"/>
      <c r="AU70" s="5"/>
      <c r="AV70" s="36"/>
      <c r="AW70" s="5"/>
      <c r="AX70" s="36"/>
      <c r="AY70" s="5"/>
      <c r="AZ70" s="36"/>
      <c r="BA70" s="5"/>
      <c r="BB70" s="36"/>
      <c r="BC70" s="5"/>
      <c r="BD70" s="36"/>
      <c r="BE70" s="5"/>
      <c r="BF70" s="36"/>
      <c r="BG70" s="5"/>
      <c r="BH70" s="36"/>
      <c r="BI70" s="5"/>
      <c r="BJ70" s="36"/>
      <c r="BK70" s="5"/>
      <c r="BL70" s="36"/>
      <c r="BM70" s="56"/>
      <c r="BN70" s="87"/>
    </row>
    <row r="71" spans="1:67" x14ac:dyDescent="0.25">
      <c r="B71" t="s">
        <v>69</v>
      </c>
      <c r="D71" s="145">
        <f>'Base Period'!D71</f>
        <v>0.01</v>
      </c>
      <c r="F71" s="36">
        <f>IF(ISERROR((F69)*$D$71),"$0",(F69)*$D$71)</f>
        <v>1.03222E-2</v>
      </c>
      <c r="H71" s="36">
        <f>IF(ISERROR((H69)*$D$71),"$0",(H69)*$D$71)</f>
        <v>6.1933200000000001E-2</v>
      </c>
      <c r="J71" s="36">
        <f>IF(ISERROR((J69)*$D$71),"$0",(J69)*$D$71)</f>
        <v>6.1933200000000001E-2</v>
      </c>
      <c r="L71" s="36">
        <f>IF(ISERROR((L69)*$D$71),"$0",(L69)*$D$71)</f>
        <v>9.8060899999999993</v>
      </c>
      <c r="N71" s="36">
        <f>IF(ISERROR((N69)*$D$71),"$0",(N69)*$D$71)</f>
        <v>6.1933200000000001E-2</v>
      </c>
      <c r="P71" s="36">
        <f>IF(ISERROR((P69)*$D$71),"$0",(P69)*$D$71)</f>
        <v>6.1933200000000001E-2</v>
      </c>
      <c r="R71" s="36">
        <f>IF(ISERROR((R69)*$D$71),"$0",(R69)*$D$71)</f>
        <v>6.1933200000000001E-2</v>
      </c>
      <c r="T71" s="36">
        <f>IF(ISERROR((T69)*$D$71),"$0",(T69)*$D$71)</f>
        <v>6.1933200000000001E-2</v>
      </c>
      <c r="V71" s="36">
        <f>IF(ISERROR((V69)*$D$71),"$0",(V69)*$D$71)</f>
        <v>6.1933200000000001E-2</v>
      </c>
      <c r="X71" s="36">
        <f>IF(ISERROR((X69)*$D$71),"$0",(X69)*$D$71)</f>
        <v>6.1933200000000001E-2</v>
      </c>
      <c r="Z71" s="36">
        <f>IF(ISERROR((Z69)*$D$71),"$0",(Z69)*$D$71)</f>
        <v>6.1933200000000001E-2</v>
      </c>
      <c r="AB71" s="36">
        <f>IF(ISERROR((AB69)*$D$71),"$0",(AB69)*$D$71)</f>
        <v>6.1933200000000001E-2</v>
      </c>
      <c r="AD71" s="36">
        <f>IF(ISERROR((AD69)*$D$71),"$0",(AD69)*$D$71)</f>
        <v>6.1933200000000001E-2</v>
      </c>
      <c r="AF71" s="36">
        <f>IF(ISERROR((AF69)*$D$71),"$0",(AF69)*$D$71)</f>
        <v>9.8060899999999993</v>
      </c>
      <c r="AH71" s="36">
        <f>IF(ISERROR((AH69)*$D$71),"$0",(AH69)*$D$71)</f>
        <v>9.8060899999999993</v>
      </c>
      <c r="AI71" s="1"/>
      <c r="AJ71" s="36">
        <f>IF(ISERROR((AJ69)*$D$71),"$0",(AJ69)*$D$71)</f>
        <v>0</v>
      </c>
      <c r="AK71" s="1"/>
      <c r="AL71" s="36">
        <f>IF(ISERROR((AL69)*$D$71),"$0",(AL69)*$D$71)</f>
        <v>0</v>
      </c>
      <c r="AM71" s="1"/>
      <c r="AN71" s="36">
        <f>IF(ISERROR((AN69)*$D$71),"$0",(AN69)*$D$71)</f>
        <v>0</v>
      </c>
      <c r="AO71" s="1"/>
      <c r="AP71" s="36">
        <f>IF(ISERROR((AP69)*$D$71),"$0",(AP69)*$D$71)</f>
        <v>0</v>
      </c>
      <c r="AQ71" s="1"/>
      <c r="AR71" s="36">
        <f>IF(ISERROR((AR69)*$D$71),"$0",(AR69)*$D$71)</f>
        <v>0</v>
      </c>
      <c r="AT71" s="36">
        <f>IF(ISERROR((AT69)*$D$71),"$0",(AT69)*$D$71)</f>
        <v>0</v>
      </c>
      <c r="AU71" s="1"/>
      <c r="AV71" s="36">
        <f>IF(ISERROR((AV69)*$D$71),"$0",(AV69)*$D$71)</f>
        <v>0</v>
      </c>
      <c r="AW71" s="1"/>
      <c r="AX71" s="36">
        <f>IF(ISERROR((AX69)*$D$71),"$0",(AX69)*$D$71)</f>
        <v>0</v>
      </c>
      <c r="AY71" s="1"/>
      <c r="AZ71" s="36">
        <f>IF(ISERROR((AZ69)*$D$71),"$0",(AZ69)*$D$71)</f>
        <v>0</v>
      </c>
      <c r="BA71" s="1"/>
      <c r="BB71" s="36">
        <f>IF(ISERROR((BB69)*$D$71),"$0",(BB69)*$D$71)</f>
        <v>0</v>
      </c>
      <c r="BC71" s="1"/>
      <c r="BD71" s="36">
        <f>IF(ISERROR((BD69)*$D$71),"$0",(BD69)*$D$71)</f>
        <v>0</v>
      </c>
      <c r="BE71" s="1"/>
      <c r="BF71" s="36">
        <f>IF(ISERROR((BF69)*$D$71),"$0",(BF69)*$D$71)</f>
        <v>0</v>
      </c>
      <c r="BG71" s="1"/>
      <c r="BH71" s="36">
        <f>IF(ISERROR((BH69)*$D$71),"$0",(BH69)*$D$71)</f>
        <v>0</v>
      </c>
      <c r="BI71" s="1"/>
      <c r="BJ71" s="36">
        <f>IF(ISERROR((BJ69)*$D$71),"$0",(BJ69)*$D$71)</f>
        <v>0</v>
      </c>
      <c r="BK71" s="1"/>
      <c r="BL71" s="36">
        <f>IF(ISERROR((BL69)*$D$71),"$0",(BL69)*$D$71)</f>
        <v>0</v>
      </c>
      <c r="BM71" s="55"/>
      <c r="BN71" s="87">
        <f>SUMIF(D$32:BO$32,"Dollar Value",D71:BO71)</f>
        <v>30.109857400000003</v>
      </c>
    </row>
    <row r="72" spans="1:67" x14ac:dyDescent="0.25">
      <c r="B72" s="4" t="s">
        <v>9</v>
      </c>
      <c r="C72" s="4"/>
      <c r="D72" s="31"/>
      <c r="F72" s="36">
        <f>IF(SUM(F69:F71) = 0, "$0", SUM(F69:F71))</f>
        <v>1.0425422</v>
      </c>
      <c r="H72" s="36">
        <f>IF(SUM(H69:H71) = 0, "$0", SUM(H69:H71))</f>
        <v>6.2552532000000003</v>
      </c>
      <c r="J72" s="36">
        <f>IF(SUM(J69:J71) = 0, "$0", SUM(J69:J71))</f>
        <v>6.2552532000000003</v>
      </c>
      <c r="L72" s="36">
        <f>IF(SUM(L69:L71) = 0, "$0", SUM(L69:L71))</f>
        <v>990.41508999999996</v>
      </c>
      <c r="N72" s="36">
        <f>IF(SUM(N69:N71) = 0, "$0", SUM(N69:N71))</f>
        <v>6.2552532000000003</v>
      </c>
      <c r="P72" s="36">
        <f>IF(SUM(P69:P71) = 0, "$0", SUM(P69:P71))</f>
        <v>6.2552532000000003</v>
      </c>
      <c r="R72" s="36">
        <f>IF(SUM(R69:R71) = 0, "$0", SUM(R69:R71))</f>
        <v>6.2552532000000003</v>
      </c>
      <c r="T72" s="36">
        <f>IF(SUM(T69:T71) = 0, "$0", SUM(T69:T71))</f>
        <v>6.2552532000000003</v>
      </c>
      <c r="V72" s="36">
        <f>IF(SUM(V69:V71) = 0, "$0", SUM(V69:V71))</f>
        <v>6.2552532000000003</v>
      </c>
      <c r="X72" s="36">
        <f>IF(SUM(X69:X71) = 0, "$0", SUM(X69:X71))</f>
        <v>6.2552532000000003</v>
      </c>
      <c r="Z72" s="36">
        <f>IF(SUM(Z69:Z71) = 0, "$0", SUM(Z69:Z71))</f>
        <v>6.2552532000000003</v>
      </c>
      <c r="AB72" s="36">
        <f>IF(SUM(AB69:AB71) = 0, "$0", SUM(AB69:AB71))</f>
        <v>6.2552532000000003</v>
      </c>
      <c r="AD72" s="36">
        <f>IF(SUM(AD69:AD71) = 0, "$0", SUM(AD69:AD71))</f>
        <v>6.2552532000000003</v>
      </c>
      <c r="AF72" s="36">
        <f>IF(SUM(AF69:AF71) = 0, "$0", SUM(AF69:AF71))</f>
        <v>990.41508999999996</v>
      </c>
      <c r="AH72" s="36">
        <f>IF(SUM(AH69:AH71) = 0, "$0", SUM(AH69:AH71))</f>
        <v>990.41508999999996</v>
      </c>
      <c r="AI72" s="1"/>
      <c r="AJ72" s="36" t="str">
        <f t="shared" ref="AJ72" si="94">IF(SUM(AJ69:AJ71) = 0, "$0", SUM(AJ69:AJ71))</f>
        <v>$0</v>
      </c>
      <c r="AK72" s="1"/>
      <c r="AL72" s="36" t="str">
        <f t="shared" ref="AL72" si="95">IF(SUM(AL69:AL71) = 0, "$0", SUM(AL69:AL71))</f>
        <v>$0</v>
      </c>
      <c r="AM72" s="1"/>
      <c r="AN72" s="36" t="str">
        <f t="shared" ref="AN72" si="96">IF(SUM(AN69:AN71) = 0, "$0", SUM(AN69:AN71))</f>
        <v>$0</v>
      </c>
      <c r="AO72" s="1"/>
      <c r="AP72" s="36" t="str">
        <f t="shared" ref="AP72" si="97">IF(SUM(AP69:AP71) = 0, "$0", SUM(AP69:AP71))</f>
        <v>$0</v>
      </c>
      <c r="AQ72" s="1"/>
      <c r="AR72" s="36" t="str">
        <f t="shared" ref="AR72" si="98">IF(SUM(AR69:AR71) = 0, "$0", SUM(AR69:AR71))</f>
        <v>$0</v>
      </c>
      <c r="AT72" s="36" t="str">
        <f t="shared" ref="AT72" si="99">IF(SUM(AT69:AT71) = 0, "$0", SUM(AT69:AT71))</f>
        <v>$0</v>
      </c>
      <c r="AU72" s="1"/>
      <c r="AV72" s="36" t="str">
        <f t="shared" ref="AV72" si="100">IF(SUM(AV69:AV71) = 0, "$0", SUM(AV69:AV71))</f>
        <v>$0</v>
      </c>
      <c r="AW72" s="1"/>
      <c r="AX72" s="36" t="str">
        <f t="shared" ref="AX72" si="101">IF(SUM(AX69:AX71) = 0, "$0", SUM(AX69:AX71))</f>
        <v>$0</v>
      </c>
      <c r="AY72" s="1"/>
      <c r="AZ72" s="36" t="str">
        <f t="shared" ref="AZ72" si="102">IF(SUM(AZ69:AZ71) = 0, "$0", SUM(AZ69:AZ71))</f>
        <v>$0</v>
      </c>
      <c r="BA72" s="1"/>
      <c r="BB72" s="36" t="str">
        <f t="shared" ref="BB72" si="103">IF(SUM(BB69:BB71) = 0, "$0", SUM(BB69:BB71))</f>
        <v>$0</v>
      </c>
      <c r="BC72" s="1"/>
      <c r="BD72" s="36" t="str">
        <f t="shared" ref="BD72" si="104">IF(SUM(BD69:BD71) = 0, "$0", SUM(BD69:BD71))</f>
        <v>$0</v>
      </c>
      <c r="BE72" s="1"/>
      <c r="BF72" s="36" t="str">
        <f t="shared" ref="BF72" si="105">IF(SUM(BF69:BF71) = 0, "$0", SUM(BF69:BF71))</f>
        <v>$0</v>
      </c>
      <c r="BG72" s="1"/>
      <c r="BH72" s="36" t="str">
        <f t="shared" ref="BH72" si="106">IF(SUM(BH69:BH71) = 0, "$0", SUM(BH69:BH71))</f>
        <v>$0</v>
      </c>
      <c r="BI72" s="1"/>
      <c r="BJ72" s="36" t="str">
        <f t="shared" ref="BJ72" si="107">IF(SUM(BJ69:BJ71) = 0, "$0", SUM(BJ69:BJ71))</f>
        <v>$0</v>
      </c>
      <c r="BK72" s="1"/>
      <c r="BL72" s="36" t="str">
        <f t="shared" ref="BL72" si="108">IF(SUM(BL69:BL71) = 0, "$0", SUM(BL69:BL71))</f>
        <v>$0</v>
      </c>
      <c r="BM72" s="55"/>
      <c r="BN72" s="54">
        <f>SUMIF(D$32:BO$32,"Dollar Value",D72:BO72)</f>
        <v>3041.0955973999994</v>
      </c>
    </row>
    <row r="73" spans="1:67" x14ac:dyDescent="0.25">
      <c r="D73" s="31"/>
      <c r="F73" s="35"/>
      <c r="H73" s="35"/>
      <c r="J73" s="35"/>
      <c r="L73" s="35"/>
      <c r="N73" s="35"/>
      <c r="P73" s="35"/>
      <c r="R73" s="35"/>
      <c r="T73" s="35"/>
      <c r="V73" s="35"/>
      <c r="X73" s="35"/>
      <c r="Z73" s="35"/>
      <c r="AB73" s="35"/>
      <c r="AD73" s="35"/>
      <c r="AF73" s="35"/>
      <c r="AH73" s="35"/>
      <c r="AJ73" s="35"/>
      <c r="AL73" s="35"/>
      <c r="AN73" s="35"/>
      <c r="AP73" s="35"/>
      <c r="AR73" s="35"/>
      <c r="AT73" s="35"/>
      <c r="AV73" s="35"/>
      <c r="AX73" s="35"/>
      <c r="AZ73" s="35"/>
      <c r="BB73" s="35"/>
      <c r="BD73" s="35"/>
      <c r="BF73" s="35"/>
      <c r="BH73" s="35"/>
      <c r="BJ73" s="35"/>
      <c r="BL73" s="35"/>
      <c r="BM73" s="55"/>
      <c r="BN73" s="86"/>
    </row>
    <row r="74" spans="1:67" ht="14.45" customHeight="1" x14ac:dyDescent="0.25">
      <c r="B74" t="s">
        <v>11</v>
      </c>
      <c r="D74" s="31"/>
      <c r="F74" s="35"/>
      <c r="G74" s="41"/>
      <c r="H74" s="35"/>
      <c r="I74" s="41"/>
      <c r="J74" s="35"/>
      <c r="K74" s="41"/>
      <c r="L74" s="35"/>
      <c r="M74" s="41"/>
      <c r="N74" s="35"/>
      <c r="O74" s="41"/>
      <c r="P74" s="35"/>
      <c r="Q74" s="41"/>
      <c r="R74" s="35"/>
      <c r="S74" s="41"/>
      <c r="T74" s="35"/>
      <c r="U74" s="41"/>
      <c r="V74" s="35"/>
      <c r="W74" s="41"/>
      <c r="X74" s="35"/>
      <c r="Y74" s="41"/>
      <c r="Z74" s="35"/>
      <c r="AA74" s="41"/>
      <c r="AB74" s="35"/>
      <c r="AC74" s="41"/>
      <c r="AD74" s="35"/>
      <c r="AE74" s="41"/>
      <c r="AF74" s="35"/>
      <c r="AG74" s="41"/>
      <c r="AH74" s="35"/>
      <c r="AJ74" s="35"/>
      <c r="AL74" s="35"/>
      <c r="AN74" s="35"/>
      <c r="AP74" s="35"/>
      <c r="AR74" s="35"/>
      <c r="AT74" s="35"/>
      <c r="AV74" s="35"/>
      <c r="AX74" s="35"/>
      <c r="AZ74" s="35"/>
      <c r="BB74" s="35"/>
      <c r="BD74" s="35"/>
      <c r="BF74" s="35"/>
      <c r="BH74" s="35"/>
      <c r="BJ74" s="35"/>
      <c r="BL74" s="35"/>
      <c r="BM74" s="55"/>
      <c r="BN74" s="86"/>
    </row>
    <row r="75" spans="1:67" ht="14.45" customHeight="1" x14ac:dyDescent="0.25">
      <c r="B75" s="114" t="s">
        <v>116</v>
      </c>
      <c r="C75" s="114"/>
      <c r="D75" s="31"/>
      <c r="F75" s="45">
        <v>0</v>
      </c>
      <c r="H75" s="45">
        <v>0</v>
      </c>
      <c r="J75" s="45">
        <v>0</v>
      </c>
      <c r="L75" s="45">
        <v>0</v>
      </c>
      <c r="N75" s="45">
        <v>0</v>
      </c>
      <c r="P75" s="45">
        <v>0</v>
      </c>
      <c r="R75" s="45">
        <v>0</v>
      </c>
      <c r="T75" s="45">
        <v>0</v>
      </c>
      <c r="V75" s="45">
        <v>0</v>
      </c>
      <c r="X75" s="45">
        <v>0</v>
      </c>
      <c r="Z75" s="45">
        <v>0</v>
      </c>
      <c r="AB75" s="45">
        <v>0</v>
      </c>
      <c r="AD75" s="45">
        <v>0</v>
      </c>
      <c r="AF75" s="45">
        <v>0</v>
      </c>
      <c r="AH75" s="45">
        <v>0</v>
      </c>
      <c r="AI75" s="9"/>
      <c r="AJ75" s="45">
        <v>0</v>
      </c>
      <c r="AK75" s="9"/>
      <c r="AL75" s="45">
        <v>0</v>
      </c>
      <c r="AM75" s="9"/>
      <c r="AN75" s="45">
        <v>0</v>
      </c>
      <c r="AO75" s="9"/>
      <c r="AP75" s="45">
        <v>0</v>
      </c>
      <c r="AQ75" s="9"/>
      <c r="AR75" s="45">
        <v>0</v>
      </c>
      <c r="AT75" s="45">
        <v>0</v>
      </c>
      <c r="AU75" s="9"/>
      <c r="AV75" s="45">
        <v>0</v>
      </c>
      <c r="AW75" s="9"/>
      <c r="AX75" s="45">
        <v>0</v>
      </c>
      <c r="AY75" s="9"/>
      <c r="AZ75" s="45">
        <v>0</v>
      </c>
      <c r="BA75" s="9"/>
      <c r="BB75" s="45">
        <v>0</v>
      </c>
      <c r="BC75" s="9"/>
      <c r="BD75" s="45">
        <v>0</v>
      </c>
      <c r="BE75" s="9"/>
      <c r="BF75" s="45">
        <v>0</v>
      </c>
      <c r="BG75" s="9"/>
      <c r="BH75" s="45">
        <v>0</v>
      </c>
      <c r="BI75" s="9"/>
      <c r="BJ75" s="45">
        <v>0</v>
      </c>
      <c r="BK75" s="9"/>
      <c r="BL75" s="45">
        <v>0</v>
      </c>
      <c r="BM75" s="55"/>
      <c r="BN75" s="36">
        <f>SUMIF(D$32:BO$32,"Dollar Value",D75:BO75)</f>
        <v>0</v>
      </c>
    </row>
    <row r="76" spans="1:67" ht="14.45" customHeight="1" x14ac:dyDescent="0.25">
      <c r="D76" s="31"/>
      <c r="F76" s="35"/>
      <c r="H76" s="35"/>
      <c r="J76" s="35"/>
      <c r="L76" s="35"/>
      <c r="N76" s="35"/>
      <c r="P76" s="35"/>
      <c r="R76" s="35"/>
      <c r="T76" s="35"/>
      <c r="V76" s="35"/>
      <c r="X76" s="35"/>
      <c r="Z76" s="35"/>
      <c r="AB76" s="35"/>
      <c r="AD76" s="35"/>
      <c r="AF76" s="35"/>
      <c r="AH76" s="35"/>
      <c r="AJ76" s="35"/>
      <c r="AL76" s="35"/>
      <c r="AN76" s="35"/>
      <c r="AP76" s="35"/>
      <c r="AR76" s="35"/>
      <c r="AT76" s="35"/>
      <c r="AV76" s="35"/>
      <c r="AX76" s="35"/>
      <c r="AZ76" s="35"/>
      <c r="BB76" s="35"/>
      <c r="BD76" s="35"/>
      <c r="BF76" s="35"/>
      <c r="BH76" s="35"/>
      <c r="BJ76" s="35"/>
      <c r="BL76" s="35"/>
      <c r="BN76" s="89"/>
    </row>
    <row r="77" spans="1:67" ht="14.45" customHeight="1" x14ac:dyDescent="0.25">
      <c r="B77" s="114" t="s">
        <v>102</v>
      </c>
      <c r="C77" s="114"/>
      <c r="D77" s="31"/>
      <c r="F77" s="45">
        <v>0</v>
      </c>
      <c r="H77" s="45">
        <v>0</v>
      </c>
      <c r="J77" s="45">
        <v>0</v>
      </c>
      <c r="L77" s="45">
        <v>0</v>
      </c>
      <c r="N77" s="45">
        <v>0</v>
      </c>
      <c r="P77" s="45">
        <v>0</v>
      </c>
      <c r="R77" s="45">
        <v>0</v>
      </c>
      <c r="T77" s="45">
        <v>0</v>
      </c>
      <c r="V77" s="45">
        <v>0</v>
      </c>
      <c r="X77" s="45">
        <v>0</v>
      </c>
      <c r="Z77" s="45">
        <v>0</v>
      </c>
      <c r="AB77" s="45">
        <v>0</v>
      </c>
      <c r="AD77" s="45">
        <v>0</v>
      </c>
      <c r="AF77" s="45">
        <v>0</v>
      </c>
      <c r="AH77" s="45">
        <v>0</v>
      </c>
      <c r="AJ77" s="45">
        <v>0</v>
      </c>
      <c r="AL77" s="45">
        <v>0</v>
      </c>
      <c r="AN77" s="45">
        <v>0</v>
      </c>
      <c r="AP77" s="45">
        <v>0</v>
      </c>
      <c r="AR77" s="45">
        <v>0</v>
      </c>
      <c r="AT77" s="45">
        <v>0</v>
      </c>
      <c r="AV77" s="45">
        <v>0</v>
      </c>
      <c r="AX77" s="45">
        <v>0</v>
      </c>
      <c r="AZ77" s="45">
        <v>0</v>
      </c>
      <c r="BB77" s="45">
        <v>0</v>
      </c>
      <c r="BD77" s="45">
        <v>0</v>
      </c>
      <c r="BF77" s="45">
        <v>0</v>
      </c>
      <c r="BH77" s="45">
        <v>0</v>
      </c>
      <c r="BJ77" s="45">
        <v>0</v>
      </c>
      <c r="BL77" s="45">
        <v>0</v>
      </c>
      <c r="BN77" s="36">
        <f>SUMIF(D$32:BO$32,"Dollar Value",D77:BO77)</f>
        <v>0</v>
      </c>
    </row>
    <row r="78" spans="1:67" ht="14.45" customHeight="1" x14ac:dyDescent="0.25">
      <c r="B78" s="2"/>
      <c r="C78" s="2"/>
      <c r="D78" s="31"/>
      <c r="F78" s="35"/>
      <c r="H78" s="35"/>
      <c r="J78" s="35"/>
      <c r="L78" s="35"/>
      <c r="N78" s="35"/>
      <c r="P78" s="35"/>
      <c r="R78" s="35"/>
      <c r="T78" s="35"/>
      <c r="V78" s="35"/>
      <c r="X78" s="35"/>
      <c r="Z78" s="35"/>
      <c r="AB78" s="35"/>
      <c r="AD78" s="35"/>
      <c r="AF78" s="35"/>
      <c r="AH78" s="35"/>
      <c r="AJ78" s="35"/>
      <c r="AL78" s="35"/>
      <c r="AN78" s="35"/>
      <c r="AP78" s="35"/>
      <c r="AR78" s="35"/>
      <c r="AT78" s="35"/>
      <c r="AV78" s="35"/>
      <c r="AX78" s="35"/>
      <c r="AZ78" s="35"/>
      <c r="BB78" s="35"/>
      <c r="BD78" s="35"/>
      <c r="BF78" s="35"/>
      <c r="BH78" s="35"/>
      <c r="BJ78" s="35"/>
      <c r="BL78" s="35"/>
      <c r="BN78" s="36"/>
    </row>
    <row r="79" spans="1:67" ht="14.45" customHeight="1" x14ac:dyDescent="0.25">
      <c r="B79" s="114" t="s">
        <v>103</v>
      </c>
      <c r="C79" s="114"/>
      <c r="D79" s="31"/>
      <c r="F79" s="45">
        <v>0</v>
      </c>
      <c r="H79" s="45">
        <v>0</v>
      </c>
      <c r="J79" s="45">
        <v>0</v>
      </c>
      <c r="L79" s="45">
        <v>0</v>
      </c>
      <c r="N79" s="45">
        <v>0</v>
      </c>
      <c r="P79" s="45">
        <v>0</v>
      </c>
      <c r="R79" s="45">
        <v>0</v>
      </c>
      <c r="T79" s="45">
        <v>0</v>
      </c>
      <c r="V79" s="45">
        <v>0</v>
      </c>
      <c r="X79" s="45">
        <v>0</v>
      </c>
      <c r="Z79" s="45">
        <v>0</v>
      </c>
      <c r="AB79" s="45">
        <v>0</v>
      </c>
      <c r="AD79" s="45">
        <v>0</v>
      </c>
      <c r="AF79" s="45">
        <v>0</v>
      </c>
      <c r="AH79" s="45">
        <v>0</v>
      </c>
      <c r="AJ79" s="45">
        <v>0</v>
      </c>
      <c r="AL79" s="45">
        <v>0</v>
      </c>
      <c r="AN79" s="45">
        <v>0</v>
      </c>
      <c r="AP79" s="45">
        <v>0</v>
      </c>
      <c r="AR79" s="45">
        <v>0</v>
      </c>
      <c r="AT79" s="45">
        <v>0</v>
      </c>
      <c r="AV79" s="45">
        <v>0</v>
      </c>
      <c r="AX79" s="45">
        <v>0</v>
      </c>
      <c r="AZ79" s="45">
        <v>0</v>
      </c>
      <c r="BB79" s="45">
        <v>0</v>
      </c>
      <c r="BD79" s="45">
        <v>0</v>
      </c>
      <c r="BF79" s="45">
        <v>0</v>
      </c>
      <c r="BH79" s="45">
        <v>0</v>
      </c>
      <c r="BJ79" s="45">
        <v>0</v>
      </c>
      <c r="BL79" s="45">
        <v>0</v>
      </c>
      <c r="BN79" s="36">
        <f>SUMIF(D$32:BO$32,"Dollar Value",D79:BO79)</f>
        <v>0</v>
      </c>
    </row>
    <row r="80" spans="1:67" ht="14.45" customHeight="1" x14ac:dyDescent="0.25">
      <c r="B80" s="2"/>
      <c r="C80" s="2"/>
      <c r="D80" s="31"/>
      <c r="F80" s="35"/>
      <c r="H80" s="35"/>
      <c r="J80" s="35"/>
      <c r="L80" s="35"/>
      <c r="N80" s="35"/>
      <c r="P80" s="35"/>
      <c r="R80" s="35"/>
      <c r="T80" s="35"/>
      <c r="V80" s="35"/>
      <c r="X80" s="35"/>
      <c r="Z80" s="35"/>
      <c r="AB80" s="35"/>
      <c r="AD80" s="35"/>
      <c r="AF80" s="35"/>
      <c r="AH80" s="35"/>
      <c r="AJ80" s="35"/>
      <c r="AL80" s="35"/>
      <c r="AN80" s="35"/>
      <c r="AP80" s="35"/>
      <c r="AR80" s="35"/>
      <c r="AT80" s="35"/>
      <c r="AV80" s="35"/>
      <c r="AX80" s="35"/>
      <c r="AZ80" s="35"/>
      <c r="BB80" s="35"/>
      <c r="BD80" s="35"/>
      <c r="BF80" s="35"/>
      <c r="BH80" s="35"/>
      <c r="BJ80" s="35"/>
      <c r="BL80" s="35"/>
      <c r="BN80" s="36"/>
    </row>
    <row r="81" spans="2:66" ht="14.45" customHeight="1" x14ac:dyDescent="0.25">
      <c r="B81" s="114" t="s">
        <v>104</v>
      </c>
      <c r="C81" s="114"/>
      <c r="D81" s="31"/>
      <c r="F81" s="45">
        <v>0</v>
      </c>
      <c r="H81" s="45">
        <v>0</v>
      </c>
      <c r="J81" s="45">
        <v>0</v>
      </c>
      <c r="L81" s="45">
        <v>0</v>
      </c>
      <c r="N81" s="45">
        <v>0</v>
      </c>
      <c r="P81" s="45">
        <v>0</v>
      </c>
      <c r="R81" s="45">
        <v>0</v>
      </c>
      <c r="T81" s="45">
        <v>0</v>
      </c>
      <c r="V81" s="45">
        <v>0</v>
      </c>
      <c r="X81" s="45">
        <v>0</v>
      </c>
      <c r="Z81" s="45">
        <v>0</v>
      </c>
      <c r="AB81" s="45">
        <v>0</v>
      </c>
      <c r="AD81" s="45">
        <v>0</v>
      </c>
      <c r="AF81" s="45">
        <v>0</v>
      </c>
      <c r="AH81" s="45">
        <v>0</v>
      </c>
      <c r="AJ81" s="45">
        <v>0</v>
      </c>
      <c r="AL81" s="45">
        <v>0</v>
      </c>
      <c r="AN81" s="45">
        <v>0</v>
      </c>
      <c r="AP81" s="45">
        <v>0</v>
      </c>
      <c r="AR81" s="45">
        <v>0</v>
      </c>
      <c r="AT81" s="45">
        <v>0</v>
      </c>
      <c r="AV81" s="45">
        <v>0</v>
      </c>
      <c r="AX81" s="45">
        <v>0</v>
      </c>
      <c r="AZ81" s="45">
        <v>0</v>
      </c>
      <c r="BB81" s="45">
        <v>0</v>
      </c>
      <c r="BD81" s="45">
        <v>0</v>
      </c>
      <c r="BF81" s="45">
        <v>0</v>
      </c>
      <c r="BH81" s="45">
        <v>0</v>
      </c>
      <c r="BJ81" s="45">
        <v>0</v>
      </c>
      <c r="BL81" s="45">
        <v>0</v>
      </c>
      <c r="BN81" s="36">
        <f>SUMIF(D$32:BO$32,"Dollar Value",D81:BO81)</f>
        <v>0</v>
      </c>
    </row>
    <row r="82" spans="2:66" ht="14.45" customHeight="1" x14ac:dyDescent="0.25">
      <c r="B82" s="2"/>
      <c r="C82" s="2"/>
      <c r="D82" s="31"/>
      <c r="F82" s="35"/>
      <c r="H82" s="35"/>
      <c r="J82" s="35"/>
      <c r="L82" s="35"/>
      <c r="N82" s="35"/>
      <c r="P82" s="35"/>
      <c r="R82" s="35"/>
      <c r="T82" s="35"/>
      <c r="V82" s="35"/>
      <c r="X82" s="35"/>
      <c r="Z82" s="35"/>
      <c r="AB82" s="35"/>
      <c r="AD82" s="35"/>
      <c r="AF82" s="35"/>
      <c r="AH82" s="35"/>
      <c r="AJ82" s="35"/>
      <c r="AL82" s="35"/>
      <c r="AN82" s="35"/>
      <c r="AP82" s="35"/>
      <c r="AR82" s="35"/>
      <c r="AT82" s="35"/>
      <c r="AV82" s="35"/>
      <c r="AX82" s="35"/>
      <c r="AZ82" s="35"/>
      <c r="BB82" s="35"/>
      <c r="BD82" s="35"/>
      <c r="BF82" s="35"/>
      <c r="BH82" s="35"/>
      <c r="BJ82" s="35"/>
      <c r="BL82" s="35"/>
      <c r="BN82" s="36"/>
    </row>
    <row r="83" spans="2:66" ht="14.45" customHeight="1" x14ac:dyDescent="0.25">
      <c r="B83" s="114" t="s">
        <v>105</v>
      </c>
      <c r="C83" s="114"/>
      <c r="D83" s="31"/>
      <c r="F83" s="45">
        <v>0</v>
      </c>
      <c r="H83" s="45">
        <v>0</v>
      </c>
      <c r="J83" s="45">
        <v>0</v>
      </c>
      <c r="L83" s="45">
        <v>0</v>
      </c>
      <c r="N83" s="45">
        <v>0</v>
      </c>
      <c r="P83" s="45">
        <v>0</v>
      </c>
      <c r="R83" s="45">
        <v>0</v>
      </c>
      <c r="T83" s="45">
        <v>0</v>
      </c>
      <c r="V83" s="45">
        <v>0</v>
      </c>
      <c r="X83" s="45">
        <v>0</v>
      </c>
      <c r="Z83" s="45">
        <v>0</v>
      </c>
      <c r="AB83" s="45">
        <v>0</v>
      </c>
      <c r="AD83" s="45">
        <v>0</v>
      </c>
      <c r="AF83" s="45">
        <v>0</v>
      </c>
      <c r="AH83" s="45">
        <v>0</v>
      </c>
      <c r="AJ83" s="45">
        <v>0</v>
      </c>
      <c r="AL83" s="45">
        <v>0</v>
      </c>
      <c r="AN83" s="45">
        <v>0</v>
      </c>
      <c r="AP83" s="45">
        <v>0</v>
      </c>
      <c r="AR83" s="45">
        <v>0</v>
      </c>
      <c r="AT83" s="45">
        <v>0</v>
      </c>
      <c r="AV83" s="45">
        <v>0</v>
      </c>
      <c r="AX83" s="45">
        <v>0</v>
      </c>
      <c r="AZ83" s="45">
        <v>0</v>
      </c>
      <c r="BB83" s="45">
        <v>0</v>
      </c>
      <c r="BD83" s="45">
        <v>0</v>
      </c>
      <c r="BF83" s="45">
        <v>0</v>
      </c>
      <c r="BH83" s="45">
        <v>0</v>
      </c>
      <c r="BJ83" s="45">
        <v>0</v>
      </c>
      <c r="BL83" s="45">
        <v>0</v>
      </c>
      <c r="BN83" s="36">
        <f>SUMIF(D$32:BO$32,"Dollar Value",D83:BO83)</f>
        <v>0</v>
      </c>
    </row>
    <row r="84" spans="2:66" ht="14.45" customHeight="1" x14ac:dyDescent="0.25">
      <c r="D84" s="31"/>
      <c r="F84" s="48"/>
      <c r="H84" s="48"/>
      <c r="J84" s="48"/>
      <c r="L84" s="48"/>
      <c r="N84" s="48"/>
      <c r="P84" s="48"/>
      <c r="R84" s="48"/>
      <c r="T84" s="48"/>
      <c r="V84" s="48"/>
      <c r="X84" s="48"/>
      <c r="Z84" s="48"/>
      <c r="AB84" s="48"/>
      <c r="AD84" s="48"/>
      <c r="AF84" s="48"/>
      <c r="AH84" s="48"/>
      <c r="AJ84" s="48"/>
      <c r="AL84" s="48"/>
      <c r="AN84" s="48"/>
      <c r="AP84" s="48"/>
      <c r="AR84" s="48"/>
      <c r="AT84" s="48"/>
      <c r="AV84" s="48"/>
      <c r="AX84" s="48"/>
      <c r="AZ84" s="48"/>
      <c r="BB84" s="48"/>
      <c r="BD84" s="48"/>
      <c r="BF84" s="48"/>
      <c r="BH84" s="48"/>
      <c r="BJ84" s="48"/>
      <c r="BL84" s="48"/>
      <c r="BN84" s="36"/>
    </row>
    <row r="85" spans="2:66" ht="15" hidden="1" customHeight="1" x14ac:dyDescent="0.25">
      <c r="B85" s="114" t="s">
        <v>106</v>
      </c>
      <c r="C85" s="114"/>
      <c r="D85" s="31"/>
      <c r="F85" s="45">
        <v>0</v>
      </c>
      <c r="H85" s="45">
        <v>0</v>
      </c>
      <c r="J85" s="45">
        <v>0</v>
      </c>
      <c r="L85" s="45">
        <v>0</v>
      </c>
      <c r="N85" s="45">
        <v>0</v>
      </c>
      <c r="P85" s="45">
        <v>0</v>
      </c>
      <c r="R85" s="45">
        <v>0</v>
      </c>
      <c r="T85" s="45">
        <v>0</v>
      </c>
      <c r="V85" s="45">
        <v>0</v>
      </c>
      <c r="X85" s="45">
        <v>0</v>
      </c>
      <c r="Z85" s="45">
        <v>0</v>
      </c>
      <c r="AB85" s="45">
        <v>0</v>
      </c>
      <c r="AD85" s="45">
        <v>0</v>
      </c>
      <c r="AF85" s="45">
        <v>0</v>
      </c>
      <c r="AH85" s="45">
        <v>0</v>
      </c>
      <c r="AJ85" s="45">
        <v>0</v>
      </c>
      <c r="AL85" s="45">
        <v>0</v>
      </c>
      <c r="AN85" s="45">
        <v>0</v>
      </c>
      <c r="AP85" s="45">
        <v>0</v>
      </c>
      <c r="AR85" s="45">
        <v>0</v>
      </c>
      <c r="AT85" s="45">
        <v>0</v>
      </c>
      <c r="AV85" s="45">
        <v>0</v>
      </c>
      <c r="AX85" s="45">
        <v>0</v>
      </c>
      <c r="AZ85" s="45">
        <v>0</v>
      </c>
      <c r="BB85" s="45">
        <v>0</v>
      </c>
      <c r="BD85" s="45">
        <v>0</v>
      </c>
      <c r="BF85" s="45">
        <v>0</v>
      </c>
      <c r="BH85" s="45">
        <v>0</v>
      </c>
      <c r="BJ85" s="45">
        <v>0</v>
      </c>
      <c r="BL85" s="45">
        <v>0</v>
      </c>
      <c r="BN85" s="36">
        <f>SUMIF(D$32:BO$32,"Dollar Value",D85:BO85)</f>
        <v>0</v>
      </c>
    </row>
    <row r="86" spans="2:66" ht="15" hidden="1" customHeight="1" x14ac:dyDescent="0.25">
      <c r="B86" s="2"/>
      <c r="C86" s="2"/>
      <c r="D86" s="97"/>
      <c r="E86" s="47"/>
      <c r="F86" s="48"/>
      <c r="G86" s="47"/>
      <c r="H86" s="48"/>
      <c r="I86" s="47"/>
      <c r="J86" s="48"/>
      <c r="K86" s="47"/>
      <c r="L86" s="48"/>
      <c r="M86" s="47"/>
      <c r="N86" s="48"/>
      <c r="O86" s="47"/>
      <c r="P86" s="48"/>
      <c r="Q86" s="47"/>
      <c r="R86" s="48"/>
      <c r="S86" s="47"/>
      <c r="T86" s="48"/>
      <c r="U86" s="47"/>
      <c r="V86" s="48"/>
      <c r="W86" s="47"/>
      <c r="X86" s="48"/>
      <c r="Y86" s="47"/>
      <c r="Z86" s="48"/>
      <c r="AA86" s="47"/>
      <c r="AB86" s="48"/>
      <c r="AC86" s="47"/>
      <c r="AD86" s="48"/>
      <c r="AE86" s="47"/>
      <c r="AF86" s="48"/>
      <c r="AG86" s="47"/>
      <c r="AH86" s="48"/>
      <c r="AI86" s="72"/>
      <c r="AJ86" s="44"/>
      <c r="AK86" s="73"/>
      <c r="AL86" s="77"/>
      <c r="AM86" s="73"/>
      <c r="AN86" s="77"/>
      <c r="AO86" s="73"/>
      <c r="AP86" s="77"/>
      <c r="AQ86" s="73"/>
      <c r="AR86" s="77"/>
      <c r="AS86" s="73"/>
      <c r="AT86" s="77"/>
      <c r="AU86" s="73"/>
      <c r="AV86" s="77"/>
      <c r="AW86" s="73"/>
      <c r="AX86" s="77"/>
      <c r="AY86" s="73"/>
      <c r="AZ86" s="77"/>
      <c r="BA86" s="73"/>
      <c r="BB86" s="77"/>
      <c r="BC86" s="73"/>
      <c r="BD86" s="77"/>
      <c r="BE86" s="73"/>
      <c r="BF86" s="77"/>
      <c r="BG86" s="73"/>
      <c r="BH86" s="77"/>
      <c r="BI86" s="73"/>
      <c r="BJ86" s="77"/>
      <c r="BK86" s="73"/>
      <c r="BL86" s="77"/>
      <c r="BN86" s="36"/>
    </row>
    <row r="87" spans="2:66" ht="15" hidden="1" customHeight="1" x14ac:dyDescent="0.25">
      <c r="B87" s="114" t="s">
        <v>107</v>
      </c>
      <c r="C87" s="114"/>
      <c r="D87" s="31"/>
      <c r="F87" s="45">
        <v>0</v>
      </c>
      <c r="H87" s="45">
        <v>0</v>
      </c>
      <c r="J87" s="45">
        <v>0</v>
      </c>
      <c r="L87" s="45">
        <v>0</v>
      </c>
      <c r="N87" s="45">
        <v>0</v>
      </c>
      <c r="P87" s="45">
        <v>0</v>
      </c>
      <c r="R87" s="45">
        <v>0</v>
      </c>
      <c r="T87" s="45">
        <v>0</v>
      </c>
      <c r="V87" s="45">
        <v>0</v>
      </c>
      <c r="X87" s="45">
        <v>0</v>
      </c>
      <c r="Z87" s="45">
        <v>0</v>
      </c>
      <c r="AB87" s="45">
        <v>0</v>
      </c>
      <c r="AD87" s="45">
        <v>0</v>
      </c>
      <c r="AF87" s="45">
        <v>0</v>
      </c>
      <c r="AH87" s="45">
        <v>0</v>
      </c>
      <c r="AJ87" s="45">
        <v>0</v>
      </c>
      <c r="AL87" s="45">
        <v>0</v>
      </c>
      <c r="AN87" s="45">
        <v>0</v>
      </c>
      <c r="AP87" s="45">
        <v>0</v>
      </c>
      <c r="AR87" s="45">
        <v>0</v>
      </c>
      <c r="AT87" s="45">
        <v>0</v>
      </c>
      <c r="AV87" s="45">
        <v>0</v>
      </c>
      <c r="AX87" s="45">
        <v>0</v>
      </c>
      <c r="AZ87" s="45">
        <v>0</v>
      </c>
      <c r="BB87" s="45">
        <v>0</v>
      </c>
      <c r="BD87" s="45">
        <v>0</v>
      </c>
      <c r="BF87" s="45">
        <v>0</v>
      </c>
      <c r="BH87" s="45">
        <v>0</v>
      </c>
      <c r="BJ87" s="45">
        <v>0</v>
      </c>
      <c r="BL87" s="45">
        <v>0</v>
      </c>
      <c r="BN87" s="36">
        <f>SUMIF(D$32:BO$32,"Dollar Value",D87:BO87)</f>
        <v>0</v>
      </c>
    </row>
    <row r="88" spans="2:66" ht="15" hidden="1" customHeight="1" x14ac:dyDescent="0.25">
      <c r="B88" s="2"/>
      <c r="C88" s="2"/>
      <c r="D88" s="97"/>
      <c r="E88" s="47"/>
      <c r="F88" s="48"/>
      <c r="G88" s="47"/>
      <c r="H88" s="48"/>
      <c r="I88" s="47"/>
      <c r="J88" s="48"/>
      <c r="K88" s="47"/>
      <c r="L88" s="48"/>
      <c r="M88" s="47"/>
      <c r="N88" s="48"/>
      <c r="O88" s="47"/>
      <c r="P88" s="48"/>
      <c r="Q88" s="47"/>
      <c r="R88" s="48"/>
      <c r="S88" s="47"/>
      <c r="T88" s="48"/>
      <c r="U88" s="47"/>
      <c r="V88" s="48"/>
      <c r="W88" s="47"/>
      <c r="X88" s="48"/>
      <c r="Y88" s="47"/>
      <c r="Z88" s="48"/>
      <c r="AA88" s="47"/>
      <c r="AB88" s="48"/>
      <c r="AC88" s="47"/>
      <c r="AD88" s="48"/>
      <c r="AE88" s="47"/>
      <c r="AF88" s="48"/>
      <c r="AG88" s="47"/>
      <c r="AH88" s="48"/>
      <c r="AI88" s="72"/>
      <c r="AJ88" s="44"/>
      <c r="AK88" s="73"/>
      <c r="AL88" s="77"/>
      <c r="AM88" s="73"/>
      <c r="AN88" s="77"/>
      <c r="AO88" s="73"/>
      <c r="AP88" s="77"/>
      <c r="AQ88" s="73"/>
      <c r="AR88" s="77"/>
      <c r="AS88" s="73"/>
      <c r="AT88" s="77"/>
      <c r="AU88" s="73"/>
      <c r="AV88" s="77"/>
      <c r="AW88" s="73"/>
      <c r="AX88" s="77"/>
      <c r="AY88" s="73"/>
      <c r="AZ88" s="77"/>
      <c r="BA88" s="73"/>
      <c r="BB88" s="77"/>
      <c r="BC88" s="73"/>
      <c r="BD88" s="77"/>
      <c r="BE88" s="73"/>
      <c r="BF88" s="77"/>
      <c r="BG88" s="73"/>
      <c r="BH88" s="77"/>
      <c r="BI88" s="73"/>
      <c r="BJ88" s="77"/>
      <c r="BK88" s="73"/>
      <c r="BL88" s="77"/>
      <c r="BN88" s="36"/>
    </row>
    <row r="89" spans="2:66" ht="15" hidden="1" customHeight="1" x14ac:dyDescent="0.25">
      <c r="B89" s="114" t="s">
        <v>108</v>
      </c>
      <c r="C89" s="114"/>
      <c r="D89" s="31"/>
      <c r="F89" s="45">
        <v>0</v>
      </c>
      <c r="H89" s="45">
        <v>0</v>
      </c>
      <c r="J89" s="45">
        <v>0</v>
      </c>
      <c r="L89" s="45">
        <v>0</v>
      </c>
      <c r="N89" s="45">
        <v>0</v>
      </c>
      <c r="P89" s="45">
        <v>0</v>
      </c>
      <c r="R89" s="45">
        <v>0</v>
      </c>
      <c r="T89" s="45">
        <v>0</v>
      </c>
      <c r="V89" s="45">
        <v>0</v>
      </c>
      <c r="X89" s="45">
        <v>0</v>
      </c>
      <c r="Z89" s="45">
        <v>0</v>
      </c>
      <c r="AB89" s="45">
        <v>0</v>
      </c>
      <c r="AD89" s="45">
        <v>0</v>
      </c>
      <c r="AF89" s="45">
        <v>0</v>
      </c>
      <c r="AH89" s="45">
        <v>0</v>
      </c>
      <c r="AJ89" s="45">
        <v>0</v>
      </c>
      <c r="AL89" s="45">
        <v>0</v>
      </c>
      <c r="AN89" s="45">
        <v>0</v>
      </c>
      <c r="AP89" s="45">
        <v>0</v>
      </c>
      <c r="AR89" s="45">
        <v>0</v>
      </c>
      <c r="AT89" s="45">
        <v>0</v>
      </c>
      <c r="AV89" s="45">
        <v>0</v>
      </c>
      <c r="AX89" s="45">
        <v>0</v>
      </c>
      <c r="AZ89" s="45">
        <v>0</v>
      </c>
      <c r="BB89" s="45">
        <v>0</v>
      </c>
      <c r="BD89" s="45">
        <v>0</v>
      </c>
      <c r="BF89" s="45">
        <v>0</v>
      </c>
      <c r="BH89" s="45">
        <v>0</v>
      </c>
      <c r="BJ89" s="45">
        <v>0</v>
      </c>
      <c r="BL89" s="45">
        <v>0</v>
      </c>
      <c r="BN89" s="36">
        <f>SUMIF(D$32:BO$32,"Dollar Value",D89:BO89)</f>
        <v>0</v>
      </c>
    </row>
    <row r="90" spans="2:66" ht="15" hidden="1" customHeight="1" x14ac:dyDescent="0.25">
      <c r="B90" s="2"/>
      <c r="C90" s="2"/>
      <c r="D90" s="31"/>
      <c r="F90" s="35"/>
      <c r="H90" s="35"/>
      <c r="J90" s="35"/>
      <c r="L90" s="35"/>
      <c r="N90" s="35"/>
      <c r="P90" s="35"/>
      <c r="R90" s="35"/>
      <c r="T90" s="35"/>
      <c r="V90" s="35"/>
      <c r="X90" s="35"/>
      <c r="Z90" s="35"/>
      <c r="AB90" s="35"/>
      <c r="AD90" s="35"/>
      <c r="AF90" s="35"/>
      <c r="AH90" s="35"/>
      <c r="AI90" s="53"/>
      <c r="AJ90" s="35"/>
      <c r="AL90" s="35"/>
      <c r="AN90" s="35"/>
      <c r="AP90" s="35"/>
      <c r="AR90" s="35"/>
      <c r="AT90" s="35"/>
      <c r="AV90" s="35"/>
      <c r="AX90" s="35"/>
      <c r="AZ90" s="35"/>
      <c r="BB90" s="35"/>
      <c r="BD90" s="35"/>
      <c r="BF90" s="35"/>
      <c r="BH90" s="35"/>
      <c r="BJ90" s="35"/>
      <c r="BL90" s="35"/>
      <c r="BN90" s="36"/>
    </row>
    <row r="91" spans="2:66" ht="15" hidden="1" customHeight="1" x14ac:dyDescent="0.25">
      <c r="B91" s="114" t="s">
        <v>109</v>
      </c>
      <c r="C91" s="114"/>
      <c r="D91" s="31"/>
      <c r="F91" s="45">
        <v>0</v>
      </c>
      <c r="H91" s="45">
        <v>0</v>
      </c>
      <c r="J91" s="45">
        <v>0</v>
      </c>
      <c r="L91" s="45">
        <v>0</v>
      </c>
      <c r="N91" s="45">
        <v>0</v>
      </c>
      <c r="P91" s="45">
        <v>0</v>
      </c>
      <c r="R91" s="45">
        <v>0</v>
      </c>
      <c r="T91" s="45">
        <v>0</v>
      </c>
      <c r="V91" s="45">
        <v>0</v>
      </c>
      <c r="X91" s="45">
        <v>0</v>
      </c>
      <c r="Z91" s="45">
        <v>0</v>
      </c>
      <c r="AB91" s="45">
        <v>0</v>
      </c>
      <c r="AD91" s="45">
        <v>0</v>
      </c>
      <c r="AF91" s="45">
        <v>0</v>
      </c>
      <c r="AH91" s="45">
        <v>0</v>
      </c>
      <c r="AI91" s="53"/>
      <c r="AJ91" s="45">
        <v>0</v>
      </c>
      <c r="AL91" s="45">
        <v>0</v>
      </c>
      <c r="AN91" s="45">
        <v>0</v>
      </c>
      <c r="AP91" s="45">
        <v>0</v>
      </c>
      <c r="AR91" s="45">
        <v>0</v>
      </c>
      <c r="AT91" s="45">
        <v>0</v>
      </c>
      <c r="AV91" s="45">
        <v>0</v>
      </c>
      <c r="AX91" s="45">
        <v>0</v>
      </c>
      <c r="AZ91" s="45">
        <v>0</v>
      </c>
      <c r="BB91" s="45">
        <v>0</v>
      </c>
      <c r="BD91" s="45">
        <v>0</v>
      </c>
      <c r="BF91" s="45">
        <v>0</v>
      </c>
      <c r="BH91" s="45">
        <v>0</v>
      </c>
      <c r="BJ91" s="45">
        <v>0</v>
      </c>
      <c r="BL91" s="45">
        <v>0</v>
      </c>
      <c r="BN91" s="36">
        <f>SUMIF(D$32:BO$32,"Dollar Value",D91:BO91)</f>
        <v>0</v>
      </c>
    </row>
    <row r="92" spans="2:66" ht="15" hidden="1" customHeight="1" x14ac:dyDescent="0.25">
      <c r="B92" s="2"/>
      <c r="C92" s="2"/>
      <c r="D92" s="31"/>
      <c r="F92" s="35"/>
      <c r="H92" s="35"/>
      <c r="J92" s="35"/>
      <c r="L92" s="35"/>
      <c r="N92" s="35"/>
      <c r="P92" s="35"/>
      <c r="R92" s="35"/>
      <c r="T92" s="35"/>
      <c r="V92" s="35"/>
      <c r="X92" s="35"/>
      <c r="Z92" s="35"/>
      <c r="AB92" s="35"/>
      <c r="AD92" s="35"/>
      <c r="AF92" s="35"/>
      <c r="AH92" s="35"/>
      <c r="AJ92" s="35"/>
      <c r="AL92" s="35"/>
      <c r="AN92" s="35"/>
      <c r="AP92" s="35"/>
      <c r="AR92" s="35"/>
      <c r="AT92" s="35"/>
      <c r="AV92" s="35"/>
      <c r="AX92" s="35"/>
      <c r="AZ92" s="35"/>
      <c r="BB92" s="35"/>
      <c r="BD92" s="35"/>
      <c r="BF92" s="35"/>
      <c r="BH92" s="35"/>
      <c r="BJ92" s="35"/>
      <c r="BL92" s="35"/>
      <c r="BN92" s="36"/>
    </row>
    <row r="93" spans="2:66" ht="15" hidden="1" customHeight="1" x14ac:dyDescent="0.25">
      <c r="B93" s="114" t="s">
        <v>110</v>
      </c>
      <c r="C93" s="114"/>
      <c r="D93" s="31"/>
      <c r="F93" s="45">
        <v>0</v>
      </c>
      <c r="H93" s="45">
        <v>0</v>
      </c>
      <c r="J93" s="45">
        <v>0</v>
      </c>
      <c r="L93" s="45">
        <v>0</v>
      </c>
      <c r="N93" s="45">
        <v>0</v>
      </c>
      <c r="P93" s="45">
        <v>0</v>
      </c>
      <c r="R93" s="45">
        <v>0</v>
      </c>
      <c r="T93" s="45">
        <v>0</v>
      </c>
      <c r="V93" s="45">
        <v>0</v>
      </c>
      <c r="X93" s="45">
        <v>0</v>
      </c>
      <c r="Z93" s="45">
        <v>0</v>
      </c>
      <c r="AB93" s="45">
        <v>0</v>
      </c>
      <c r="AD93" s="45">
        <v>0</v>
      </c>
      <c r="AF93" s="45">
        <v>0</v>
      </c>
      <c r="AH93" s="45">
        <v>0</v>
      </c>
      <c r="AJ93" s="45">
        <v>0</v>
      </c>
      <c r="AL93" s="45">
        <v>0</v>
      </c>
      <c r="AN93" s="45">
        <v>0</v>
      </c>
      <c r="AP93" s="45">
        <v>0</v>
      </c>
      <c r="AR93" s="45">
        <v>0</v>
      </c>
      <c r="AT93" s="45">
        <v>0</v>
      </c>
      <c r="AV93" s="45">
        <v>0</v>
      </c>
      <c r="AX93" s="45">
        <v>0</v>
      </c>
      <c r="AZ93" s="45">
        <v>0</v>
      </c>
      <c r="BB93" s="45">
        <v>0</v>
      </c>
      <c r="BD93" s="45">
        <v>0</v>
      </c>
      <c r="BF93" s="45">
        <v>0</v>
      </c>
      <c r="BH93" s="45">
        <v>0</v>
      </c>
      <c r="BJ93" s="45">
        <v>0</v>
      </c>
      <c r="BL93" s="45">
        <v>0</v>
      </c>
      <c r="BN93" s="36">
        <f>SUMIF(D$32:BO$32,"Dollar Value",D93:BO93)</f>
        <v>0</v>
      </c>
    </row>
    <row r="94" spans="2:66" ht="14.45" customHeight="1" x14ac:dyDescent="0.25">
      <c r="D94" s="31"/>
      <c r="F94" s="35"/>
      <c r="H94" s="35"/>
      <c r="J94" s="35"/>
      <c r="L94" s="35"/>
      <c r="N94" s="35"/>
      <c r="P94" s="35"/>
      <c r="R94" s="35"/>
      <c r="T94" s="35"/>
      <c r="V94" s="35"/>
      <c r="X94" s="35"/>
      <c r="Z94" s="35"/>
      <c r="AB94" s="35"/>
      <c r="AD94" s="35"/>
      <c r="AF94" s="35"/>
      <c r="AH94" s="35"/>
      <c r="AJ94" s="35"/>
      <c r="AL94" s="35"/>
      <c r="AN94" s="35"/>
      <c r="AP94" s="35"/>
      <c r="AR94" s="35"/>
      <c r="AT94" s="35"/>
      <c r="AV94" s="35"/>
      <c r="AX94" s="35"/>
      <c r="AZ94" s="35"/>
      <c r="BB94" s="35"/>
      <c r="BD94" s="35"/>
      <c r="BF94" s="35"/>
      <c r="BH94" s="35"/>
      <c r="BJ94" s="35"/>
      <c r="BL94" s="35"/>
      <c r="BN94" s="36"/>
    </row>
    <row r="95" spans="2:66" ht="14.45" customHeight="1" x14ac:dyDescent="0.25">
      <c r="B95" t="s">
        <v>12</v>
      </c>
      <c r="D95" s="31"/>
      <c r="F95" s="35"/>
      <c r="H95" s="35"/>
      <c r="J95" s="35"/>
      <c r="L95" s="35"/>
      <c r="N95" s="35"/>
      <c r="P95" s="35"/>
      <c r="R95" s="35"/>
      <c r="T95" s="35"/>
      <c r="V95" s="35"/>
      <c r="X95" s="35"/>
      <c r="Z95" s="35"/>
      <c r="AB95" s="35"/>
      <c r="AD95" s="35"/>
      <c r="AF95" s="35"/>
      <c r="AH95" s="35"/>
      <c r="AJ95" s="35"/>
      <c r="AL95" s="35"/>
      <c r="AN95" s="35"/>
      <c r="AP95" s="35"/>
      <c r="AR95" s="35"/>
      <c r="AT95" s="35"/>
      <c r="AV95" s="35"/>
      <c r="AX95" s="35"/>
      <c r="AZ95" s="35"/>
      <c r="BB95" s="35"/>
      <c r="BD95" s="35"/>
      <c r="BF95" s="35"/>
      <c r="BH95" s="35"/>
      <c r="BJ95" s="35"/>
      <c r="BL95" s="35"/>
      <c r="BN95" s="43"/>
    </row>
    <row r="96" spans="2:66" ht="14.45" customHeight="1" x14ac:dyDescent="0.25">
      <c r="B96" s="3" t="s">
        <v>15</v>
      </c>
      <c r="C96" s="3"/>
      <c r="D96" s="31"/>
      <c r="F96" s="58" t="s">
        <v>101</v>
      </c>
      <c r="G96" s="51"/>
      <c r="H96" s="58" t="s">
        <v>101</v>
      </c>
      <c r="I96" s="51"/>
      <c r="J96" s="58" t="s">
        <v>101</v>
      </c>
      <c r="K96" s="51"/>
      <c r="L96" s="58" t="s">
        <v>101</v>
      </c>
      <c r="M96" s="51"/>
      <c r="N96" s="58" t="s">
        <v>101</v>
      </c>
      <c r="P96" s="58" t="s">
        <v>101</v>
      </c>
      <c r="R96" s="58" t="s">
        <v>101</v>
      </c>
      <c r="T96" s="58" t="s">
        <v>101</v>
      </c>
      <c r="V96" s="58" t="s">
        <v>101</v>
      </c>
      <c r="X96" s="50" t="s">
        <v>101</v>
      </c>
      <c r="Z96" s="49" t="s">
        <v>101</v>
      </c>
      <c r="AB96" s="49" t="s">
        <v>101</v>
      </c>
      <c r="AD96" s="49" t="s">
        <v>101</v>
      </c>
      <c r="AF96" s="49" t="s">
        <v>101</v>
      </c>
      <c r="AH96" s="71" t="s">
        <v>101</v>
      </c>
      <c r="AI96" s="70"/>
      <c r="AJ96" s="75" t="s">
        <v>101</v>
      </c>
      <c r="AK96" s="70"/>
      <c r="AL96" s="75" t="s">
        <v>101</v>
      </c>
      <c r="AM96" s="70"/>
      <c r="AN96" s="75" t="s">
        <v>101</v>
      </c>
      <c r="AO96" s="70"/>
      <c r="AP96" s="75" t="s">
        <v>101</v>
      </c>
      <c r="AQ96" s="70"/>
      <c r="AR96" s="75" t="s">
        <v>101</v>
      </c>
      <c r="AS96" s="70"/>
      <c r="AT96" s="75" t="s">
        <v>101</v>
      </c>
      <c r="AU96" s="70"/>
      <c r="AV96" s="75" t="s">
        <v>101</v>
      </c>
      <c r="AW96" s="70"/>
      <c r="AX96" s="75" t="s">
        <v>101</v>
      </c>
      <c r="AY96" s="70"/>
      <c r="AZ96" s="75" t="s">
        <v>101</v>
      </c>
      <c r="BA96" s="70"/>
      <c r="BB96" s="75" t="s">
        <v>101</v>
      </c>
      <c r="BC96" s="70"/>
      <c r="BD96" s="75" t="s">
        <v>101</v>
      </c>
      <c r="BE96" s="70"/>
      <c r="BF96" s="75" t="s">
        <v>101</v>
      </c>
      <c r="BG96" s="70"/>
      <c r="BH96" s="75" t="s">
        <v>101</v>
      </c>
      <c r="BI96" s="70"/>
      <c r="BJ96" s="75" t="s">
        <v>101</v>
      </c>
      <c r="BK96" s="70"/>
      <c r="BL96" s="75" t="s">
        <v>101</v>
      </c>
      <c r="BN96" s="43"/>
    </row>
    <row r="97" spans="2:66" ht="14.45" customHeight="1" x14ac:dyDescent="0.25">
      <c r="B97" s="3" t="s">
        <v>13</v>
      </c>
      <c r="C97" s="3"/>
      <c r="D97" s="31"/>
      <c r="F97" s="44">
        <v>0</v>
      </c>
      <c r="H97" s="44">
        <v>0</v>
      </c>
      <c r="J97" s="44">
        <v>0</v>
      </c>
      <c r="L97" s="44">
        <v>0</v>
      </c>
      <c r="N97" s="44">
        <v>0</v>
      </c>
      <c r="P97" s="44">
        <v>0</v>
      </c>
      <c r="R97" s="44">
        <v>0</v>
      </c>
      <c r="T97" s="44">
        <v>0</v>
      </c>
      <c r="V97" s="44">
        <v>0</v>
      </c>
      <c r="X97" s="44">
        <v>0</v>
      </c>
      <c r="Z97" s="44">
        <v>0</v>
      </c>
      <c r="AB97" s="44">
        <v>0</v>
      </c>
      <c r="AD97" s="44">
        <v>0</v>
      </c>
      <c r="AF97" s="44">
        <v>0</v>
      </c>
      <c r="AH97" s="44">
        <v>0</v>
      </c>
      <c r="AJ97" s="44">
        <v>0</v>
      </c>
      <c r="AL97" s="44">
        <v>0</v>
      </c>
      <c r="AN97" s="44">
        <v>0</v>
      </c>
      <c r="AP97" s="44">
        <v>0</v>
      </c>
      <c r="AR97" s="44">
        <v>0</v>
      </c>
      <c r="AT97" s="44">
        <v>0</v>
      </c>
      <c r="AV97" s="44">
        <v>0</v>
      </c>
      <c r="AX97" s="44">
        <v>0</v>
      </c>
      <c r="AZ97" s="44">
        <v>0</v>
      </c>
      <c r="BB97" s="44">
        <v>0</v>
      </c>
      <c r="BD97" s="44">
        <v>0</v>
      </c>
      <c r="BF97" s="44">
        <v>0</v>
      </c>
      <c r="BH97" s="44">
        <v>0</v>
      </c>
      <c r="BJ97" s="44">
        <v>0</v>
      </c>
      <c r="BL97" s="44">
        <v>0</v>
      </c>
      <c r="BN97" s="43"/>
    </row>
    <row r="98" spans="2:66" ht="14.45" customHeight="1" x14ac:dyDescent="0.25">
      <c r="B98" s="3" t="s">
        <v>14</v>
      </c>
      <c r="C98" s="3"/>
      <c r="D98" s="31"/>
      <c r="E98" s="31"/>
      <c r="F98" s="44">
        <v>0</v>
      </c>
      <c r="G98" s="31"/>
      <c r="H98" s="44">
        <v>0</v>
      </c>
      <c r="I98" s="31"/>
      <c r="J98" s="44">
        <v>0</v>
      </c>
      <c r="K98" s="31"/>
      <c r="L98" s="44">
        <v>0</v>
      </c>
      <c r="M98" s="31"/>
      <c r="N98" s="44">
        <v>0</v>
      </c>
      <c r="O98" s="31"/>
      <c r="P98" s="44">
        <v>0</v>
      </c>
      <c r="Q98" s="31"/>
      <c r="R98" s="44">
        <v>0</v>
      </c>
      <c r="S98" s="31"/>
      <c r="T98" s="44">
        <v>0</v>
      </c>
      <c r="U98" s="31"/>
      <c r="V98" s="44">
        <v>0</v>
      </c>
      <c r="W98" s="31"/>
      <c r="X98" s="44">
        <v>0</v>
      </c>
      <c r="Y98" s="31"/>
      <c r="Z98" s="44">
        <v>0</v>
      </c>
      <c r="AA98" s="31"/>
      <c r="AB98" s="44">
        <v>0</v>
      </c>
      <c r="AC98" s="31"/>
      <c r="AD98" s="44">
        <v>0</v>
      </c>
      <c r="AE98" s="31"/>
      <c r="AF98" s="44">
        <v>0</v>
      </c>
      <c r="AG98" s="31"/>
      <c r="AH98" s="44">
        <v>0</v>
      </c>
      <c r="AJ98" s="44">
        <v>0</v>
      </c>
      <c r="AL98" s="44">
        <v>0</v>
      </c>
      <c r="AN98" s="44">
        <v>0</v>
      </c>
      <c r="AP98" s="44">
        <v>0</v>
      </c>
      <c r="AR98" s="44">
        <v>0</v>
      </c>
      <c r="AT98" s="44">
        <v>0</v>
      </c>
      <c r="AV98" s="44">
        <v>0</v>
      </c>
      <c r="AX98" s="44">
        <v>0</v>
      </c>
      <c r="AZ98" s="44">
        <v>0</v>
      </c>
      <c r="BB98" s="44">
        <v>0</v>
      </c>
      <c r="BD98" s="44">
        <v>0</v>
      </c>
      <c r="BF98" s="44">
        <v>0</v>
      </c>
      <c r="BH98" s="44">
        <v>0</v>
      </c>
      <c r="BJ98" s="44">
        <v>0</v>
      </c>
      <c r="BL98" s="44">
        <v>0</v>
      </c>
      <c r="BN98" s="43"/>
    </row>
    <row r="99" spans="2:66" ht="14.45" customHeight="1" x14ac:dyDescent="0.25">
      <c r="B99" s="3" t="s">
        <v>65</v>
      </c>
      <c r="C99" s="3"/>
      <c r="D99" s="31"/>
      <c r="E99" s="31"/>
      <c r="F99" s="44">
        <v>0</v>
      </c>
      <c r="G99" s="31"/>
      <c r="H99" s="44">
        <v>0</v>
      </c>
      <c r="I99" s="31"/>
      <c r="J99" s="44">
        <v>0</v>
      </c>
      <c r="K99" s="31"/>
      <c r="L99" s="44">
        <v>0</v>
      </c>
      <c r="M99" s="31"/>
      <c r="N99" s="44">
        <v>0</v>
      </c>
      <c r="O99" s="31"/>
      <c r="P99" s="44">
        <v>0</v>
      </c>
      <c r="Q99" s="31"/>
      <c r="R99" s="44">
        <v>0</v>
      </c>
      <c r="S99" s="31"/>
      <c r="T99" s="44">
        <v>0</v>
      </c>
      <c r="U99" s="31"/>
      <c r="V99" s="44">
        <v>0</v>
      </c>
      <c r="W99" s="31"/>
      <c r="X99" s="44">
        <v>0</v>
      </c>
      <c r="Y99" s="31"/>
      <c r="Z99" s="44">
        <v>0</v>
      </c>
      <c r="AA99" s="31"/>
      <c r="AB99" s="44">
        <v>0</v>
      </c>
      <c r="AC99" s="31"/>
      <c r="AD99" s="44">
        <v>0</v>
      </c>
      <c r="AE99" s="31"/>
      <c r="AF99" s="44">
        <v>0</v>
      </c>
      <c r="AG99" s="31"/>
      <c r="AH99" s="44">
        <v>0</v>
      </c>
      <c r="AJ99" s="44">
        <v>0</v>
      </c>
      <c r="AL99" s="44">
        <v>0</v>
      </c>
      <c r="AN99" s="44">
        <v>0</v>
      </c>
      <c r="AP99" s="44">
        <v>0</v>
      </c>
      <c r="AR99" s="44">
        <v>0</v>
      </c>
      <c r="AT99" s="44">
        <v>0</v>
      </c>
      <c r="AV99" s="44">
        <v>0</v>
      </c>
      <c r="AX99" s="44">
        <v>0</v>
      </c>
      <c r="AZ99" s="44">
        <v>0</v>
      </c>
      <c r="BB99" s="44">
        <v>0</v>
      </c>
      <c r="BD99" s="44">
        <v>0</v>
      </c>
      <c r="BF99" s="44">
        <v>0</v>
      </c>
      <c r="BH99" s="44">
        <v>0</v>
      </c>
      <c r="BJ99" s="44">
        <v>0</v>
      </c>
      <c r="BL99" s="44">
        <v>0</v>
      </c>
      <c r="BN99" s="43"/>
    </row>
    <row r="100" spans="2:66" ht="14.45" customHeight="1" x14ac:dyDescent="0.25">
      <c r="B100" s="3" t="s">
        <v>67</v>
      </c>
      <c r="C100" s="3"/>
      <c r="D100" s="31"/>
      <c r="E100" s="31"/>
      <c r="F100" s="45">
        <v>0</v>
      </c>
      <c r="G100" s="31"/>
      <c r="H100" s="45">
        <v>0</v>
      </c>
      <c r="I100" s="31"/>
      <c r="J100" s="45">
        <v>0</v>
      </c>
      <c r="K100" s="31"/>
      <c r="L100" s="45">
        <v>0</v>
      </c>
      <c r="M100" s="31"/>
      <c r="N100" s="45">
        <v>0</v>
      </c>
      <c r="O100" s="31"/>
      <c r="P100" s="45">
        <v>0</v>
      </c>
      <c r="Q100" s="31"/>
      <c r="R100" s="45">
        <v>0</v>
      </c>
      <c r="S100" s="31"/>
      <c r="T100" s="45">
        <v>0</v>
      </c>
      <c r="U100" s="31"/>
      <c r="V100" s="45">
        <v>0</v>
      </c>
      <c r="W100" s="31"/>
      <c r="X100" s="45">
        <v>0</v>
      </c>
      <c r="Y100" s="31"/>
      <c r="Z100" s="45">
        <v>0</v>
      </c>
      <c r="AA100" s="31"/>
      <c r="AB100" s="45">
        <v>0</v>
      </c>
      <c r="AC100" s="31"/>
      <c r="AD100" s="45">
        <v>0</v>
      </c>
      <c r="AE100" s="31"/>
      <c r="AF100" s="45">
        <v>0</v>
      </c>
      <c r="AG100" s="31"/>
      <c r="AH100" s="45">
        <v>0</v>
      </c>
      <c r="AJ100" s="45">
        <v>0</v>
      </c>
      <c r="AL100" s="45">
        <v>0</v>
      </c>
      <c r="AN100" s="45">
        <v>0</v>
      </c>
      <c r="AP100" s="45">
        <v>0</v>
      </c>
      <c r="AR100" s="45">
        <v>0</v>
      </c>
      <c r="AT100" s="45">
        <v>0</v>
      </c>
      <c r="AV100" s="45">
        <v>0</v>
      </c>
      <c r="AX100" s="45">
        <v>0</v>
      </c>
      <c r="AZ100" s="45">
        <v>0</v>
      </c>
      <c r="BB100" s="45">
        <v>0</v>
      </c>
      <c r="BD100" s="45">
        <v>0</v>
      </c>
      <c r="BF100" s="45">
        <v>0</v>
      </c>
      <c r="BH100" s="45">
        <v>0</v>
      </c>
      <c r="BJ100" s="45">
        <v>0</v>
      </c>
      <c r="BL100" s="45">
        <v>0</v>
      </c>
      <c r="BN100" s="43"/>
    </row>
    <row r="101" spans="2:66" ht="14.45" customHeight="1" x14ac:dyDescent="0.25">
      <c r="B101" s="3" t="s">
        <v>66</v>
      </c>
      <c r="C101" s="3"/>
      <c r="D101" s="31"/>
      <c r="E101" s="31"/>
      <c r="F101" s="45">
        <v>0</v>
      </c>
      <c r="G101" s="31"/>
      <c r="H101" s="45">
        <v>0</v>
      </c>
      <c r="I101" s="31"/>
      <c r="J101" s="45">
        <v>0</v>
      </c>
      <c r="K101" s="31"/>
      <c r="L101" s="45">
        <v>0</v>
      </c>
      <c r="M101" s="31"/>
      <c r="N101" s="45">
        <v>0</v>
      </c>
      <c r="O101" s="31"/>
      <c r="P101" s="45">
        <v>0</v>
      </c>
      <c r="Q101" s="31"/>
      <c r="R101" s="45">
        <v>0</v>
      </c>
      <c r="S101" s="31"/>
      <c r="T101" s="45">
        <v>0</v>
      </c>
      <c r="U101" s="31"/>
      <c r="V101" s="45">
        <v>0</v>
      </c>
      <c r="W101" s="31"/>
      <c r="X101" s="45">
        <v>0</v>
      </c>
      <c r="Y101" s="31"/>
      <c r="Z101" s="45">
        <v>0</v>
      </c>
      <c r="AA101" s="31"/>
      <c r="AB101" s="45">
        <v>0</v>
      </c>
      <c r="AC101" s="31"/>
      <c r="AD101" s="45">
        <v>0</v>
      </c>
      <c r="AE101" s="31"/>
      <c r="AF101" s="45">
        <v>0</v>
      </c>
      <c r="AG101" s="31"/>
      <c r="AH101" s="45">
        <v>0</v>
      </c>
      <c r="AJ101" s="45">
        <v>0</v>
      </c>
      <c r="AL101" s="45">
        <v>0</v>
      </c>
      <c r="AN101" s="45">
        <v>0</v>
      </c>
      <c r="AP101" s="45">
        <v>0</v>
      </c>
      <c r="AR101" s="45">
        <v>0</v>
      </c>
      <c r="AT101" s="45">
        <v>0</v>
      </c>
      <c r="AV101" s="45">
        <v>0</v>
      </c>
      <c r="AX101" s="45">
        <v>0</v>
      </c>
      <c r="AZ101" s="45">
        <v>0</v>
      </c>
      <c r="BB101" s="45">
        <v>0</v>
      </c>
      <c r="BD101" s="45">
        <v>0</v>
      </c>
      <c r="BF101" s="45">
        <v>0</v>
      </c>
      <c r="BH101" s="45">
        <v>0</v>
      </c>
      <c r="BJ101" s="45">
        <v>0</v>
      </c>
      <c r="BL101" s="45">
        <v>0</v>
      </c>
      <c r="BN101" s="43"/>
    </row>
    <row r="102" spans="2:66" ht="14.45" customHeight="1" x14ac:dyDescent="0.25">
      <c r="B102" s="3" t="s">
        <v>16</v>
      </c>
      <c r="C102" s="3"/>
      <c r="D102" s="31"/>
      <c r="E102" s="31"/>
      <c r="F102" s="45">
        <v>0</v>
      </c>
      <c r="G102" s="31"/>
      <c r="H102" s="45">
        <v>0</v>
      </c>
      <c r="I102" s="31"/>
      <c r="J102" s="45">
        <v>0</v>
      </c>
      <c r="K102" s="31"/>
      <c r="L102" s="45">
        <v>0</v>
      </c>
      <c r="M102" s="31"/>
      <c r="N102" s="45">
        <v>0</v>
      </c>
      <c r="O102" s="31"/>
      <c r="P102" s="45">
        <v>0</v>
      </c>
      <c r="Q102" s="31"/>
      <c r="R102" s="45">
        <v>0</v>
      </c>
      <c r="S102" s="31"/>
      <c r="T102" s="45">
        <v>0</v>
      </c>
      <c r="U102" s="31"/>
      <c r="V102" s="45">
        <v>0</v>
      </c>
      <c r="W102" s="31"/>
      <c r="X102" s="45">
        <v>0</v>
      </c>
      <c r="Y102" s="31"/>
      <c r="Z102" s="45">
        <v>0</v>
      </c>
      <c r="AA102" s="31"/>
      <c r="AB102" s="45">
        <v>0</v>
      </c>
      <c r="AC102" s="31"/>
      <c r="AD102" s="45">
        <v>0</v>
      </c>
      <c r="AE102" s="31"/>
      <c r="AF102" s="45">
        <v>0</v>
      </c>
      <c r="AG102" s="31"/>
      <c r="AH102" s="45">
        <v>0</v>
      </c>
      <c r="AJ102" s="45">
        <v>0</v>
      </c>
      <c r="AL102" s="45">
        <v>0</v>
      </c>
      <c r="AN102" s="45">
        <v>0</v>
      </c>
      <c r="AP102" s="45">
        <v>0</v>
      </c>
      <c r="AR102" s="45">
        <v>0</v>
      </c>
      <c r="AT102" s="45">
        <v>0</v>
      </c>
      <c r="AV102" s="45">
        <v>0</v>
      </c>
      <c r="AX102" s="45">
        <v>0</v>
      </c>
      <c r="AZ102" s="45">
        <v>0</v>
      </c>
      <c r="BB102" s="45">
        <v>0</v>
      </c>
      <c r="BD102" s="45">
        <v>0</v>
      </c>
      <c r="BF102" s="45">
        <v>0</v>
      </c>
      <c r="BH102" s="45">
        <v>0</v>
      </c>
      <c r="BJ102" s="45">
        <v>0</v>
      </c>
      <c r="BL102" s="45">
        <v>0</v>
      </c>
      <c r="BN102" s="43"/>
    </row>
    <row r="103" spans="2:66" ht="14.45" customHeight="1" x14ac:dyDescent="0.25">
      <c r="B103" s="3" t="s">
        <v>17</v>
      </c>
      <c r="C103" s="3"/>
      <c r="D103" s="31"/>
      <c r="E103" s="31"/>
      <c r="F103" s="45">
        <v>0</v>
      </c>
      <c r="G103" s="31"/>
      <c r="H103" s="45">
        <v>0</v>
      </c>
      <c r="I103" s="31"/>
      <c r="J103" s="45">
        <v>0</v>
      </c>
      <c r="K103" s="31"/>
      <c r="L103" s="45">
        <v>0</v>
      </c>
      <c r="M103" s="31"/>
      <c r="N103" s="45">
        <v>0</v>
      </c>
      <c r="O103" s="31"/>
      <c r="P103" s="45">
        <v>0</v>
      </c>
      <c r="Q103" s="31"/>
      <c r="R103" s="45">
        <v>0</v>
      </c>
      <c r="S103" s="31"/>
      <c r="T103" s="45">
        <v>0</v>
      </c>
      <c r="U103" s="31"/>
      <c r="V103" s="45">
        <v>0</v>
      </c>
      <c r="W103" s="31"/>
      <c r="X103" s="45">
        <v>0</v>
      </c>
      <c r="Y103" s="31"/>
      <c r="Z103" s="45">
        <v>0</v>
      </c>
      <c r="AA103" s="31"/>
      <c r="AB103" s="45">
        <v>0</v>
      </c>
      <c r="AC103" s="31"/>
      <c r="AD103" s="45">
        <v>0</v>
      </c>
      <c r="AE103" s="31"/>
      <c r="AF103" s="45">
        <v>0</v>
      </c>
      <c r="AG103" s="31"/>
      <c r="AH103" s="45">
        <v>0</v>
      </c>
      <c r="AJ103" s="45">
        <v>0</v>
      </c>
      <c r="AL103" s="45">
        <v>0</v>
      </c>
      <c r="AN103" s="45">
        <v>0</v>
      </c>
      <c r="AP103" s="45">
        <v>0</v>
      </c>
      <c r="AR103" s="45">
        <v>0</v>
      </c>
      <c r="AT103" s="45">
        <v>0</v>
      </c>
      <c r="AV103" s="45">
        <v>0</v>
      </c>
      <c r="AX103" s="45">
        <v>0</v>
      </c>
      <c r="AZ103" s="45">
        <v>0</v>
      </c>
      <c r="BB103" s="45">
        <v>0</v>
      </c>
      <c r="BD103" s="45">
        <v>0</v>
      </c>
      <c r="BF103" s="45">
        <v>0</v>
      </c>
      <c r="BH103" s="45">
        <v>0</v>
      </c>
      <c r="BJ103" s="45">
        <v>0</v>
      </c>
      <c r="BL103" s="45">
        <v>0</v>
      </c>
      <c r="BN103" s="43"/>
    </row>
    <row r="104" spans="2:66" s="6" customFormat="1" ht="14.45" customHeight="1" x14ac:dyDescent="0.25">
      <c r="B104" s="6" t="s">
        <v>8</v>
      </c>
      <c r="D104" s="38"/>
      <c r="E104" s="38"/>
      <c r="F104" s="42">
        <f>(F97*((F98*F103)+(F98*F101)+(F99*F102+F100)))</f>
        <v>0</v>
      </c>
      <c r="G104" s="38"/>
      <c r="H104" s="42">
        <f>(H97*((H98*H103)+(H98*H101)+(H99*H102+H100)))</f>
        <v>0</v>
      </c>
      <c r="I104" s="38"/>
      <c r="J104" s="42">
        <f>(J97*((J98*J103)+(J98*J101)+(J99*J102+J100)))</f>
        <v>0</v>
      </c>
      <c r="K104" s="38"/>
      <c r="L104" s="42">
        <f>(L97*((L98*L103)+(L98*L101)+(L99*L102+L100)))</f>
        <v>0</v>
      </c>
      <c r="M104" s="38"/>
      <c r="N104" s="42">
        <f>(N97*((N98*N103)+(N98*N101)+(N99*N102+N100)))</f>
        <v>0</v>
      </c>
      <c r="O104" s="38"/>
      <c r="P104" s="42">
        <f>(P97*((P98*P103)+(P98*P101)+(P99*P102+P100)))</f>
        <v>0</v>
      </c>
      <c r="Q104" s="38"/>
      <c r="R104" s="42">
        <f>(R97*(((R98-2)*R103)+(2*(R103*0.75))+(R98*R101)+(R99*R102+R100)))</f>
        <v>0</v>
      </c>
      <c r="S104" s="38"/>
      <c r="T104" s="42">
        <f>(T97*((T98*T103)+(T98*T101)+(T99*T102+T100)))</f>
        <v>0</v>
      </c>
      <c r="U104" s="38"/>
      <c r="V104" s="42">
        <f>(V97*((V98*V103)+(V98*V101)+(V99*V102+V100)))</f>
        <v>0</v>
      </c>
      <c r="W104" s="38"/>
      <c r="X104" s="42">
        <f>(X97*((X98*X103)+(X98*X101)+(X99*X102+X100)))</f>
        <v>0</v>
      </c>
      <c r="Y104" s="38"/>
      <c r="Z104" s="42">
        <f>(Z97*((Z98*Z103)+(Z98*Z101)+(Z99*Z102+Z100)))</f>
        <v>0</v>
      </c>
      <c r="AA104" s="38"/>
      <c r="AB104" s="42">
        <f>(AB97*((AB98*AB103)+(AB98*AB101)+(AB99*AB102+AB100)))</f>
        <v>0</v>
      </c>
      <c r="AC104" s="38"/>
      <c r="AD104" s="42">
        <f>(AD97*((AD98*AD103)+(AD98*AD101)+(AD99*AD102+AD100)))</f>
        <v>0</v>
      </c>
      <c r="AE104" s="38"/>
      <c r="AF104" s="42">
        <f>(AF97*((AF98*AF103)+(AF98*AF101)+(AF99*AF102+AF100)))</f>
        <v>0</v>
      </c>
      <c r="AG104" s="38"/>
      <c r="AH104" s="42">
        <f>(AH97*((AH98*AH103)+(AH98*AH101)+(AH99*AH102+AH100)))</f>
        <v>0</v>
      </c>
      <c r="AJ104" s="42">
        <f t="shared" ref="AJ104" si="109">(AJ97*((AJ98*AJ103)+(AJ98*AJ101)+(AJ99*AJ102+AJ100)))</f>
        <v>0</v>
      </c>
      <c r="AL104" s="42">
        <f t="shared" ref="AL104" si="110">(AL97*((AL98*AL103)+(AL98*AL101)+(AL99*AL102+AL100)))</f>
        <v>0</v>
      </c>
      <c r="AN104" s="42">
        <f t="shared" ref="AN104" si="111">(AN97*((AN98*AN103)+(AN98*AN101)+(AN99*AN102+AN100)))</f>
        <v>0</v>
      </c>
      <c r="AP104" s="42">
        <f t="shared" ref="AP104" si="112">(AP97*((AP98*AP103)+(AP98*AP101)+(AP99*AP102+AP100)))</f>
        <v>0</v>
      </c>
      <c r="AR104" s="42">
        <f t="shared" ref="AR104" si="113">(AR97*((AR98*AR103)+(AR98*AR101)+(AR99*AR102+AR100)))</f>
        <v>0</v>
      </c>
      <c r="AT104" s="42">
        <f t="shared" ref="AT104" si="114">(AT97*((AT98*AT103)+(AT98*AT101)+(AT99*AT102+AT100)))</f>
        <v>0</v>
      </c>
      <c r="AV104" s="42">
        <f t="shared" ref="AV104" si="115">(AV97*((AV98*AV103)+(AV98*AV101)+(AV99*AV102+AV100)))</f>
        <v>0</v>
      </c>
      <c r="AX104" s="42">
        <f t="shared" ref="AX104" si="116">(AX97*((AX98*AX103)+(AX98*AX101)+(AX99*AX102+AX100)))</f>
        <v>0</v>
      </c>
      <c r="AZ104" s="42">
        <f t="shared" ref="AZ104" si="117">(AZ97*((AZ98*AZ103)+(AZ98*AZ101)+(AZ99*AZ102+AZ100)))</f>
        <v>0</v>
      </c>
      <c r="BB104" s="42">
        <f t="shared" ref="BB104" si="118">(BB97*((BB98*BB103)+(BB98*BB101)+(BB99*BB102+BB100)))</f>
        <v>0</v>
      </c>
      <c r="BD104" s="42">
        <f t="shared" ref="BD104" si="119">(BD97*((BD98*BD103)+(BD98*BD101)+(BD99*BD102+BD100)))</f>
        <v>0</v>
      </c>
      <c r="BF104" s="42">
        <f t="shared" ref="BF104" si="120">(BF97*((BF98*BF103)+(BF98*BF101)+(BF99*BF102+BF100)))</f>
        <v>0</v>
      </c>
      <c r="BH104" s="42">
        <f t="shared" ref="BH104" si="121">(BH97*((BH98*BH103)+(BH98*BH101)+(BH99*BH102+BH100)))</f>
        <v>0</v>
      </c>
      <c r="BJ104" s="42">
        <f t="shared" ref="BJ104" si="122">(BJ97*((BJ98*BJ103)+(BJ98*BJ101)+(BJ99*BJ102+BJ100)))</f>
        <v>0</v>
      </c>
      <c r="BL104" s="42">
        <f t="shared" ref="BL104" si="123">(BL97*((BL98*BL103)+(BL98*BL101)+(BL99*BL102+BL100)))</f>
        <v>0</v>
      </c>
      <c r="BN104" s="84">
        <f>SUMIF(D$32:BO$32,"Dollar Value",D104:BO104)</f>
        <v>0</v>
      </c>
    </row>
    <row r="105" spans="2:66" ht="14.45" customHeight="1" x14ac:dyDescent="0.25">
      <c r="D105" s="31"/>
      <c r="E105" s="31"/>
      <c r="F105" s="35"/>
      <c r="G105" s="31"/>
      <c r="H105" s="35"/>
      <c r="I105" s="31"/>
      <c r="J105" s="35"/>
      <c r="K105" s="31"/>
      <c r="L105" s="35"/>
      <c r="M105" s="31"/>
      <c r="N105" s="35"/>
      <c r="O105" s="31"/>
      <c r="P105" s="35"/>
      <c r="Q105" s="31"/>
      <c r="R105" s="35"/>
      <c r="S105" s="31"/>
      <c r="T105" s="35"/>
      <c r="U105" s="31"/>
      <c r="V105" s="35"/>
      <c r="W105" s="31"/>
      <c r="X105" s="35"/>
      <c r="Y105" s="31"/>
      <c r="Z105" s="35"/>
      <c r="AA105" s="31"/>
      <c r="AB105" s="35"/>
      <c r="AC105" s="31"/>
      <c r="AD105" s="35"/>
      <c r="AE105" s="31"/>
      <c r="AF105" s="35"/>
      <c r="AG105" s="31"/>
      <c r="AH105" s="35"/>
      <c r="AJ105" s="35"/>
      <c r="AL105" s="35"/>
      <c r="AN105" s="35"/>
      <c r="AP105" s="35"/>
      <c r="AR105" s="35"/>
      <c r="AT105" s="35"/>
      <c r="AV105" s="35"/>
      <c r="AX105" s="35"/>
      <c r="AZ105" s="35"/>
      <c r="BB105" s="35"/>
      <c r="BD105" s="35"/>
      <c r="BF105" s="35"/>
      <c r="BH105" s="35"/>
      <c r="BJ105" s="35"/>
      <c r="BL105" s="35"/>
      <c r="BN105" s="43"/>
    </row>
    <row r="106" spans="2:66" ht="14.45" customHeight="1" x14ac:dyDescent="0.25">
      <c r="B106" s="3" t="s">
        <v>18</v>
      </c>
      <c r="C106" s="3"/>
      <c r="D106" s="31"/>
      <c r="E106" s="39"/>
      <c r="F106" s="60" t="s">
        <v>101</v>
      </c>
      <c r="G106" s="39"/>
      <c r="H106" s="60" t="s">
        <v>101</v>
      </c>
      <c r="I106" s="39"/>
      <c r="J106" s="60" t="s">
        <v>101</v>
      </c>
      <c r="K106" s="39"/>
      <c r="L106" s="60" t="s">
        <v>101</v>
      </c>
      <c r="M106" s="39"/>
      <c r="N106" s="59" t="s">
        <v>101</v>
      </c>
      <c r="O106" s="39"/>
      <c r="P106" s="59" t="s">
        <v>101</v>
      </c>
      <c r="Q106" s="39"/>
      <c r="R106" s="59" t="s">
        <v>101</v>
      </c>
      <c r="S106" s="39"/>
      <c r="T106" s="59" t="s">
        <v>101</v>
      </c>
      <c r="U106" s="39"/>
      <c r="V106" s="59" t="s">
        <v>101</v>
      </c>
      <c r="W106" s="39"/>
      <c r="X106" s="46" t="s">
        <v>101</v>
      </c>
      <c r="Y106" s="39"/>
      <c r="Z106" s="46" t="s">
        <v>101</v>
      </c>
      <c r="AA106" s="39"/>
      <c r="AB106" s="46" t="s">
        <v>101</v>
      </c>
      <c r="AC106" s="39"/>
      <c r="AD106" s="46" t="s">
        <v>101</v>
      </c>
      <c r="AE106" s="39"/>
      <c r="AF106" s="46" t="s">
        <v>101</v>
      </c>
      <c r="AG106" s="39"/>
      <c r="AH106" s="59" t="s">
        <v>101</v>
      </c>
      <c r="AI106" s="70"/>
      <c r="AJ106" s="75" t="s">
        <v>101</v>
      </c>
      <c r="AK106" s="70"/>
      <c r="AL106" s="75" t="s">
        <v>101</v>
      </c>
      <c r="AM106" s="70"/>
      <c r="AN106" s="75" t="s">
        <v>101</v>
      </c>
      <c r="AO106" s="70"/>
      <c r="AP106" s="75" t="s">
        <v>101</v>
      </c>
      <c r="AQ106" s="70"/>
      <c r="AR106" s="75" t="s">
        <v>101</v>
      </c>
      <c r="AS106" s="70"/>
      <c r="AT106" s="75" t="s">
        <v>101</v>
      </c>
      <c r="AU106" s="70"/>
      <c r="AV106" s="75" t="s">
        <v>101</v>
      </c>
      <c r="AW106" s="70"/>
      <c r="AX106" s="75" t="s">
        <v>101</v>
      </c>
      <c r="AY106" s="70"/>
      <c r="AZ106" s="75" t="s">
        <v>101</v>
      </c>
      <c r="BA106" s="70"/>
      <c r="BB106" s="75" t="s">
        <v>101</v>
      </c>
      <c r="BC106" s="70"/>
      <c r="BD106" s="75" t="s">
        <v>101</v>
      </c>
      <c r="BE106" s="70"/>
      <c r="BF106" s="75" t="s">
        <v>101</v>
      </c>
      <c r="BG106" s="70"/>
      <c r="BH106" s="75" t="s">
        <v>101</v>
      </c>
      <c r="BI106" s="70"/>
      <c r="BJ106" s="75" t="s">
        <v>101</v>
      </c>
      <c r="BK106" s="70"/>
      <c r="BL106" s="75" t="s">
        <v>101</v>
      </c>
      <c r="BN106" s="43"/>
    </row>
    <row r="107" spans="2:66" ht="14.45" customHeight="1" x14ac:dyDescent="0.25">
      <c r="B107" s="3" t="s">
        <v>13</v>
      </c>
      <c r="C107" s="3"/>
      <c r="D107" s="31"/>
      <c r="E107" s="31"/>
      <c r="F107" s="44">
        <v>0</v>
      </c>
      <c r="G107" s="31"/>
      <c r="H107" s="44">
        <v>0</v>
      </c>
      <c r="I107" s="31"/>
      <c r="J107" s="44">
        <v>0</v>
      </c>
      <c r="K107" s="31"/>
      <c r="L107" s="44">
        <v>0</v>
      </c>
      <c r="M107" s="31"/>
      <c r="N107" s="44">
        <v>0</v>
      </c>
      <c r="O107" s="31"/>
      <c r="P107" s="44">
        <v>0</v>
      </c>
      <c r="Q107" s="31"/>
      <c r="R107" s="44">
        <v>0</v>
      </c>
      <c r="S107" s="31"/>
      <c r="T107" s="44">
        <v>0</v>
      </c>
      <c r="U107" s="31"/>
      <c r="V107" s="44">
        <v>0</v>
      </c>
      <c r="W107" s="31"/>
      <c r="X107" s="44">
        <v>0</v>
      </c>
      <c r="Y107" s="31"/>
      <c r="Z107" s="44">
        <v>0</v>
      </c>
      <c r="AA107" s="31"/>
      <c r="AB107" s="44">
        <v>0</v>
      </c>
      <c r="AC107" s="31"/>
      <c r="AD107" s="44">
        <v>0</v>
      </c>
      <c r="AE107" s="31"/>
      <c r="AF107" s="44">
        <v>0</v>
      </c>
      <c r="AG107" s="31"/>
      <c r="AH107" s="44">
        <v>0</v>
      </c>
      <c r="AJ107" s="44">
        <v>0</v>
      </c>
      <c r="AL107" s="44">
        <v>0</v>
      </c>
      <c r="AN107" s="44">
        <v>0</v>
      </c>
      <c r="AP107" s="44">
        <v>0</v>
      </c>
      <c r="AR107" s="44">
        <v>0</v>
      </c>
      <c r="AT107" s="44">
        <v>0</v>
      </c>
      <c r="AV107" s="44">
        <v>0</v>
      </c>
      <c r="AX107" s="44">
        <v>0</v>
      </c>
      <c r="AZ107" s="44">
        <v>0</v>
      </c>
      <c r="BB107" s="44">
        <v>0</v>
      </c>
      <c r="BD107" s="44">
        <v>0</v>
      </c>
      <c r="BF107" s="44">
        <v>0</v>
      </c>
      <c r="BH107" s="44">
        <v>0</v>
      </c>
      <c r="BJ107" s="44">
        <v>0</v>
      </c>
      <c r="BL107" s="44">
        <v>0</v>
      </c>
      <c r="BN107" s="43"/>
    </row>
    <row r="108" spans="2:66" ht="14.45" customHeight="1" x14ac:dyDescent="0.25">
      <c r="B108" s="3" t="s">
        <v>14</v>
      </c>
      <c r="C108" s="3"/>
      <c r="D108" s="31"/>
      <c r="E108" s="31"/>
      <c r="F108" s="44">
        <v>0</v>
      </c>
      <c r="G108" s="31"/>
      <c r="H108" s="44">
        <v>0</v>
      </c>
      <c r="I108" s="31"/>
      <c r="J108" s="44">
        <v>0</v>
      </c>
      <c r="K108" s="31"/>
      <c r="L108" s="44">
        <v>0</v>
      </c>
      <c r="M108" s="31"/>
      <c r="N108" s="44">
        <v>0</v>
      </c>
      <c r="O108" s="31"/>
      <c r="P108" s="44">
        <v>0</v>
      </c>
      <c r="Q108" s="31"/>
      <c r="R108" s="44">
        <v>0</v>
      </c>
      <c r="S108" s="31"/>
      <c r="T108" s="44">
        <v>0</v>
      </c>
      <c r="U108" s="31"/>
      <c r="V108" s="44">
        <v>0</v>
      </c>
      <c r="W108" s="31"/>
      <c r="X108" s="44">
        <v>0</v>
      </c>
      <c r="Y108" s="31"/>
      <c r="Z108" s="44">
        <v>0</v>
      </c>
      <c r="AA108" s="31"/>
      <c r="AB108" s="44">
        <v>0</v>
      </c>
      <c r="AC108" s="31"/>
      <c r="AD108" s="44">
        <v>0</v>
      </c>
      <c r="AE108" s="31"/>
      <c r="AF108" s="44">
        <v>0</v>
      </c>
      <c r="AG108" s="31"/>
      <c r="AH108" s="44">
        <v>0</v>
      </c>
      <c r="AJ108" s="44">
        <v>0</v>
      </c>
      <c r="AL108" s="44">
        <v>0</v>
      </c>
      <c r="AN108" s="44">
        <v>0</v>
      </c>
      <c r="AP108" s="44">
        <v>0</v>
      </c>
      <c r="AR108" s="44">
        <v>0</v>
      </c>
      <c r="AT108" s="44">
        <v>0</v>
      </c>
      <c r="AV108" s="44">
        <v>0</v>
      </c>
      <c r="AX108" s="44">
        <v>0</v>
      </c>
      <c r="AZ108" s="44">
        <v>0</v>
      </c>
      <c r="BB108" s="44">
        <v>0</v>
      </c>
      <c r="BD108" s="44">
        <v>0</v>
      </c>
      <c r="BF108" s="44">
        <v>0</v>
      </c>
      <c r="BH108" s="44">
        <v>0</v>
      </c>
      <c r="BJ108" s="44">
        <v>0</v>
      </c>
      <c r="BL108" s="44">
        <v>0</v>
      </c>
      <c r="BN108" s="43"/>
    </row>
    <row r="109" spans="2:66" ht="14.45" customHeight="1" x14ac:dyDescent="0.25">
      <c r="B109" s="3" t="s">
        <v>65</v>
      </c>
      <c r="C109" s="3"/>
      <c r="D109" s="31"/>
      <c r="E109" s="31"/>
      <c r="F109" s="44">
        <v>0</v>
      </c>
      <c r="G109" s="31"/>
      <c r="H109" s="44">
        <v>0</v>
      </c>
      <c r="I109" s="31"/>
      <c r="J109" s="44">
        <v>0</v>
      </c>
      <c r="K109" s="31"/>
      <c r="L109" s="44">
        <v>0</v>
      </c>
      <c r="M109" s="31"/>
      <c r="N109" s="44">
        <v>0</v>
      </c>
      <c r="O109" s="31"/>
      <c r="P109" s="44">
        <v>0</v>
      </c>
      <c r="Q109" s="31"/>
      <c r="R109" s="44">
        <v>0</v>
      </c>
      <c r="S109" s="31"/>
      <c r="T109" s="44">
        <v>0</v>
      </c>
      <c r="U109" s="31"/>
      <c r="V109" s="44">
        <v>0</v>
      </c>
      <c r="W109" s="31"/>
      <c r="X109" s="44">
        <v>0</v>
      </c>
      <c r="Y109" s="31"/>
      <c r="Z109" s="44">
        <v>0</v>
      </c>
      <c r="AA109" s="31"/>
      <c r="AB109" s="44">
        <v>0</v>
      </c>
      <c r="AC109" s="31"/>
      <c r="AD109" s="44">
        <v>0</v>
      </c>
      <c r="AE109" s="31"/>
      <c r="AF109" s="44">
        <v>0</v>
      </c>
      <c r="AG109" s="31"/>
      <c r="AH109" s="44">
        <v>0</v>
      </c>
      <c r="AJ109" s="44">
        <v>0</v>
      </c>
      <c r="AL109" s="44">
        <v>0</v>
      </c>
      <c r="AN109" s="44">
        <v>0</v>
      </c>
      <c r="AP109" s="44">
        <v>0</v>
      </c>
      <c r="AR109" s="44">
        <v>0</v>
      </c>
      <c r="AT109" s="44">
        <v>0</v>
      </c>
      <c r="AV109" s="44">
        <v>0</v>
      </c>
      <c r="AX109" s="44">
        <v>0</v>
      </c>
      <c r="AZ109" s="44">
        <v>0</v>
      </c>
      <c r="BB109" s="44">
        <v>0</v>
      </c>
      <c r="BD109" s="44">
        <v>0</v>
      </c>
      <c r="BF109" s="44">
        <v>0</v>
      </c>
      <c r="BH109" s="44">
        <v>0</v>
      </c>
      <c r="BJ109" s="44">
        <v>0</v>
      </c>
      <c r="BL109" s="44">
        <v>0</v>
      </c>
      <c r="BN109" s="43"/>
    </row>
    <row r="110" spans="2:66" ht="14.45" customHeight="1" x14ac:dyDescent="0.25">
      <c r="B110" s="3" t="s">
        <v>67</v>
      </c>
      <c r="C110" s="3"/>
      <c r="D110" s="31"/>
      <c r="E110" s="31"/>
      <c r="F110" s="45">
        <v>0</v>
      </c>
      <c r="G110" s="31"/>
      <c r="H110" s="45">
        <v>0</v>
      </c>
      <c r="I110" s="31"/>
      <c r="J110" s="45">
        <v>0</v>
      </c>
      <c r="K110" s="31"/>
      <c r="L110" s="45">
        <v>0</v>
      </c>
      <c r="M110" s="31"/>
      <c r="N110" s="45">
        <v>0</v>
      </c>
      <c r="O110" s="31"/>
      <c r="P110" s="45">
        <v>0</v>
      </c>
      <c r="Q110" s="31"/>
      <c r="R110" s="45">
        <v>0</v>
      </c>
      <c r="S110" s="31"/>
      <c r="T110" s="45">
        <v>0</v>
      </c>
      <c r="U110" s="31"/>
      <c r="V110" s="45">
        <v>0</v>
      </c>
      <c r="W110" s="31"/>
      <c r="X110" s="45">
        <v>0</v>
      </c>
      <c r="Y110" s="31"/>
      <c r="Z110" s="45">
        <v>0</v>
      </c>
      <c r="AA110" s="31"/>
      <c r="AB110" s="45">
        <v>0</v>
      </c>
      <c r="AC110" s="31"/>
      <c r="AD110" s="45">
        <v>0</v>
      </c>
      <c r="AE110" s="31"/>
      <c r="AF110" s="45">
        <v>0</v>
      </c>
      <c r="AG110" s="31"/>
      <c r="AH110" s="45">
        <v>0</v>
      </c>
      <c r="AJ110" s="45">
        <v>0</v>
      </c>
      <c r="AL110" s="45">
        <v>0</v>
      </c>
      <c r="AN110" s="45">
        <v>0</v>
      </c>
      <c r="AP110" s="45">
        <v>0</v>
      </c>
      <c r="AR110" s="45">
        <v>0</v>
      </c>
      <c r="AT110" s="45">
        <v>0</v>
      </c>
      <c r="AV110" s="45">
        <v>0</v>
      </c>
      <c r="AX110" s="45">
        <v>0</v>
      </c>
      <c r="AZ110" s="45">
        <v>0</v>
      </c>
      <c r="BB110" s="45">
        <v>0</v>
      </c>
      <c r="BD110" s="45">
        <v>0</v>
      </c>
      <c r="BF110" s="45">
        <v>0</v>
      </c>
      <c r="BH110" s="45">
        <v>0</v>
      </c>
      <c r="BJ110" s="45">
        <v>0</v>
      </c>
      <c r="BL110" s="45">
        <v>0</v>
      </c>
      <c r="BN110" s="43"/>
    </row>
    <row r="111" spans="2:66" ht="14.45" customHeight="1" x14ac:dyDescent="0.25">
      <c r="B111" s="3" t="s">
        <v>66</v>
      </c>
      <c r="C111" s="3"/>
      <c r="D111" s="31"/>
      <c r="E111" s="31"/>
      <c r="F111" s="45">
        <v>0</v>
      </c>
      <c r="G111" s="31"/>
      <c r="H111" s="45">
        <v>0</v>
      </c>
      <c r="I111" s="31"/>
      <c r="J111" s="45">
        <v>0</v>
      </c>
      <c r="K111" s="31"/>
      <c r="L111" s="45">
        <v>0</v>
      </c>
      <c r="M111" s="31"/>
      <c r="N111" s="45">
        <v>0</v>
      </c>
      <c r="O111" s="31"/>
      <c r="P111" s="45">
        <v>0</v>
      </c>
      <c r="Q111" s="31"/>
      <c r="R111" s="45">
        <v>0</v>
      </c>
      <c r="S111" s="31"/>
      <c r="T111" s="45">
        <v>0</v>
      </c>
      <c r="U111" s="31"/>
      <c r="V111" s="45">
        <v>0</v>
      </c>
      <c r="W111" s="31"/>
      <c r="X111" s="45">
        <v>0</v>
      </c>
      <c r="Y111" s="31"/>
      <c r="Z111" s="45">
        <v>0</v>
      </c>
      <c r="AA111" s="31"/>
      <c r="AB111" s="45">
        <v>0</v>
      </c>
      <c r="AC111" s="31"/>
      <c r="AD111" s="45">
        <v>0</v>
      </c>
      <c r="AE111" s="31"/>
      <c r="AF111" s="45">
        <v>0</v>
      </c>
      <c r="AG111" s="31"/>
      <c r="AH111" s="45">
        <v>0</v>
      </c>
      <c r="AJ111" s="45">
        <v>0</v>
      </c>
      <c r="AL111" s="45">
        <v>0</v>
      </c>
      <c r="AN111" s="45">
        <v>0</v>
      </c>
      <c r="AP111" s="45">
        <v>0</v>
      </c>
      <c r="AR111" s="45">
        <v>0</v>
      </c>
      <c r="AT111" s="45">
        <v>0</v>
      </c>
      <c r="AV111" s="45">
        <v>0</v>
      </c>
      <c r="AX111" s="45">
        <v>0</v>
      </c>
      <c r="AZ111" s="45">
        <v>0</v>
      </c>
      <c r="BB111" s="45">
        <v>0</v>
      </c>
      <c r="BD111" s="45">
        <v>0</v>
      </c>
      <c r="BF111" s="45">
        <v>0</v>
      </c>
      <c r="BH111" s="45">
        <v>0</v>
      </c>
      <c r="BJ111" s="45">
        <v>0</v>
      </c>
      <c r="BL111" s="45">
        <v>0</v>
      </c>
      <c r="BN111" s="43"/>
    </row>
    <row r="112" spans="2:66" ht="14.45" customHeight="1" x14ac:dyDescent="0.25">
      <c r="B112" s="3" t="s">
        <v>16</v>
      </c>
      <c r="C112" s="3"/>
      <c r="D112" s="31"/>
      <c r="E112" s="31"/>
      <c r="F112" s="45">
        <v>0</v>
      </c>
      <c r="G112" s="31"/>
      <c r="H112" s="45">
        <v>0</v>
      </c>
      <c r="I112" s="31"/>
      <c r="J112" s="45">
        <v>0</v>
      </c>
      <c r="K112" s="31"/>
      <c r="L112" s="45">
        <v>0</v>
      </c>
      <c r="M112" s="31"/>
      <c r="N112" s="45">
        <v>0</v>
      </c>
      <c r="O112" s="31"/>
      <c r="P112" s="45">
        <v>0</v>
      </c>
      <c r="Q112" s="31"/>
      <c r="R112" s="45">
        <v>0</v>
      </c>
      <c r="S112" s="31"/>
      <c r="T112" s="45">
        <v>0</v>
      </c>
      <c r="U112" s="31"/>
      <c r="V112" s="45">
        <v>0</v>
      </c>
      <c r="W112" s="31"/>
      <c r="X112" s="45">
        <v>0</v>
      </c>
      <c r="Y112" s="31"/>
      <c r="Z112" s="45">
        <v>0</v>
      </c>
      <c r="AA112" s="31"/>
      <c r="AB112" s="45">
        <v>0</v>
      </c>
      <c r="AC112" s="31"/>
      <c r="AD112" s="45">
        <v>0</v>
      </c>
      <c r="AE112" s="31"/>
      <c r="AF112" s="45">
        <v>0</v>
      </c>
      <c r="AG112" s="31"/>
      <c r="AH112" s="45">
        <v>0</v>
      </c>
      <c r="AJ112" s="45">
        <v>0</v>
      </c>
      <c r="AL112" s="45">
        <v>0</v>
      </c>
      <c r="AN112" s="45">
        <v>0</v>
      </c>
      <c r="AP112" s="45">
        <v>0</v>
      </c>
      <c r="AR112" s="45">
        <v>0</v>
      </c>
      <c r="AT112" s="45">
        <v>0</v>
      </c>
      <c r="AV112" s="45">
        <v>0</v>
      </c>
      <c r="AX112" s="45">
        <v>0</v>
      </c>
      <c r="AZ112" s="45">
        <v>0</v>
      </c>
      <c r="BB112" s="45">
        <v>0</v>
      </c>
      <c r="BD112" s="45">
        <v>0</v>
      </c>
      <c r="BF112" s="45">
        <v>0</v>
      </c>
      <c r="BH112" s="45">
        <v>0</v>
      </c>
      <c r="BJ112" s="45">
        <v>0</v>
      </c>
      <c r="BL112" s="45">
        <v>0</v>
      </c>
      <c r="BN112" s="43"/>
    </row>
    <row r="113" spans="2:66" ht="14.45" customHeight="1" x14ac:dyDescent="0.25">
      <c r="B113" s="3" t="s">
        <v>17</v>
      </c>
      <c r="C113" s="3"/>
      <c r="D113" s="31"/>
      <c r="E113" s="31"/>
      <c r="F113" s="45">
        <v>0</v>
      </c>
      <c r="G113" s="31"/>
      <c r="H113" s="45">
        <v>0</v>
      </c>
      <c r="I113" s="31"/>
      <c r="J113" s="45">
        <v>0</v>
      </c>
      <c r="K113" s="31"/>
      <c r="L113" s="45">
        <v>0</v>
      </c>
      <c r="M113" s="31"/>
      <c r="N113" s="45">
        <v>0</v>
      </c>
      <c r="O113" s="31"/>
      <c r="P113" s="45">
        <v>0</v>
      </c>
      <c r="Q113" s="31"/>
      <c r="R113" s="45">
        <v>0</v>
      </c>
      <c r="S113" s="31"/>
      <c r="T113" s="45">
        <v>0</v>
      </c>
      <c r="U113" s="31"/>
      <c r="V113" s="45">
        <v>0</v>
      </c>
      <c r="W113" s="31"/>
      <c r="X113" s="45">
        <v>0</v>
      </c>
      <c r="Y113" s="31"/>
      <c r="Z113" s="45">
        <v>0</v>
      </c>
      <c r="AA113" s="31"/>
      <c r="AB113" s="45">
        <v>0</v>
      </c>
      <c r="AC113" s="31"/>
      <c r="AD113" s="45">
        <v>0</v>
      </c>
      <c r="AE113" s="31"/>
      <c r="AF113" s="45">
        <v>0</v>
      </c>
      <c r="AG113" s="31"/>
      <c r="AH113" s="45">
        <v>0</v>
      </c>
      <c r="AJ113" s="45">
        <v>0</v>
      </c>
      <c r="AL113" s="45">
        <v>0</v>
      </c>
      <c r="AN113" s="45">
        <v>0</v>
      </c>
      <c r="AP113" s="45">
        <v>0</v>
      </c>
      <c r="AR113" s="45">
        <v>0</v>
      </c>
      <c r="AT113" s="45">
        <v>0</v>
      </c>
      <c r="AV113" s="45">
        <v>0</v>
      </c>
      <c r="AX113" s="45">
        <v>0</v>
      </c>
      <c r="AZ113" s="45">
        <v>0</v>
      </c>
      <c r="BB113" s="45">
        <v>0</v>
      </c>
      <c r="BD113" s="45">
        <v>0</v>
      </c>
      <c r="BF113" s="45">
        <v>0</v>
      </c>
      <c r="BH113" s="45">
        <v>0</v>
      </c>
      <c r="BJ113" s="45">
        <v>0</v>
      </c>
      <c r="BL113" s="45">
        <v>0</v>
      </c>
      <c r="BN113" s="43"/>
    </row>
    <row r="114" spans="2:66" s="6" customFormat="1" ht="14.45" customHeight="1" x14ac:dyDescent="0.25">
      <c r="B114" s="6" t="s">
        <v>8</v>
      </c>
      <c r="D114" s="38"/>
      <c r="E114" s="38"/>
      <c r="F114" s="42">
        <f>(F107*((F108*F113)+(F108*F111)+(F109*F112+F110)))</f>
        <v>0</v>
      </c>
      <c r="G114" s="38"/>
      <c r="H114" s="42">
        <f>(H107*((H108*H113)+(H108*H111)+(H109*H112+H110)))</f>
        <v>0</v>
      </c>
      <c r="I114" s="38"/>
      <c r="J114" s="42">
        <f>(J107*((J108*J113)+(J108*J111)+(J109*J112+J110)))</f>
        <v>0</v>
      </c>
      <c r="K114" s="38"/>
      <c r="L114" s="42">
        <f>(L107*((L108*L113)+(L108*L111)+(L109*L112+L110)))</f>
        <v>0</v>
      </c>
      <c r="M114" s="38"/>
      <c r="N114" s="42">
        <f>(N107*((N108*N113)+(N108*N111)+(N109*N112+N110)))</f>
        <v>0</v>
      </c>
      <c r="O114" s="38"/>
      <c r="P114" s="42">
        <f>(P107*((P108*P113)+(P108*P111)+(P109*P112+P110)))</f>
        <v>0</v>
      </c>
      <c r="Q114" s="38"/>
      <c r="R114" s="42">
        <f>(R107*((R108*R113)+(R108*R111)+(R109*R112+R110)))</f>
        <v>0</v>
      </c>
      <c r="S114" s="38"/>
      <c r="T114" s="42">
        <f>(T107*((T108*T113)+(T108*T111)+(T109*T112+T110)))</f>
        <v>0</v>
      </c>
      <c r="U114" s="38"/>
      <c r="V114" s="42">
        <f>(V107*((V108*V113)+(V108*V111)+(V109*V112+V110)))</f>
        <v>0</v>
      </c>
      <c r="W114" s="38"/>
      <c r="X114" s="42">
        <f>(X107*((X108*X113)+(X108*X111)+(X109*X112+X110)))</f>
        <v>0</v>
      </c>
      <c r="Y114" s="38"/>
      <c r="Z114" s="42">
        <f>(Z107*((Z108*Z113)+(Z108*Z111)+(Z109*Z112+Z110)))</f>
        <v>0</v>
      </c>
      <c r="AA114" s="38"/>
      <c r="AB114" s="42">
        <f>(AB107*((AB108*AB113)+(AB108*AB111)+(AB109*AB112+AB110)))</f>
        <v>0</v>
      </c>
      <c r="AC114" s="38"/>
      <c r="AD114" s="42">
        <f>(AD107*((AD108*AD113)+(AD108*AD111)+(AD109*AD112+AD110)))</f>
        <v>0</v>
      </c>
      <c r="AE114" s="38"/>
      <c r="AF114" s="42">
        <f>(AF107*((AF108*AF113)+(AF108*AF111)+(AF109*AF112+AF110)))</f>
        <v>0</v>
      </c>
      <c r="AG114" s="38"/>
      <c r="AH114" s="42">
        <f>(AH107*((AH108*AH113)+(AH108*AH111)+(AH109*AH112+AH110)))</f>
        <v>0</v>
      </c>
      <c r="AJ114" s="42">
        <f t="shared" ref="AJ114" si="124">(AJ107*((AJ108*AJ113)+(AJ108*AJ111)+(AJ109*AJ112+AJ110)))</f>
        <v>0</v>
      </c>
      <c r="AL114" s="42">
        <f t="shared" ref="AL114" si="125">(AL107*((AL108*AL113)+(AL108*AL111)+(AL109*AL112+AL110)))</f>
        <v>0</v>
      </c>
      <c r="AN114" s="42">
        <f t="shared" ref="AN114" si="126">(AN107*((AN108*AN113)+(AN108*AN111)+(AN109*AN112+AN110)))</f>
        <v>0</v>
      </c>
      <c r="AP114" s="42">
        <f t="shared" ref="AP114" si="127">(AP107*((AP108*AP113)+(AP108*AP111)+(AP109*AP112+AP110)))</f>
        <v>0</v>
      </c>
      <c r="AR114" s="42">
        <f t="shared" ref="AR114" si="128">(AR107*((AR108*AR113)+(AR108*AR111)+(AR109*AR112+AR110)))</f>
        <v>0</v>
      </c>
      <c r="AT114" s="42">
        <f t="shared" ref="AT114" si="129">(AT107*((AT108*AT113)+(AT108*AT111)+(AT109*AT112+AT110)))</f>
        <v>0</v>
      </c>
      <c r="AV114" s="42">
        <f t="shared" ref="AV114" si="130">(AV107*((AV108*AV113)+(AV108*AV111)+(AV109*AV112+AV110)))</f>
        <v>0</v>
      </c>
      <c r="AX114" s="42">
        <f t="shared" ref="AX114" si="131">(AX107*((AX108*AX113)+(AX108*AX111)+(AX109*AX112+AX110)))</f>
        <v>0</v>
      </c>
      <c r="AZ114" s="42">
        <f t="shared" ref="AZ114" si="132">(AZ107*((AZ108*AZ113)+(AZ108*AZ111)+(AZ109*AZ112+AZ110)))</f>
        <v>0</v>
      </c>
      <c r="BB114" s="42">
        <f t="shared" ref="BB114" si="133">(BB107*((BB108*BB113)+(BB108*BB111)+(BB109*BB112+BB110)))</f>
        <v>0</v>
      </c>
      <c r="BD114" s="42">
        <f t="shared" ref="BD114" si="134">(BD107*((BD108*BD113)+(BD108*BD111)+(BD109*BD112+BD110)))</f>
        <v>0</v>
      </c>
      <c r="BF114" s="42">
        <f t="shared" ref="BF114" si="135">(BF107*((BF108*BF113)+(BF108*BF111)+(BF109*BF112+BF110)))</f>
        <v>0</v>
      </c>
      <c r="BH114" s="42">
        <f t="shared" ref="BH114" si="136">(BH107*((BH108*BH113)+(BH108*BH111)+(BH109*BH112+BH110)))</f>
        <v>0</v>
      </c>
      <c r="BJ114" s="42">
        <f t="shared" ref="BJ114" si="137">(BJ107*((BJ108*BJ113)+(BJ108*BJ111)+(BJ109*BJ112+BJ110)))</f>
        <v>0</v>
      </c>
      <c r="BL114" s="42">
        <f t="shared" ref="BL114" si="138">(BL107*((BL108*BL113)+(BL108*BL111)+(BL109*BL112+BL110)))</f>
        <v>0</v>
      </c>
      <c r="BN114" s="84">
        <f>SUMIF(D$32:BO$32,"Dollar Value",D114:BO114)</f>
        <v>0</v>
      </c>
    </row>
    <row r="115" spans="2:66" ht="14.45" hidden="1" customHeight="1" x14ac:dyDescent="0.25">
      <c r="D115" s="31"/>
      <c r="E115" s="31"/>
      <c r="F115" s="42"/>
      <c r="G115" s="38"/>
      <c r="H115" s="42"/>
      <c r="I115" s="38"/>
      <c r="J115" s="42"/>
      <c r="K115" s="38"/>
      <c r="L115" s="42"/>
      <c r="M115" s="38"/>
      <c r="N115" s="42"/>
      <c r="O115" s="38"/>
      <c r="P115" s="42"/>
      <c r="Q115" s="38"/>
      <c r="R115" s="42"/>
      <c r="S115" s="38"/>
      <c r="T115" s="42"/>
      <c r="U115" s="38"/>
      <c r="V115" s="42"/>
      <c r="W115" s="38"/>
      <c r="X115" s="42"/>
      <c r="Y115" s="38"/>
      <c r="Z115" s="42"/>
      <c r="AA115" s="38"/>
      <c r="AB115" s="42"/>
      <c r="AC115" s="38"/>
      <c r="AD115" s="42"/>
      <c r="AE115" s="38"/>
      <c r="AF115" s="42"/>
      <c r="AG115" s="38"/>
      <c r="AH115" s="42"/>
      <c r="AI115" s="6"/>
      <c r="AJ115" s="42"/>
      <c r="AK115" s="6"/>
      <c r="AL115" s="42"/>
      <c r="AM115" s="6"/>
      <c r="AN115" s="42"/>
      <c r="AO115" s="6"/>
      <c r="AP115" s="42"/>
      <c r="AQ115" s="6"/>
      <c r="AR115" s="42"/>
      <c r="AS115" s="6"/>
      <c r="AT115" s="42"/>
      <c r="AU115" s="6"/>
      <c r="AV115" s="42"/>
      <c r="AW115" s="6"/>
      <c r="AX115" s="42"/>
      <c r="AY115" s="6"/>
      <c r="AZ115" s="42"/>
      <c r="BA115" s="6"/>
      <c r="BB115" s="42"/>
      <c r="BC115" s="6"/>
      <c r="BD115" s="42"/>
      <c r="BE115" s="6"/>
      <c r="BF115" s="42"/>
      <c r="BG115" s="6"/>
      <c r="BH115" s="42"/>
      <c r="BI115" s="6"/>
      <c r="BJ115" s="42"/>
      <c r="BK115" s="6"/>
      <c r="BL115" s="42"/>
      <c r="BM115" s="6"/>
      <c r="BN115" s="84">
        <f>SUMIF(D$32:BO$32,"Dollar Value",D115:BO115)</f>
        <v>0</v>
      </c>
    </row>
    <row r="116" spans="2:66" ht="14.45" hidden="1" customHeight="1" x14ac:dyDescent="0.25">
      <c r="B116" s="3" t="s">
        <v>85</v>
      </c>
      <c r="C116" s="3"/>
      <c r="D116" s="31"/>
      <c r="E116" s="39"/>
      <c r="F116" s="60" t="s">
        <v>101</v>
      </c>
      <c r="G116" s="39"/>
      <c r="H116" s="59" t="s">
        <v>101</v>
      </c>
      <c r="I116" s="39"/>
      <c r="J116" s="59" t="s">
        <v>101</v>
      </c>
      <c r="K116" s="39"/>
      <c r="L116" s="59" t="s">
        <v>101</v>
      </c>
      <c r="M116" s="39"/>
      <c r="N116" s="59" t="s">
        <v>101</v>
      </c>
      <c r="O116" s="39"/>
      <c r="P116" s="59" t="s">
        <v>101</v>
      </c>
      <c r="Q116" s="39"/>
      <c r="R116" s="59" t="s">
        <v>101</v>
      </c>
      <c r="S116" s="39"/>
      <c r="T116" s="59" t="s">
        <v>101</v>
      </c>
      <c r="U116" s="39"/>
      <c r="V116" s="59" t="s">
        <v>101</v>
      </c>
      <c r="W116" s="39"/>
      <c r="X116" s="46" t="s">
        <v>101</v>
      </c>
      <c r="Y116" s="39"/>
      <c r="Z116" s="46" t="s">
        <v>101</v>
      </c>
      <c r="AA116" s="39"/>
      <c r="AB116" s="46" t="s">
        <v>101</v>
      </c>
      <c r="AC116" s="39"/>
      <c r="AD116" s="46" t="s">
        <v>101</v>
      </c>
      <c r="AE116" s="39"/>
      <c r="AF116" s="46" t="s">
        <v>101</v>
      </c>
      <c r="AG116" s="39"/>
      <c r="AH116" s="59" t="s">
        <v>101</v>
      </c>
      <c r="AI116" s="70"/>
      <c r="AJ116" s="75" t="s">
        <v>101</v>
      </c>
      <c r="AK116" s="70"/>
      <c r="AL116" s="75" t="s">
        <v>101</v>
      </c>
      <c r="AM116" s="70"/>
      <c r="AN116" s="75" t="s">
        <v>101</v>
      </c>
      <c r="AO116" s="70"/>
      <c r="AP116" s="75" t="s">
        <v>101</v>
      </c>
      <c r="AQ116" s="70"/>
      <c r="AR116" s="75" t="s">
        <v>101</v>
      </c>
      <c r="AS116" s="70"/>
      <c r="AT116" s="75" t="s">
        <v>101</v>
      </c>
      <c r="AU116" s="70"/>
      <c r="AV116" s="75" t="s">
        <v>101</v>
      </c>
      <c r="AW116" s="70"/>
      <c r="AX116" s="75" t="s">
        <v>101</v>
      </c>
      <c r="AY116" s="70"/>
      <c r="AZ116" s="75" t="s">
        <v>101</v>
      </c>
      <c r="BA116" s="70"/>
      <c r="BB116" s="75" t="s">
        <v>101</v>
      </c>
      <c r="BC116" s="70"/>
      <c r="BD116" s="75" t="s">
        <v>101</v>
      </c>
      <c r="BE116" s="70"/>
      <c r="BF116" s="75" t="s">
        <v>101</v>
      </c>
      <c r="BG116" s="70"/>
      <c r="BH116" s="75" t="s">
        <v>101</v>
      </c>
      <c r="BI116" s="70"/>
      <c r="BJ116" s="75" t="s">
        <v>101</v>
      </c>
      <c r="BK116" s="70"/>
      <c r="BL116" s="75" t="s">
        <v>101</v>
      </c>
      <c r="BN116" s="43"/>
    </row>
    <row r="117" spans="2:66" ht="14.45" hidden="1" customHeight="1" x14ac:dyDescent="0.25">
      <c r="B117" s="3" t="s">
        <v>13</v>
      </c>
      <c r="C117" s="3"/>
      <c r="D117" s="31"/>
      <c r="E117" s="31"/>
      <c r="F117" s="44">
        <v>0</v>
      </c>
      <c r="G117" s="31"/>
      <c r="H117" s="44">
        <v>0</v>
      </c>
      <c r="I117" s="31"/>
      <c r="J117" s="44">
        <v>0</v>
      </c>
      <c r="K117" s="31"/>
      <c r="L117" s="44">
        <v>0</v>
      </c>
      <c r="M117" s="31"/>
      <c r="N117" s="44">
        <v>0</v>
      </c>
      <c r="O117" s="31"/>
      <c r="P117" s="44">
        <v>0</v>
      </c>
      <c r="Q117" s="31"/>
      <c r="R117" s="44">
        <v>0</v>
      </c>
      <c r="S117" s="31"/>
      <c r="T117" s="44">
        <v>0</v>
      </c>
      <c r="U117" s="31"/>
      <c r="V117" s="44">
        <v>0</v>
      </c>
      <c r="W117" s="31"/>
      <c r="X117" s="44">
        <v>0</v>
      </c>
      <c r="Y117" s="31"/>
      <c r="Z117" s="44">
        <v>0</v>
      </c>
      <c r="AA117" s="31"/>
      <c r="AB117" s="44">
        <v>0</v>
      </c>
      <c r="AC117" s="31"/>
      <c r="AD117" s="44">
        <v>0</v>
      </c>
      <c r="AE117" s="31"/>
      <c r="AF117" s="44">
        <v>0</v>
      </c>
      <c r="AG117" s="31"/>
      <c r="AH117" s="44">
        <v>0</v>
      </c>
      <c r="AJ117" s="44">
        <v>0</v>
      </c>
      <c r="AL117" s="44">
        <v>0</v>
      </c>
      <c r="AN117" s="44">
        <v>0</v>
      </c>
      <c r="AP117" s="44">
        <v>0</v>
      </c>
      <c r="AR117" s="44">
        <v>0</v>
      </c>
      <c r="AT117" s="44">
        <v>0</v>
      </c>
      <c r="AV117" s="44">
        <v>0</v>
      </c>
      <c r="AX117" s="44">
        <v>0</v>
      </c>
      <c r="AZ117" s="44">
        <v>0</v>
      </c>
      <c r="BB117" s="44">
        <v>0</v>
      </c>
      <c r="BD117" s="44">
        <v>0</v>
      </c>
      <c r="BF117" s="44">
        <v>0</v>
      </c>
      <c r="BH117" s="44">
        <v>0</v>
      </c>
      <c r="BJ117" s="44">
        <v>0</v>
      </c>
      <c r="BL117" s="44">
        <v>0</v>
      </c>
      <c r="BN117" s="43"/>
    </row>
    <row r="118" spans="2:66" ht="14.45" hidden="1" customHeight="1" x14ac:dyDescent="0.25">
      <c r="B118" s="3" t="s">
        <v>14</v>
      </c>
      <c r="C118" s="3"/>
      <c r="D118" s="31"/>
      <c r="E118" s="31"/>
      <c r="F118" s="44">
        <v>0</v>
      </c>
      <c r="G118" s="31"/>
      <c r="H118" s="44">
        <v>0</v>
      </c>
      <c r="I118" s="31"/>
      <c r="J118" s="44">
        <v>0</v>
      </c>
      <c r="K118" s="31"/>
      <c r="L118" s="44">
        <v>0</v>
      </c>
      <c r="M118" s="31"/>
      <c r="N118" s="44">
        <v>0</v>
      </c>
      <c r="O118" s="31"/>
      <c r="P118" s="44">
        <v>0</v>
      </c>
      <c r="Q118" s="31"/>
      <c r="R118" s="44">
        <v>0</v>
      </c>
      <c r="S118" s="31"/>
      <c r="T118" s="44">
        <v>0</v>
      </c>
      <c r="U118" s="31"/>
      <c r="V118" s="44">
        <v>0</v>
      </c>
      <c r="W118" s="31"/>
      <c r="X118" s="44">
        <v>0</v>
      </c>
      <c r="Y118" s="31"/>
      <c r="Z118" s="44">
        <v>0</v>
      </c>
      <c r="AA118" s="31"/>
      <c r="AB118" s="44">
        <v>0</v>
      </c>
      <c r="AC118" s="31"/>
      <c r="AD118" s="44">
        <v>0</v>
      </c>
      <c r="AE118" s="31"/>
      <c r="AF118" s="44">
        <v>0</v>
      </c>
      <c r="AG118" s="31"/>
      <c r="AH118" s="44">
        <v>0</v>
      </c>
      <c r="AJ118" s="44">
        <v>0</v>
      </c>
      <c r="AL118" s="44">
        <v>0</v>
      </c>
      <c r="AN118" s="44">
        <v>0</v>
      </c>
      <c r="AP118" s="44">
        <v>0</v>
      </c>
      <c r="AR118" s="44">
        <v>0</v>
      </c>
      <c r="AT118" s="44">
        <v>0</v>
      </c>
      <c r="AV118" s="44">
        <v>0</v>
      </c>
      <c r="AX118" s="44">
        <v>0</v>
      </c>
      <c r="AZ118" s="44">
        <v>0</v>
      </c>
      <c r="BB118" s="44">
        <v>0</v>
      </c>
      <c r="BD118" s="44">
        <v>0</v>
      </c>
      <c r="BF118" s="44">
        <v>0</v>
      </c>
      <c r="BH118" s="44">
        <v>0</v>
      </c>
      <c r="BJ118" s="44">
        <v>0</v>
      </c>
      <c r="BL118" s="44">
        <v>0</v>
      </c>
      <c r="BN118" s="43"/>
    </row>
    <row r="119" spans="2:66" ht="14.45" hidden="1" customHeight="1" x14ac:dyDescent="0.25">
      <c r="B119" s="3" t="s">
        <v>65</v>
      </c>
      <c r="C119" s="3"/>
      <c r="D119" s="31"/>
      <c r="E119" s="31"/>
      <c r="F119" s="44">
        <v>0</v>
      </c>
      <c r="G119" s="31"/>
      <c r="H119" s="44">
        <v>0</v>
      </c>
      <c r="I119" s="31"/>
      <c r="J119" s="44">
        <v>0</v>
      </c>
      <c r="K119" s="31"/>
      <c r="L119" s="44">
        <v>0</v>
      </c>
      <c r="M119" s="31"/>
      <c r="N119" s="44">
        <v>0</v>
      </c>
      <c r="O119" s="31"/>
      <c r="P119" s="44">
        <v>0</v>
      </c>
      <c r="Q119" s="31"/>
      <c r="R119" s="44">
        <v>0</v>
      </c>
      <c r="S119" s="31"/>
      <c r="T119" s="44">
        <v>0</v>
      </c>
      <c r="U119" s="31"/>
      <c r="V119" s="44">
        <v>0</v>
      </c>
      <c r="W119" s="31"/>
      <c r="X119" s="44">
        <v>0</v>
      </c>
      <c r="Y119" s="31"/>
      <c r="Z119" s="44">
        <v>0</v>
      </c>
      <c r="AA119" s="31"/>
      <c r="AB119" s="44">
        <v>0</v>
      </c>
      <c r="AC119" s="31"/>
      <c r="AD119" s="44">
        <v>0</v>
      </c>
      <c r="AE119" s="31"/>
      <c r="AF119" s="44">
        <v>0</v>
      </c>
      <c r="AG119" s="31"/>
      <c r="AH119" s="44">
        <v>0</v>
      </c>
      <c r="AJ119" s="44">
        <v>0</v>
      </c>
      <c r="AL119" s="44">
        <v>0</v>
      </c>
      <c r="AN119" s="44">
        <v>0</v>
      </c>
      <c r="AP119" s="44">
        <v>0</v>
      </c>
      <c r="AR119" s="44">
        <v>0</v>
      </c>
      <c r="AT119" s="44">
        <v>0</v>
      </c>
      <c r="AV119" s="44">
        <v>0</v>
      </c>
      <c r="AX119" s="44">
        <v>0</v>
      </c>
      <c r="AZ119" s="44">
        <v>0</v>
      </c>
      <c r="BB119" s="44">
        <v>0</v>
      </c>
      <c r="BD119" s="44">
        <v>0</v>
      </c>
      <c r="BF119" s="44">
        <v>0</v>
      </c>
      <c r="BH119" s="44">
        <v>0</v>
      </c>
      <c r="BJ119" s="44">
        <v>0</v>
      </c>
      <c r="BL119" s="44">
        <v>0</v>
      </c>
      <c r="BN119" s="43"/>
    </row>
    <row r="120" spans="2:66" ht="14.45" hidden="1" customHeight="1" x14ac:dyDescent="0.25">
      <c r="B120" s="3" t="s">
        <v>67</v>
      </c>
      <c r="C120" s="3"/>
      <c r="D120" s="31"/>
      <c r="E120" s="31"/>
      <c r="F120" s="45">
        <v>0</v>
      </c>
      <c r="G120" s="31"/>
      <c r="H120" s="45">
        <v>0</v>
      </c>
      <c r="I120" s="31"/>
      <c r="J120" s="45">
        <v>0</v>
      </c>
      <c r="K120" s="31"/>
      <c r="L120" s="45">
        <v>0</v>
      </c>
      <c r="M120" s="31"/>
      <c r="N120" s="45">
        <v>0</v>
      </c>
      <c r="O120" s="31"/>
      <c r="P120" s="45">
        <v>0</v>
      </c>
      <c r="Q120" s="31"/>
      <c r="R120" s="45">
        <v>0</v>
      </c>
      <c r="S120" s="31"/>
      <c r="T120" s="45">
        <v>0</v>
      </c>
      <c r="U120" s="31"/>
      <c r="V120" s="45">
        <v>0</v>
      </c>
      <c r="W120" s="31"/>
      <c r="X120" s="45">
        <v>0</v>
      </c>
      <c r="Y120" s="31"/>
      <c r="Z120" s="45">
        <v>0</v>
      </c>
      <c r="AA120" s="31"/>
      <c r="AB120" s="45">
        <v>0</v>
      </c>
      <c r="AC120" s="31"/>
      <c r="AD120" s="45">
        <v>0</v>
      </c>
      <c r="AE120" s="31"/>
      <c r="AF120" s="45">
        <v>0</v>
      </c>
      <c r="AG120" s="31"/>
      <c r="AH120" s="45">
        <v>0</v>
      </c>
      <c r="AJ120" s="45">
        <v>0</v>
      </c>
      <c r="AL120" s="45">
        <v>0</v>
      </c>
      <c r="AN120" s="45">
        <v>0</v>
      </c>
      <c r="AP120" s="45">
        <v>0</v>
      </c>
      <c r="AR120" s="45">
        <v>0</v>
      </c>
      <c r="AT120" s="45">
        <v>0</v>
      </c>
      <c r="AV120" s="45">
        <v>0</v>
      </c>
      <c r="AX120" s="45">
        <v>0</v>
      </c>
      <c r="AZ120" s="45">
        <v>0</v>
      </c>
      <c r="BB120" s="45">
        <v>0</v>
      </c>
      <c r="BD120" s="45">
        <v>0</v>
      </c>
      <c r="BF120" s="45">
        <v>0</v>
      </c>
      <c r="BH120" s="45">
        <v>0</v>
      </c>
      <c r="BJ120" s="45">
        <v>0</v>
      </c>
      <c r="BL120" s="45">
        <v>0</v>
      </c>
      <c r="BN120" s="43"/>
    </row>
    <row r="121" spans="2:66" ht="14.45" hidden="1" customHeight="1" x14ac:dyDescent="0.25">
      <c r="B121" s="3" t="s">
        <v>66</v>
      </c>
      <c r="C121" s="3"/>
      <c r="D121" s="31"/>
      <c r="E121" s="31"/>
      <c r="F121" s="45">
        <v>0</v>
      </c>
      <c r="G121" s="31"/>
      <c r="H121" s="45">
        <v>0</v>
      </c>
      <c r="I121" s="31"/>
      <c r="J121" s="45">
        <v>0</v>
      </c>
      <c r="K121" s="31"/>
      <c r="L121" s="45">
        <v>0</v>
      </c>
      <c r="M121" s="31"/>
      <c r="N121" s="45">
        <v>0</v>
      </c>
      <c r="O121" s="31"/>
      <c r="P121" s="45">
        <v>0</v>
      </c>
      <c r="Q121" s="31"/>
      <c r="R121" s="45">
        <v>0</v>
      </c>
      <c r="S121" s="31"/>
      <c r="T121" s="45">
        <v>0</v>
      </c>
      <c r="U121" s="31"/>
      <c r="V121" s="45">
        <v>0</v>
      </c>
      <c r="W121" s="31"/>
      <c r="X121" s="45">
        <v>0</v>
      </c>
      <c r="Y121" s="31"/>
      <c r="Z121" s="45">
        <v>0</v>
      </c>
      <c r="AA121" s="31"/>
      <c r="AB121" s="45">
        <v>0</v>
      </c>
      <c r="AC121" s="31"/>
      <c r="AD121" s="45">
        <v>0</v>
      </c>
      <c r="AE121" s="31"/>
      <c r="AF121" s="45">
        <v>0</v>
      </c>
      <c r="AG121" s="31"/>
      <c r="AH121" s="45">
        <v>0</v>
      </c>
      <c r="AJ121" s="45">
        <v>0</v>
      </c>
      <c r="AL121" s="45">
        <v>0</v>
      </c>
      <c r="AN121" s="45">
        <v>0</v>
      </c>
      <c r="AP121" s="45">
        <v>0</v>
      </c>
      <c r="AR121" s="45">
        <v>0</v>
      </c>
      <c r="AT121" s="45">
        <v>0</v>
      </c>
      <c r="AV121" s="45">
        <v>0</v>
      </c>
      <c r="AX121" s="45">
        <v>0</v>
      </c>
      <c r="AZ121" s="45">
        <v>0</v>
      </c>
      <c r="BB121" s="45">
        <v>0</v>
      </c>
      <c r="BD121" s="45">
        <v>0</v>
      </c>
      <c r="BF121" s="45">
        <v>0</v>
      </c>
      <c r="BH121" s="45">
        <v>0</v>
      </c>
      <c r="BJ121" s="45">
        <v>0</v>
      </c>
      <c r="BL121" s="45">
        <v>0</v>
      </c>
      <c r="BN121" s="43"/>
    </row>
    <row r="122" spans="2:66" ht="14.45" hidden="1" customHeight="1" x14ac:dyDescent="0.25">
      <c r="B122" s="3" t="s">
        <v>16</v>
      </c>
      <c r="C122" s="3"/>
      <c r="D122" s="31"/>
      <c r="E122" s="31"/>
      <c r="F122" s="45">
        <v>0</v>
      </c>
      <c r="G122" s="31"/>
      <c r="H122" s="45">
        <v>0</v>
      </c>
      <c r="I122" s="31"/>
      <c r="J122" s="45">
        <v>0</v>
      </c>
      <c r="K122" s="31"/>
      <c r="L122" s="45">
        <v>0</v>
      </c>
      <c r="M122" s="31"/>
      <c r="N122" s="45">
        <v>0</v>
      </c>
      <c r="O122" s="31"/>
      <c r="P122" s="45">
        <v>0</v>
      </c>
      <c r="Q122" s="31"/>
      <c r="R122" s="45">
        <v>0</v>
      </c>
      <c r="S122" s="31"/>
      <c r="T122" s="45">
        <v>0</v>
      </c>
      <c r="U122" s="31"/>
      <c r="V122" s="45">
        <v>0</v>
      </c>
      <c r="W122" s="31"/>
      <c r="X122" s="45">
        <v>0</v>
      </c>
      <c r="Y122" s="31"/>
      <c r="Z122" s="45">
        <v>0</v>
      </c>
      <c r="AA122" s="31"/>
      <c r="AB122" s="45">
        <v>0</v>
      </c>
      <c r="AC122" s="31"/>
      <c r="AD122" s="45">
        <v>0</v>
      </c>
      <c r="AE122" s="31"/>
      <c r="AF122" s="45">
        <v>0</v>
      </c>
      <c r="AG122" s="31"/>
      <c r="AH122" s="45">
        <v>0</v>
      </c>
      <c r="AJ122" s="45">
        <v>0</v>
      </c>
      <c r="AL122" s="45">
        <v>0</v>
      </c>
      <c r="AN122" s="45">
        <v>0</v>
      </c>
      <c r="AP122" s="45">
        <v>0</v>
      </c>
      <c r="AR122" s="45">
        <v>0</v>
      </c>
      <c r="AT122" s="45">
        <v>0</v>
      </c>
      <c r="AV122" s="45">
        <v>0</v>
      </c>
      <c r="AX122" s="45">
        <v>0</v>
      </c>
      <c r="AZ122" s="45">
        <v>0</v>
      </c>
      <c r="BB122" s="45">
        <v>0</v>
      </c>
      <c r="BD122" s="45">
        <v>0</v>
      </c>
      <c r="BF122" s="45">
        <v>0</v>
      </c>
      <c r="BH122" s="45">
        <v>0</v>
      </c>
      <c r="BJ122" s="45">
        <v>0</v>
      </c>
      <c r="BL122" s="45">
        <v>0</v>
      </c>
      <c r="BN122" s="43"/>
    </row>
    <row r="123" spans="2:66" ht="14.45" hidden="1" customHeight="1" x14ac:dyDescent="0.25">
      <c r="B123" s="3" t="s">
        <v>17</v>
      </c>
      <c r="C123" s="3"/>
      <c r="D123" s="31"/>
      <c r="E123" s="31"/>
      <c r="F123" s="45">
        <v>0</v>
      </c>
      <c r="G123" s="31"/>
      <c r="H123" s="45">
        <v>0</v>
      </c>
      <c r="I123" s="31"/>
      <c r="J123" s="45">
        <v>0</v>
      </c>
      <c r="K123" s="31"/>
      <c r="L123" s="45">
        <v>0</v>
      </c>
      <c r="M123" s="31"/>
      <c r="N123" s="45">
        <v>0</v>
      </c>
      <c r="O123" s="31"/>
      <c r="P123" s="45">
        <v>0</v>
      </c>
      <c r="Q123" s="31"/>
      <c r="R123" s="45">
        <v>0</v>
      </c>
      <c r="S123" s="31"/>
      <c r="T123" s="45">
        <v>0</v>
      </c>
      <c r="U123" s="31"/>
      <c r="V123" s="45">
        <v>0</v>
      </c>
      <c r="W123" s="31"/>
      <c r="X123" s="45">
        <v>0</v>
      </c>
      <c r="Y123" s="31"/>
      <c r="Z123" s="45">
        <v>0</v>
      </c>
      <c r="AA123" s="31"/>
      <c r="AB123" s="45">
        <v>0</v>
      </c>
      <c r="AC123" s="31"/>
      <c r="AD123" s="45">
        <v>0</v>
      </c>
      <c r="AE123" s="31"/>
      <c r="AF123" s="45">
        <v>0</v>
      </c>
      <c r="AG123" s="31"/>
      <c r="AH123" s="45">
        <v>0</v>
      </c>
      <c r="AJ123" s="45">
        <v>0</v>
      </c>
      <c r="AL123" s="45">
        <v>0</v>
      </c>
      <c r="AN123" s="45">
        <v>0</v>
      </c>
      <c r="AP123" s="45">
        <v>0</v>
      </c>
      <c r="AR123" s="45">
        <v>0</v>
      </c>
      <c r="AT123" s="45">
        <v>0</v>
      </c>
      <c r="AV123" s="45">
        <v>0</v>
      </c>
      <c r="AX123" s="45">
        <v>0</v>
      </c>
      <c r="AZ123" s="45">
        <v>0</v>
      </c>
      <c r="BB123" s="45">
        <v>0</v>
      </c>
      <c r="BD123" s="45">
        <v>0</v>
      </c>
      <c r="BF123" s="45">
        <v>0</v>
      </c>
      <c r="BH123" s="45">
        <v>0</v>
      </c>
      <c r="BJ123" s="45">
        <v>0</v>
      </c>
      <c r="BL123" s="45">
        <v>0</v>
      </c>
      <c r="BN123" s="43"/>
    </row>
    <row r="124" spans="2:66" s="6" customFormat="1" ht="14.45" hidden="1" customHeight="1" x14ac:dyDescent="0.25">
      <c r="B124" s="6" t="s">
        <v>8</v>
      </c>
      <c r="D124" s="38"/>
      <c r="E124" s="38"/>
      <c r="F124" s="42">
        <f>(F117*((F118*F123)+(F118*F121)+(F119*F122+F120)))</f>
        <v>0</v>
      </c>
      <c r="G124" s="38"/>
      <c r="H124" s="42">
        <f>(H117*((H118*H123)+(H118*H121)+(H119*H122+H120)))</f>
        <v>0</v>
      </c>
      <c r="I124" s="38"/>
      <c r="J124" s="42">
        <f>(J117*((J118*J123)+(J118*J121)+(J119*J122+J120)))</f>
        <v>0</v>
      </c>
      <c r="K124" s="38"/>
      <c r="L124" s="42">
        <f>(L117*((L118*L123)+(L118*L121)+(L119*L122+L120)))</f>
        <v>0</v>
      </c>
      <c r="M124" s="38"/>
      <c r="N124" s="42">
        <f>(N117*((N118*N123)+(N118*N121)+(N119*N122+N120)))</f>
        <v>0</v>
      </c>
      <c r="O124" s="38"/>
      <c r="P124" s="42">
        <f>(P117*((P118*P123)+(P118*P121)+(P119*P122+P120)))</f>
        <v>0</v>
      </c>
      <c r="Q124" s="38"/>
      <c r="R124" s="42">
        <f>(R117*((R118*R123)+(R118*R121)+(R119*R122+R120)))</f>
        <v>0</v>
      </c>
      <c r="S124" s="38"/>
      <c r="T124" s="42">
        <f>(T117*((T118*T123)+(T118*T121)+(T119*T122+T120)))</f>
        <v>0</v>
      </c>
      <c r="U124" s="38"/>
      <c r="V124" s="42">
        <f>(V117*((V118*V123)+(V118*V121)+(V119*V122+V120)))</f>
        <v>0</v>
      </c>
      <c r="W124" s="38"/>
      <c r="X124" s="42">
        <f>(X117*((X118*X123)+(X118*X121)+(X119*X122+X120)))</f>
        <v>0</v>
      </c>
      <c r="Y124" s="38"/>
      <c r="Z124" s="42">
        <f>(Z117*((Z118*Z123)+(Z118*Z121)+(Z119*Z122+Z120)))</f>
        <v>0</v>
      </c>
      <c r="AA124" s="38"/>
      <c r="AB124" s="42">
        <f>(AB117*((AB118*AB123)+(AB118*AB121)+(AB119*AB122+AB120)))</f>
        <v>0</v>
      </c>
      <c r="AC124" s="38"/>
      <c r="AD124" s="42">
        <f>(AD117*((AD118*AD123)+(AD118*AD121)+(AD119*AD122+AD120)))</f>
        <v>0</v>
      </c>
      <c r="AE124" s="38"/>
      <c r="AF124" s="42">
        <f>(AF117*((AF118*AF123)+(AF118*AF121)+(AF119*AF122+AF120)))</f>
        <v>0</v>
      </c>
      <c r="AG124" s="38"/>
      <c r="AH124" s="42">
        <f>(AH117*((AH118*AH123)+(AH118*AH121)+(AH119*AH122+AH120)))</f>
        <v>0</v>
      </c>
      <c r="AJ124" s="42">
        <f t="shared" ref="AJ124" si="139">(AJ117*((AJ118*AJ123)+(AJ118*AJ121)+(AJ119*AJ122+AJ120)))</f>
        <v>0</v>
      </c>
      <c r="AL124" s="42">
        <f t="shared" ref="AL124" si="140">(AL117*((AL118*AL123)+(AL118*AL121)+(AL119*AL122+AL120)))</f>
        <v>0</v>
      </c>
      <c r="AN124" s="42">
        <f t="shared" ref="AN124" si="141">(AN117*((AN118*AN123)+(AN118*AN121)+(AN119*AN122+AN120)))</f>
        <v>0</v>
      </c>
      <c r="AP124" s="42">
        <f t="shared" ref="AP124" si="142">(AP117*((AP118*AP123)+(AP118*AP121)+(AP119*AP122+AP120)))</f>
        <v>0</v>
      </c>
      <c r="AR124" s="42">
        <f t="shared" ref="AR124" si="143">(AR117*((AR118*AR123)+(AR118*AR121)+(AR119*AR122+AR120)))</f>
        <v>0</v>
      </c>
      <c r="AT124" s="42">
        <f t="shared" ref="AT124" si="144">(AT117*((AT118*AT123)+(AT118*AT121)+(AT119*AT122+AT120)))</f>
        <v>0</v>
      </c>
      <c r="AV124" s="42">
        <f t="shared" ref="AV124" si="145">(AV117*((AV118*AV123)+(AV118*AV121)+(AV119*AV122+AV120)))</f>
        <v>0</v>
      </c>
      <c r="AX124" s="42">
        <f t="shared" ref="AX124" si="146">(AX117*((AX118*AX123)+(AX118*AX121)+(AX119*AX122+AX120)))</f>
        <v>0</v>
      </c>
      <c r="AZ124" s="42">
        <f t="shared" ref="AZ124" si="147">(AZ117*((AZ118*AZ123)+(AZ118*AZ121)+(AZ119*AZ122+AZ120)))</f>
        <v>0</v>
      </c>
      <c r="BB124" s="42">
        <f t="shared" ref="BB124" si="148">(BB117*((BB118*BB123)+(BB118*BB121)+(BB119*BB122+BB120)))</f>
        <v>0</v>
      </c>
      <c r="BD124" s="42">
        <f t="shared" ref="BD124" si="149">(BD117*((BD118*BD123)+(BD118*BD121)+(BD119*BD122+BD120)))</f>
        <v>0</v>
      </c>
      <c r="BF124" s="42">
        <f t="shared" ref="BF124" si="150">(BF117*((BF118*BF123)+(BF118*BF121)+(BF119*BF122+BF120)))</f>
        <v>0</v>
      </c>
      <c r="BH124" s="42">
        <f t="shared" ref="BH124" si="151">(BH117*((BH118*BH123)+(BH118*BH121)+(BH119*BH122+BH120)))</f>
        <v>0</v>
      </c>
      <c r="BJ124" s="42">
        <f t="shared" ref="BJ124" si="152">(BJ117*((BJ118*BJ123)+(BJ118*BJ121)+(BJ119*BJ122+BJ120)))</f>
        <v>0</v>
      </c>
      <c r="BL124" s="42">
        <f t="shared" ref="BL124" si="153">(BL117*((BL118*BL123)+(BL118*BL121)+(BL119*BL122+BL120)))</f>
        <v>0</v>
      </c>
      <c r="BN124" s="84">
        <f>SUMIF(D$32:BO$32,"Dollar Value",D124:BO124)</f>
        <v>0</v>
      </c>
    </row>
    <row r="125" spans="2:66" ht="14.45" hidden="1" customHeight="1" x14ac:dyDescent="0.25">
      <c r="D125" s="31"/>
      <c r="E125" s="31"/>
      <c r="F125" s="42"/>
      <c r="G125" s="38"/>
      <c r="H125" s="42"/>
      <c r="I125" s="38"/>
      <c r="J125" s="42"/>
      <c r="K125" s="38"/>
      <c r="L125" s="42"/>
      <c r="M125" s="38"/>
      <c r="N125" s="42"/>
      <c r="O125" s="38"/>
      <c r="P125" s="42"/>
      <c r="Q125" s="38"/>
      <c r="R125" s="42"/>
      <c r="S125" s="38"/>
      <c r="T125" s="42"/>
      <c r="U125" s="38"/>
      <c r="V125" s="42"/>
      <c r="W125" s="38"/>
      <c r="X125" s="42"/>
      <c r="Y125" s="38"/>
      <c r="Z125" s="42"/>
      <c r="AA125" s="38"/>
      <c r="AB125" s="42"/>
      <c r="AC125" s="38"/>
      <c r="AD125" s="42"/>
      <c r="AE125" s="38"/>
      <c r="AF125" s="42"/>
      <c r="AG125" s="38"/>
      <c r="AH125" s="42"/>
      <c r="AI125" s="6"/>
      <c r="AJ125" s="42"/>
      <c r="AK125" s="6"/>
      <c r="AL125" s="42"/>
      <c r="AM125" s="6"/>
      <c r="AN125" s="42"/>
      <c r="AO125" s="6"/>
      <c r="AP125" s="42"/>
      <c r="AQ125" s="6"/>
      <c r="AR125" s="42"/>
      <c r="AS125" s="6"/>
      <c r="AT125" s="42"/>
      <c r="AU125" s="6"/>
      <c r="AV125" s="42"/>
      <c r="AW125" s="6"/>
      <c r="AX125" s="42"/>
      <c r="AY125" s="6"/>
      <c r="AZ125" s="42"/>
      <c r="BA125" s="6"/>
      <c r="BB125" s="42"/>
      <c r="BC125" s="6"/>
      <c r="BD125" s="42"/>
      <c r="BE125" s="6"/>
      <c r="BF125" s="42"/>
      <c r="BG125" s="6"/>
      <c r="BH125" s="42"/>
      <c r="BI125" s="6"/>
      <c r="BJ125" s="42"/>
      <c r="BK125" s="6"/>
      <c r="BL125" s="42"/>
      <c r="BM125" s="6"/>
      <c r="BN125" s="84">
        <f>SUMIF(D$32:BO$32,"Dollar Value",D125:BO125)</f>
        <v>0</v>
      </c>
    </row>
    <row r="126" spans="2:66" ht="14.45" hidden="1" customHeight="1" x14ac:dyDescent="0.25">
      <c r="B126" s="3" t="s">
        <v>86</v>
      </c>
      <c r="C126" s="3"/>
      <c r="D126" s="31"/>
      <c r="E126" s="39"/>
      <c r="F126" s="60" t="s">
        <v>101</v>
      </c>
      <c r="G126" s="39"/>
      <c r="H126" s="59" t="s">
        <v>101</v>
      </c>
      <c r="I126" s="39"/>
      <c r="J126" s="59" t="s">
        <v>101</v>
      </c>
      <c r="K126" s="39"/>
      <c r="L126" s="59" t="s">
        <v>101</v>
      </c>
      <c r="M126" s="39"/>
      <c r="N126" s="59" t="s">
        <v>101</v>
      </c>
      <c r="O126" s="39"/>
      <c r="P126" s="59" t="s">
        <v>101</v>
      </c>
      <c r="Q126" s="39"/>
      <c r="R126" s="59" t="s">
        <v>101</v>
      </c>
      <c r="S126" s="39"/>
      <c r="T126" s="59" t="s">
        <v>101</v>
      </c>
      <c r="U126" s="39"/>
      <c r="V126" s="59" t="s">
        <v>101</v>
      </c>
      <c r="W126" s="39"/>
      <c r="X126" s="46" t="s">
        <v>101</v>
      </c>
      <c r="Y126" s="39"/>
      <c r="Z126" s="46" t="s">
        <v>101</v>
      </c>
      <c r="AA126" s="39"/>
      <c r="AB126" s="46" t="s">
        <v>101</v>
      </c>
      <c r="AC126" s="39"/>
      <c r="AD126" s="46" t="s">
        <v>101</v>
      </c>
      <c r="AE126" s="39"/>
      <c r="AF126" s="46" t="s">
        <v>101</v>
      </c>
      <c r="AG126" s="39"/>
      <c r="AH126" s="59" t="s">
        <v>101</v>
      </c>
      <c r="AI126" s="70"/>
      <c r="AJ126" s="75" t="s">
        <v>101</v>
      </c>
      <c r="AK126" s="70"/>
      <c r="AL126" s="75" t="s">
        <v>101</v>
      </c>
      <c r="AM126" s="70"/>
      <c r="AN126" s="75" t="s">
        <v>101</v>
      </c>
      <c r="AO126" s="70"/>
      <c r="AP126" s="75" t="s">
        <v>101</v>
      </c>
      <c r="AQ126" s="70"/>
      <c r="AR126" s="75" t="s">
        <v>101</v>
      </c>
      <c r="AS126" s="70"/>
      <c r="AT126" s="75" t="s">
        <v>101</v>
      </c>
      <c r="AU126" s="70"/>
      <c r="AV126" s="75" t="s">
        <v>101</v>
      </c>
      <c r="AW126" s="70"/>
      <c r="AX126" s="75" t="s">
        <v>101</v>
      </c>
      <c r="AY126" s="70"/>
      <c r="AZ126" s="75" t="s">
        <v>101</v>
      </c>
      <c r="BA126" s="70"/>
      <c r="BB126" s="75" t="s">
        <v>101</v>
      </c>
      <c r="BC126" s="70"/>
      <c r="BD126" s="75" t="s">
        <v>101</v>
      </c>
      <c r="BE126" s="70"/>
      <c r="BF126" s="75" t="s">
        <v>101</v>
      </c>
      <c r="BG126" s="70"/>
      <c r="BH126" s="75" t="s">
        <v>101</v>
      </c>
      <c r="BI126" s="70"/>
      <c r="BJ126" s="75" t="s">
        <v>101</v>
      </c>
      <c r="BK126" s="70"/>
      <c r="BL126" s="75" t="s">
        <v>101</v>
      </c>
      <c r="BN126" s="43"/>
    </row>
    <row r="127" spans="2:66" ht="14.45" hidden="1" customHeight="1" x14ac:dyDescent="0.25">
      <c r="B127" s="3" t="s">
        <v>13</v>
      </c>
      <c r="C127" s="3"/>
      <c r="D127" s="31"/>
      <c r="E127" s="31"/>
      <c r="F127" s="44">
        <v>0</v>
      </c>
      <c r="G127" s="31"/>
      <c r="H127" s="44">
        <v>0</v>
      </c>
      <c r="I127" s="31"/>
      <c r="J127" s="44">
        <v>0</v>
      </c>
      <c r="K127" s="31"/>
      <c r="L127" s="44">
        <v>0</v>
      </c>
      <c r="M127" s="31"/>
      <c r="N127" s="44">
        <v>0</v>
      </c>
      <c r="O127" s="31"/>
      <c r="P127" s="44">
        <v>0</v>
      </c>
      <c r="Q127" s="31"/>
      <c r="R127" s="44">
        <v>0</v>
      </c>
      <c r="S127" s="31"/>
      <c r="T127" s="44">
        <v>0</v>
      </c>
      <c r="U127" s="31"/>
      <c r="V127" s="44">
        <v>0</v>
      </c>
      <c r="W127" s="31"/>
      <c r="X127" s="44">
        <v>0</v>
      </c>
      <c r="Y127" s="31"/>
      <c r="Z127" s="44">
        <v>0</v>
      </c>
      <c r="AA127" s="31"/>
      <c r="AB127" s="44">
        <v>0</v>
      </c>
      <c r="AC127" s="31"/>
      <c r="AD127" s="44">
        <v>0</v>
      </c>
      <c r="AE127" s="31"/>
      <c r="AF127" s="44">
        <v>0</v>
      </c>
      <c r="AG127" s="31"/>
      <c r="AH127" s="44">
        <v>0</v>
      </c>
      <c r="AJ127" s="44">
        <v>0</v>
      </c>
      <c r="AL127" s="44">
        <v>0</v>
      </c>
      <c r="AN127" s="44">
        <v>0</v>
      </c>
      <c r="AP127" s="44">
        <v>0</v>
      </c>
      <c r="AR127" s="44">
        <v>0</v>
      </c>
      <c r="AT127" s="44">
        <v>0</v>
      </c>
      <c r="AV127" s="44">
        <v>0</v>
      </c>
      <c r="AX127" s="44">
        <v>0</v>
      </c>
      <c r="AZ127" s="44">
        <v>0</v>
      </c>
      <c r="BB127" s="44">
        <v>0</v>
      </c>
      <c r="BD127" s="44">
        <v>0</v>
      </c>
      <c r="BF127" s="44">
        <v>0</v>
      </c>
      <c r="BH127" s="44">
        <v>0</v>
      </c>
      <c r="BJ127" s="44">
        <v>0</v>
      </c>
      <c r="BL127" s="44">
        <v>0</v>
      </c>
      <c r="BN127" s="43"/>
    </row>
    <row r="128" spans="2:66" ht="14.45" hidden="1" customHeight="1" x14ac:dyDescent="0.25">
      <c r="B128" s="3" t="s">
        <v>14</v>
      </c>
      <c r="C128" s="3"/>
      <c r="D128" s="31"/>
      <c r="E128" s="31"/>
      <c r="F128" s="44">
        <v>0</v>
      </c>
      <c r="G128" s="31"/>
      <c r="H128" s="44">
        <v>0</v>
      </c>
      <c r="I128" s="31"/>
      <c r="J128" s="44">
        <v>0</v>
      </c>
      <c r="K128" s="31"/>
      <c r="L128" s="44">
        <v>0</v>
      </c>
      <c r="M128" s="31"/>
      <c r="N128" s="44">
        <v>0</v>
      </c>
      <c r="O128" s="31"/>
      <c r="P128" s="44">
        <v>0</v>
      </c>
      <c r="Q128" s="31"/>
      <c r="R128" s="44">
        <v>0</v>
      </c>
      <c r="S128" s="31"/>
      <c r="T128" s="44">
        <v>0</v>
      </c>
      <c r="U128" s="31"/>
      <c r="V128" s="44">
        <v>0</v>
      </c>
      <c r="W128" s="31"/>
      <c r="X128" s="44">
        <v>0</v>
      </c>
      <c r="Y128" s="31"/>
      <c r="Z128" s="44">
        <v>0</v>
      </c>
      <c r="AA128" s="31"/>
      <c r="AB128" s="44">
        <v>0</v>
      </c>
      <c r="AC128" s="31"/>
      <c r="AD128" s="44">
        <v>0</v>
      </c>
      <c r="AE128" s="31"/>
      <c r="AF128" s="44">
        <v>0</v>
      </c>
      <c r="AG128" s="31"/>
      <c r="AH128" s="44">
        <v>0</v>
      </c>
      <c r="AJ128" s="44">
        <v>0</v>
      </c>
      <c r="AL128" s="44">
        <v>0</v>
      </c>
      <c r="AN128" s="44">
        <v>0</v>
      </c>
      <c r="AP128" s="44">
        <v>0</v>
      </c>
      <c r="AR128" s="44">
        <v>0</v>
      </c>
      <c r="AT128" s="44">
        <v>0</v>
      </c>
      <c r="AV128" s="44">
        <v>0</v>
      </c>
      <c r="AX128" s="44">
        <v>0</v>
      </c>
      <c r="AZ128" s="44">
        <v>0</v>
      </c>
      <c r="BB128" s="44">
        <v>0</v>
      </c>
      <c r="BD128" s="44">
        <v>0</v>
      </c>
      <c r="BF128" s="44">
        <v>0</v>
      </c>
      <c r="BH128" s="44">
        <v>0</v>
      </c>
      <c r="BJ128" s="44">
        <v>0</v>
      </c>
      <c r="BL128" s="44">
        <v>0</v>
      </c>
      <c r="BN128" s="43"/>
    </row>
    <row r="129" spans="2:66" ht="14.45" hidden="1" customHeight="1" x14ac:dyDescent="0.25">
      <c r="B129" s="3" t="s">
        <v>65</v>
      </c>
      <c r="C129" s="3"/>
      <c r="D129" s="31"/>
      <c r="E129" s="31"/>
      <c r="F129" s="44">
        <v>0</v>
      </c>
      <c r="G129" s="31"/>
      <c r="H129" s="44">
        <v>0</v>
      </c>
      <c r="I129" s="31"/>
      <c r="J129" s="44">
        <v>0</v>
      </c>
      <c r="K129" s="31"/>
      <c r="L129" s="44">
        <v>0</v>
      </c>
      <c r="M129" s="31"/>
      <c r="N129" s="44">
        <v>0</v>
      </c>
      <c r="O129" s="31"/>
      <c r="P129" s="44">
        <v>0</v>
      </c>
      <c r="Q129" s="31"/>
      <c r="R129" s="44">
        <v>0</v>
      </c>
      <c r="S129" s="31"/>
      <c r="T129" s="44">
        <v>0</v>
      </c>
      <c r="U129" s="31"/>
      <c r="V129" s="44">
        <v>0</v>
      </c>
      <c r="W129" s="31"/>
      <c r="X129" s="44">
        <v>0</v>
      </c>
      <c r="Y129" s="31"/>
      <c r="Z129" s="44">
        <v>0</v>
      </c>
      <c r="AA129" s="31"/>
      <c r="AB129" s="44">
        <v>0</v>
      </c>
      <c r="AC129" s="31"/>
      <c r="AD129" s="44">
        <v>0</v>
      </c>
      <c r="AE129" s="31"/>
      <c r="AF129" s="44">
        <v>0</v>
      </c>
      <c r="AG129" s="31"/>
      <c r="AH129" s="44">
        <v>0</v>
      </c>
      <c r="AJ129" s="44">
        <v>0</v>
      </c>
      <c r="AL129" s="44">
        <v>0</v>
      </c>
      <c r="AN129" s="44">
        <v>0</v>
      </c>
      <c r="AP129" s="44">
        <v>0</v>
      </c>
      <c r="AR129" s="44">
        <v>0</v>
      </c>
      <c r="AT129" s="44">
        <v>0</v>
      </c>
      <c r="AV129" s="44">
        <v>0</v>
      </c>
      <c r="AX129" s="44">
        <v>0</v>
      </c>
      <c r="AZ129" s="44">
        <v>0</v>
      </c>
      <c r="BB129" s="44">
        <v>0</v>
      </c>
      <c r="BD129" s="44">
        <v>0</v>
      </c>
      <c r="BF129" s="44">
        <v>0</v>
      </c>
      <c r="BH129" s="44">
        <v>0</v>
      </c>
      <c r="BJ129" s="44">
        <v>0</v>
      </c>
      <c r="BL129" s="44">
        <v>0</v>
      </c>
      <c r="BN129" s="43"/>
    </row>
    <row r="130" spans="2:66" ht="14.45" hidden="1" customHeight="1" x14ac:dyDescent="0.25">
      <c r="B130" s="3" t="s">
        <v>67</v>
      </c>
      <c r="C130" s="3"/>
      <c r="D130" s="31"/>
      <c r="E130" s="31"/>
      <c r="F130" s="45">
        <v>0</v>
      </c>
      <c r="G130" s="31"/>
      <c r="H130" s="45">
        <v>0</v>
      </c>
      <c r="I130" s="31"/>
      <c r="J130" s="45">
        <v>0</v>
      </c>
      <c r="K130" s="31"/>
      <c r="L130" s="45">
        <v>0</v>
      </c>
      <c r="M130" s="31"/>
      <c r="N130" s="45">
        <v>0</v>
      </c>
      <c r="O130" s="31"/>
      <c r="P130" s="45">
        <v>0</v>
      </c>
      <c r="Q130" s="31"/>
      <c r="R130" s="45">
        <v>0</v>
      </c>
      <c r="S130" s="31"/>
      <c r="T130" s="45">
        <v>0</v>
      </c>
      <c r="U130" s="31"/>
      <c r="V130" s="45">
        <v>0</v>
      </c>
      <c r="W130" s="31"/>
      <c r="X130" s="45">
        <v>0</v>
      </c>
      <c r="Y130" s="31"/>
      <c r="Z130" s="45">
        <v>0</v>
      </c>
      <c r="AA130" s="31"/>
      <c r="AB130" s="45">
        <v>0</v>
      </c>
      <c r="AC130" s="31"/>
      <c r="AD130" s="45">
        <v>0</v>
      </c>
      <c r="AE130" s="31"/>
      <c r="AF130" s="45">
        <v>0</v>
      </c>
      <c r="AG130" s="31"/>
      <c r="AH130" s="45">
        <v>0</v>
      </c>
      <c r="AJ130" s="45">
        <v>0</v>
      </c>
      <c r="AL130" s="45">
        <v>0</v>
      </c>
      <c r="AN130" s="45">
        <v>0</v>
      </c>
      <c r="AP130" s="45">
        <v>0</v>
      </c>
      <c r="AR130" s="45">
        <v>0</v>
      </c>
      <c r="AT130" s="45">
        <v>0</v>
      </c>
      <c r="AV130" s="45">
        <v>0</v>
      </c>
      <c r="AX130" s="45">
        <v>0</v>
      </c>
      <c r="AZ130" s="45">
        <v>0</v>
      </c>
      <c r="BB130" s="45">
        <v>0</v>
      </c>
      <c r="BD130" s="45">
        <v>0</v>
      </c>
      <c r="BF130" s="45">
        <v>0</v>
      </c>
      <c r="BH130" s="45">
        <v>0</v>
      </c>
      <c r="BJ130" s="45">
        <v>0</v>
      </c>
      <c r="BL130" s="45">
        <v>0</v>
      </c>
      <c r="BN130" s="43"/>
    </row>
    <row r="131" spans="2:66" ht="14.45" hidden="1" customHeight="1" x14ac:dyDescent="0.25">
      <c r="B131" s="3" t="s">
        <v>66</v>
      </c>
      <c r="C131" s="3"/>
      <c r="D131" s="31"/>
      <c r="E131" s="31"/>
      <c r="F131" s="45">
        <v>0</v>
      </c>
      <c r="G131" s="31"/>
      <c r="H131" s="45">
        <v>0</v>
      </c>
      <c r="I131" s="31"/>
      <c r="J131" s="45">
        <v>0</v>
      </c>
      <c r="K131" s="31"/>
      <c r="L131" s="45">
        <v>0</v>
      </c>
      <c r="M131" s="31"/>
      <c r="N131" s="45">
        <v>0</v>
      </c>
      <c r="O131" s="31"/>
      <c r="P131" s="45">
        <v>0</v>
      </c>
      <c r="Q131" s="31"/>
      <c r="R131" s="45">
        <v>0</v>
      </c>
      <c r="S131" s="31"/>
      <c r="T131" s="45">
        <v>0</v>
      </c>
      <c r="U131" s="31"/>
      <c r="V131" s="45">
        <v>0</v>
      </c>
      <c r="W131" s="31"/>
      <c r="X131" s="45">
        <v>0</v>
      </c>
      <c r="Y131" s="31"/>
      <c r="Z131" s="45">
        <v>0</v>
      </c>
      <c r="AA131" s="31"/>
      <c r="AB131" s="45">
        <v>0</v>
      </c>
      <c r="AC131" s="31"/>
      <c r="AD131" s="45">
        <v>0</v>
      </c>
      <c r="AE131" s="31"/>
      <c r="AF131" s="45">
        <v>0</v>
      </c>
      <c r="AG131" s="31"/>
      <c r="AH131" s="45">
        <v>0</v>
      </c>
      <c r="AJ131" s="45">
        <v>0</v>
      </c>
      <c r="AL131" s="45">
        <v>0</v>
      </c>
      <c r="AN131" s="45">
        <v>0</v>
      </c>
      <c r="AP131" s="45">
        <v>0</v>
      </c>
      <c r="AR131" s="45">
        <v>0</v>
      </c>
      <c r="AT131" s="45">
        <v>0</v>
      </c>
      <c r="AV131" s="45">
        <v>0</v>
      </c>
      <c r="AX131" s="45">
        <v>0</v>
      </c>
      <c r="AZ131" s="45">
        <v>0</v>
      </c>
      <c r="BB131" s="45">
        <v>0</v>
      </c>
      <c r="BD131" s="45">
        <v>0</v>
      </c>
      <c r="BF131" s="45">
        <v>0</v>
      </c>
      <c r="BH131" s="45">
        <v>0</v>
      </c>
      <c r="BJ131" s="45">
        <v>0</v>
      </c>
      <c r="BL131" s="45">
        <v>0</v>
      </c>
      <c r="BN131" s="43"/>
    </row>
    <row r="132" spans="2:66" ht="14.45" hidden="1" customHeight="1" x14ac:dyDescent="0.25">
      <c r="B132" s="3" t="s">
        <v>16</v>
      </c>
      <c r="C132" s="3"/>
      <c r="D132" s="31"/>
      <c r="E132" s="31"/>
      <c r="F132" s="45">
        <v>0</v>
      </c>
      <c r="G132" s="31"/>
      <c r="H132" s="45">
        <v>0</v>
      </c>
      <c r="I132" s="31"/>
      <c r="J132" s="45">
        <v>0</v>
      </c>
      <c r="K132" s="31"/>
      <c r="L132" s="45">
        <v>0</v>
      </c>
      <c r="M132" s="31"/>
      <c r="N132" s="45">
        <v>0</v>
      </c>
      <c r="O132" s="31"/>
      <c r="P132" s="45">
        <v>0</v>
      </c>
      <c r="Q132" s="31"/>
      <c r="R132" s="45">
        <v>0</v>
      </c>
      <c r="S132" s="31"/>
      <c r="T132" s="45">
        <v>0</v>
      </c>
      <c r="U132" s="31"/>
      <c r="V132" s="45">
        <v>0</v>
      </c>
      <c r="W132" s="31"/>
      <c r="X132" s="45">
        <v>0</v>
      </c>
      <c r="Y132" s="31"/>
      <c r="Z132" s="45">
        <v>0</v>
      </c>
      <c r="AA132" s="31"/>
      <c r="AB132" s="45">
        <v>0</v>
      </c>
      <c r="AC132" s="31"/>
      <c r="AD132" s="45">
        <v>0</v>
      </c>
      <c r="AE132" s="31"/>
      <c r="AF132" s="45">
        <v>0</v>
      </c>
      <c r="AG132" s="31"/>
      <c r="AH132" s="45">
        <v>0</v>
      </c>
      <c r="AJ132" s="45">
        <v>0</v>
      </c>
      <c r="AL132" s="45">
        <v>0</v>
      </c>
      <c r="AN132" s="45">
        <v>0</v>
      </c>
      <c r="AP132" s="45">
        <v>0</v>
      </c>
      <c r="AR132" s="45">
        <v>0</v>
      </c>
      <c r="AT132" s="45">
        <v>0</v>
      </c>
      <c r="AV132" s="45">
        <v>0</v>
      </c>
      <c r="AX132" s="45">
        <v>0</v>
      </c>
      <c r="AZ132" s="45">
        <v>0</v>
      </c>
      <c r="BB132" s="45">
        <v>0</v>
      </c>
      <c r="BD132" s="45">
        <v>0</v>
      </c>
      <c r="BF132" s="45">
        <v>0</v>
      </c>
      <c r="BH132" s="45">
        <v>0</v>
      </c>
      <c r="BJ132" s="45">
        <v>0</v>
      </c>
      <c r="BL132" s="45">
        <v>0</v>
      </c>
      <c r="BN132" s="43"/>
    </row>
    <row r="133" spans="2:66" ht="14.45" hidden="1" customHeight="1" x14ac:dyDescent="0.25">
      <c r="B133" s="3" t="s">
        <v>17</v>
      </c>
      <c r="C133" s="3"/>
      <c r="D133" s="31"/>
      <c r="E133" s="31"/>
      <c r="F133" s="45">
        <v>0</v>
      </c>
      <c r="G133" s="31"/>
      <c r="H133" s="45">
        <v>0</v>
      </c>
      <c r="I133" s="31"/>
      <c r="J133" s="45">
        <v>0</v>
      </c>
      <c r="K133" s="31"/>
      <c r="L133" s="45">
        <v>0</v>
      </c>
      <c r="M133" s="31"/>
      <c r="N133" s="45">
        <v>0</v>
      </c>
      <c r="O133" s="31"/>
      <c r="P133" s="45">
        <v>0</v>
      </c>
      <c r="Q133" s="31"/>
      <c r="R133" s="45">
        <v>0</v>
      </c>
      <c r="S133" s="31"/>
      <c r="T133" s="45">
        <v>0</v>
      </c>
      <c r="U133" s="31"/>
      <c r="V133" s="45">
        <v>0</v>
      </c>
      <c r="W133" s="31"/>
      <c r="X133" s="45">
        <v>0</v>
      </c>
      <c r="Y133" s="31"/>
      <c r="Z133" s="45">
        <v>0</v>
      </c>
      <c r="AA133" s="31"/>
      <c r="AB133" s="45">
        <v>0</v>
      </c>
      <c r="AC133" s="31"/>
      <c r="AD133" s="45">
        <v>0</v>
      </c>
      <c r="AE133" s="31"/>
      <c r="AF133" s="45">
        <v>0</v>
      </c>
      <c r="AG133" s="31"/>
      <c r="AH133" s="45">
        <v>0</v>
      </c>
      <c r="AJ133" s="45">
        <v>0</v>
      </c>
      <c r="AL133" s="45">
        <v>0</v>
      </c>
      <c r="AN133" s="45">
        <v>0</v>
      </c>
      <c r="AP133" s="45">
        <v>0</v>
      </c>
      <c r="AR133" s="45">
        <v>0</v>
      </c>
      <c r="AT133" s="45">
        <v>0</v>
      </c>
      <c r="AV133" s="45">
        <v>0</v>
      </c>
      <c r="AX133" s="45">
        <v>0</v>
      </c>
      <c r="AZ133" s="45">
        <v>0</v>
      </c>
      <c r="BB133" s="45">
        <v>0</v>
      </c>
      <c r="BD133" s="45">
        <v>0</v>
      </c>
      <c r="BF133" s="45">
        <v>0</v>
      </c>
      <c r="BH133" s="45">
        <v>0</v>
      </c>
      <c r="BJ133" s="45">
        <v>0</v>
      </c>
      <c r="BL133" s="45">
        <v>0</v>
      </c>
      <c r="BN133" s="43"/>
    </row>
    <row r="134" spans="2:66" s="6" customFormat="1" ht="14.45" hidden="1" customHeight="1" x14ac:dyDescent="0.25">
      <c r="B134" s="6" t="s">
        <v>8</v>
      </c>
      <c r="D134" s="38"/>
      <c r="E134" s="38"/>
      <c r="F134" s="42">
        <f>(F127*((F128*F133)+(F128*F131)+(F129*F132+F130)))</f>
        <v>0</v>
      </c>
      <c r="G134" s="38"/>
      <c r="H134" s="42">
        <f>(H127*((H128*H133)+(H128*H131)+(H129*H132+H130)))</f>
        <v>0</v>
      </c>
      <c r="I134" s="38"/>
      <c r="J134" s="42">
        <f>(J127*((J128*J133)+(J128*J131)+(J129*J132+J130)))</f>
        <v>0</v>
      </c>
      <c r="K134" s="38"/>
      <c r="L134" s="42">
        <f>(L127*((L128*L133)+(L128*L131)+(L129*L132+L130)))</f>
        <v>0</v>
      </c>
      <c r="M134" s="38"/>
      <c r="N134" s="42">
        <f>(N127*((N128*N133)+(N128*N131)+(N129*N132+N130)))</f>
        <v>0</v>
      </c>
      <c r="O134" s="38"/>
      <c r="P134" s="42">
        <f>(P127*((P128*P133)+(P128*P131)+(P129*P132+P130)))</f>
        <v>0</v>
      </c>
      <c r="Q134" s="38"/>
      <c r="R134" s="42">
        <f>(R127*((R128*R133)+(R128*R131)+(R129*R132+R130)))</f>
        <v>0</v>
      </c>
      <c r="S134" s="38"/>
      <c r="T134" s="42">
        <f>(T127*((T128*T133)+(T128*T131)+(T129*T132+T130)))</f>
        <v>0</v>
      </c>
      <c r="U134" s="38"/>
      <c r="V134" s="42">
        <f>(V127*((V128*V133)+(V128*V131)+(V129*V132+V130)))</f>
        <v>0</v>
      </c>
      <c r="W134" s="38"/>
      <c r="X134" s="42">
        <f>(X127*((X128*X133)+(X128*X131)+(X129*X132+X130)))</f>
        <v>0</v>
      </c>
      <c r="Y134" s="38"/>
      <c r="Z134" s="42">
        <f>(Z127*((Z128*Z133)+(Z128*Z131)+(Z129*Z132+Z130)))</f>
        <v>0</v>
      </c>
      <c r="AA134" s="38"/>
      <c r="AB134" s="42">
        <f>(AB127*((AB128*AB133)+(AB128*AB131)+(AB129*AB132+AB130)))</f>
        <v>0</v>
      </c>
      <c r="AC134" s="38"/>
      <c r="AD134" s="42">
        <f>(AD127*((AD128*AD133)+(AD128*AD131)+(AD129*AD132+AD130)))</f>
        <v>0</v>
      </c>
      <c r="AE134" s="38"/>
      <c r="AF134" s="42">
        <f>(AF127*((AF128*AF133)+(AF128*AF131)+(AF129*AF132+AF130)))</f>
        <v>0</v>
      </c>
      <c r="AG134" s="38"/>
      <c r="AH134" s="42">
        <f>(AH127*((AH128*AH133)+(AH128*AH131)+(AH129*AH132+AH130)))</f>
        <v>0</v>
      </c>
      <c r="AJ134" s="42">
        <f t="shared" ref="AJ134" si="154">(AJ127*((AJ128*AJ133)+(AJ128*AJ131)+(AJ129*AJ132+AJ130)))</f>
        <v>0</v>
      </c>
      <c r="AL134" s="42">
        <f t="shared" ref="AL134" si="155">(AL127*((AL128*AL133)+(AL128*AL131)+(AL129*AL132+AL130)))</f>
        <v>0</v>
      </c>
      <c r="AN134" s="42">
        <f t="shared" ref="AN134" si="156">(AN127*((AN128*AN133)+(AN128*AN131)+(AN129*AN132+AN130)))</f>
        <v>0</v>
      </c>
      <c r="AP134" s="42">
        <f t="shared" ref="AP134" si="157">(AP127*((AP128*AP133)+(AP128*AP131)+(AP129*AP132+AP130)))</f>
        <v>0</v>
      </c>
      <c r="AR134" s="42">
        <f t="shared" ref="AR134" si="158">(AR127*((AR128*AR133)+(AR128*AR131)+(AR129*AR132+AR130)))</f>
        <v>0</v>
      </c>
      <c r="AT134" s="42">
        <f t="shared" ref="AT134" si="159">(AT127*((AT128*AT133)+(AT128*AT131)+(AT129*AT132+AT130)))</f>
        <v>0</v>
      </c>
      <c r="AV134" s="42">
        <f t="shared" ref="AV134" si="160">(AV127*((AV128*AV133)+(AV128*AV131)+(AV129*AV132+AV130)))</f>
        <v>0</v>
      </c>
      <c r="AX134" s="42">
        <f t="shared" ref="AX134" si="161">(AX127*((AX128*AX133)+(AX128*AX131)+(AX129*AX132+AX130)))</f>
        <v>0</v>
      </c>
      <c r="AZ134" s="42">
        <f t="shared" ref="AZ134" si="162">(AZ127*((AZ128*AZ133)+(AZ128*AZ131)+(AZ129*AZ132+AZ130)))</f>
        <v>0</v>
      </c>
      <c r="BB134" s="42">
        <f t="shared" ref="BB134" si="163">(BB127*((BB128*BB133)+(BB128*BB131)+(BB129*BB132+BB130)))</f>
        <v>0</v>
      </c>
      <c r="BD134" s="42">
        <f t="shared" ref="BD134" si="164">(BD127*((BD128*BD133)+(BD128*BD131)+(BD129*BD132+BD130)))</f>
        <v>0</v>
      </c>
      <c r="BF134" s="42">
        <f t="shared" ref="BF134" si="165">(BF127*((BF128*BF133)+(BF128*BF131)+(BF129*BF132+BF130)))</f>
        <v>0</v>
      </c>
      <c r="BH134" s="42">
        <f t="shared" ref="BH134" si="166">(BH127*((BH128*BH133)+(BH128*BH131)+(BH129*BH132+BH130)))</f>
        <v>0</v>
      </c>
      <c r="BJ134" s="42">
        <f t="shared" ref="BJ134" si="167">(BJ127*((BJ128*BJ133)+(BJ128*BJ131)+(BJ129*BJ132+BJ130)))</f>
        <v>0</v>
      </c>
      <c r="BL134" s="42">
        <f t="shared" ref="BL134" si="168">(BL127*((BL128*BL133)+(BL128*BL131)+(BL129*BL132+BL130)))</f>
        <v>0</v>
      </c>
      <c r="BN134" s="84">
        <f>SUMIF(D$32:BO$32,"Dollar Value",D134:BO134)</f>
        <v>0</v>
      </c>
    </row>
    <row r="135" spans="2:66" ht="14.45" hidden="1" customHeight="1" x14ac:dyDescent="0.25">
      <c r="D135" s="31"/>
      <c r="E135" s="31"/>
      <c r="F135" s="42"/>
      <c r="G135" s="38"/>
      <c r="H135" s="42"/>
      <c r="I135" s="38"/>
      <c r="J135" s="42"/>
      <c r="K135" s="38"/>
      <c r="L135" s="42"/>
      <c r="M135" s="38"/>
      <c r="N135" s="42"/>
      <c r="O135" s="38"/>
      <c r="P135" s="42"/>
      <c r="Q135" s="38"/>
      <c r="R135" s="42"/>
      <c r="S135" s="38"/>
      <c r="T135" s="42"/>
      <c r="U135" s="38"/>
      <c r="V135" s="42"/>
      <c r="W135" s="38"/>
      <c r="X135" s="42"/>
      <c r="Y135" s="38"/>
      <c r="Z135" s="42"/>
      <c r="AA135" s="38"/>
      <c r="AB135" s="42"/>
      <c r="AC135" s="38"/>
      <c r="AD135" s="42"/>
      <c r="AE135" s="38"/>
      <c r="AF135" s="42"/>
      <c r="AG135" s="38"/>
      <c r="AH135" s="42"/>
      <c r="AI135" s="6"/>
      <c r="AJ135" s="42"/>
      <c r="AK135" s="6"/>
      <c r="AL135" s="42"/>
      <c r="AM135" s="6"/>
      <c r="AN135" s="42"/>
      <c r="AO135" s="6"/>
      <c r="AP135" s="42"/>
      <c r="AQ135" s="6"/>
      <c r="AR135" s="42"/>
      <c r="AS135" s="6"/>
      <c r="AT135" s="42"/>
      <c r="AU135" s="6"/>
      <c r="AV135" s="42"/>
      <c r="AW135" s="6"/>
      <c r="AX135" s="42"/>
      <c r="AY135" s="6"/>
      <c r="AZ135" s="42"/>
      <c r="BA135" s="6"/>
      <c r="BB135" s="42"/>
      <c r="BC135" s="6"/>
      <c r="BD135" s="42"/>
      <c r="BE135" s="6"/>
      <c r="BF135" s="42"/>
      <c r="BG135" s="6"/>
      <c r="BH135" s="42"/>
      <c r="BI135" s="6"/>
      <c r="BJ135" s="42"/>
      <c r="BK135" s="6"/>
      <c r="BL135" s="42"/>
      <c r="BM135" s="6"/>
      <c r="BN135" s="84">
        <f>SUMIF(D$32:BO$32,"Dollar Value",D135:BO135)</f>
        <v>0</v>
      </c>
    </row>
    <row r="136" spans="2:66" ht="14.45" hidden="1" customHeight="1" x14ac:dyDescent="0.25">
      <c r="B136" s="3" t="s">
        <v>87</v>
      </c>
      <c r="C136" s="3"/>
      <c r="D136" s="31"/>
      <c r="E136" s="39"/>
      <c r="F136" s="60" t="s">
        <v>101</v>
      </c>
      <c r="G136" s="39"/>
      <c r="H136" s="59" t="s">
        <v>101</v>
      </c>
      <c r="I136" s="39"/>
      <c r="J136" s="59" t="s">
        <v>101</v>
      </c>
      <c r="K136" s="39"/>
      <c r="L136" s="59" t="s">
        <v>101</v>
      </c>
      <c r="M136" s="39"/>
      <c r="N136" s="59" t="s">
        <v>101</v>
      </c>
      <c r="O136" s="39"/>
      <c r="P136" s="59" t="s">
        <v>101</v>
      </c>
      <c r="Q136" s="39"/>
      <c r="R136" s="59" t="s">
        <v>101</v>
      </c>
      <c r="S136" s="39"/>
      <c r="T136" s="59" t="s">
        <v>101</v>
      </c>
      <c r="U136" s="39"/>
      <c r="V136" s="59" t="s">
        <v>101</v>
      </c>
      <c r="W136" s="39"/>
      <c r="X136" s="46" t="s">
        <v>101</v>
      </c>
      <c r="Y136" s="39"/>
      <c r="Z136" s="46" t="s">
        <v>101</v>
      </c>
      <c r="AA136" s="39"/>
      <c r="AB136" s="46" t="s">
        <v>101</v>
      </c>
      <c r="AC136" s="39"/>
      <c r="AD136" s="46" t="s">
        <v>101</v>
      </c>
      <c r="AE136" s="39"/>
      <c r="AF136" s="46" t="s">
        <v>101</v>
      </c>
      <c r="AG136" s="39"/>
      <c r="AH136" s="59" t="s">
        <v>101</v>
      </c>
      <c r="AI136" s="70"/>
      <c r="AJ136" s="75" t="s">
        <v>101</v>
      </c>
      <c r="AK136" s="70"/>
      <c r="AL136" s="75" t="s">
        <v>101</v>
      </c>
      <c r="AM136" s="70"/>
      <c r="AN136" s="75" t="s">
        <v>101</v>
      </c>
      <c r="AO136" s="70"/>
      <c r="AP136" s="75" t="s">
        <v>101</v>
      </c>
      <c r="AQ136" s="70"/>
      <c r="AR136" s="75" t="s">
        <v>101</v>
      </c>
      <c r="AS136" s="70"/>
      <c r="AT136" s="75" t="s">
        <v>101</v>
      </c>
      <c r="AU136" s="70"/>
      <c r="AV136" s="75" t="s">
        <v>101</v>
      </c>
      <c r="AW136" s="70"/>
      <c r="AX136" s="75" t="s">
        <v>101</v>
      </c>
      <c r="AY136" s="70"/>
      <c r="AZ136" s="75" t="s">
        <v>101</v>
      </c>
      <c r="BA136" s="70"/>
      <c r="BB136" s="75" t="s">
        <v>101</v>
      </c>
      <c r="BC136" s="70"/>
      <c r="BD136" s="75" t="s">
        <v>101</v>
      </c>
      <c r="BE136" s="70"/>
      <c r="BF136" s="75" t="s">
        <v>101</v>
      </c>
      <c r="BG136" s="70"/>
      <c r="BH136" s="75" t="s">
        <v>101</v>
      </c>
      <c r="BI136" s="70"/>
      <c r="BJ136" s="75" t="s">
        <v>101</v>
      </c>
      <c r="BK136" s="70"/>
      <c r="BL136" s="75" t="s">
        <v>101</v>
      </c>
      <c r="BN136" s="43"/>
    </row>
    <row r="137" spans="2:66" ht="14.45" hidden="1" customHeight="1" x14ac:dyDescent="0.25">
      <c r="B137" s="3" t="s">
        <v>13</v>
      </c>
      <c r="C137" s="3"/>
      <c r="D137" s="31"/>
      <c r="E137" s="31"/>
      <c r="F137" s="44">
        <v>0</v>
      </c>
      <c r="G137" s="31"/>
      <c r="H137" s="44">
        <v>0</v>
      </c>
      <c r="I137" s="31"/>
      <c r="J137" s="44">
        <v>0</v>
      </c>
      <c r="K137" s="31"/>
      <c r="L137" s="44">
        <v>0</v>
      </c>
      <c r="M137" s="31"/>
      <c r="N137" s="44">
        <v>0</v>
      </c>
      <c r="O137" s="31"/>
      <c r="P137" s="44">
        <v>0</v>
      </c>
      <c r="Q137" s="31"/>
      <c r="R137" s="44">
        <v>0</v>
      </c>
      <c r="S137" s="31"/>
      <c r="T137" s="44">
        <v>0</v>
      </c>
      <c r="U137" s="31"/>
      <c r="V137" s="44">
        <v>0</v>
      </c>
      <c r="W137" s="31"/>
      <c r="X137" s="44">
        <v>0</v>
      </c>
      <c r="Y137" s="31"/>
      <c r="Z137" s="44">
        <v>0</v>
      </c>
      <c r="AA137" s="31"/>
      <c r="AB137" s="44">
        <v>0</v>
      </c>
      <c r="AC137" s="31"/>
      <c r="AD137" s="44">
        <v>0</v>
      </c>
      <c r="AE137" s="31"/>
      <c r="AF137" s="44">
        <v>0</v>
      </c>
      <c r="AG137" s="31"/>
      <c r="AH137" s="44">
        <v>0</v>
      </c>
      <c r="AJ137" s="44">
        <v>0</v>
      </c>
      <c r="AL137" s="44">
        <v>0</v>
      </c>
      <c r="AN137" s="44">
        <v>0</v>
      </c>
      <c r="AP137" s="44">
        <v>0</v>
      </c>
      <c r="AR137" s="44">
        <v>0</v>
      </c>
      <c r="AT137" s="44">
        <v>0</v>
      </c>
      <c r="AV137" s="44">
        <v>0</v>
      </c>
      <c r="AX137" s="44">
        <v>0</v>
      </c>
      <c r="AZ137" s="44">
        <v>0</v>
      </c>
      <c r="BB137" s="44">
        <v>0</v>
      </c>
      <c r="BD137" s="44">
        <v>0</v>
      </c>
      <c r="BF137" s="44">
        <v>0</v>
      </c>
      <c r="BH137" s="44">
        <v>0</v>
      </c>
      <c r="BJ137" s="44">
        <v>0</v>
      </c>
      <c r="BL137" s="44">
        <v>0</v>
      </c>
      <c r="BN137" s="43"/>
    </row>
    <row r="138" spans="2:66" ht="14.45" hidden="1" customHeight="1" x14ac:dyDescent="0.25">
      <c r="B138" s="3" t="s">
        <v>14</v>
      </c>
      <c r="C138" s="3"/>
      <c r="D138" s="31"/>
      <c r="E138" s="31"/>
      <c r="F138" s="44">
        <v>0</v>
      </c>
      <c r="G138" s="31"/>
      <c r="H138" s="44">
        <v>0</v>
      </c>
      <c r="I138" s="31"/>
      <c r="J138" s="44">
        <v>0</v>
      </c>
      <c r="K138" s="31"/>
      <c r="L138" s="44">
        <v>0</v>
      </c>
      <c r="M138" s="31"/>
      <c r="N138" s="44">
        <v>0</v>
      </c>
      <c r="O138" s="31"/>
      <c r="P138" s="44">
        <v>0</v>
      </c>
      <c r="Q138" s="31"/>
      <c r="R138" s="44">
        <v>0</v>
      </c>
      <c r="S138" s="31"/>
      <c r="T138" s="44">
        <v>0</v>
      </c>
      <c r="U138" s="31"/>
      <c r="V138" s="44">
        <v>0</v>
      </c>
      <c r="W138" s="31"/>
      <c r="X138" s="44">
        <v>0</v>
      </c>
      <c r="Y138" s="31"/>
      <c r="Z138" s="44">
        <v>0</v>
      </c>
      <c r="AA138" s="31"/>
      <c r="AB138" s="44">
        <v>0</v>
      </c>
      <c r="AC138" s="31"/>
      <c r="AD138" s="44">
        <v>0</v>
      </c>
      <c r="AE138" s="31"/>
      <c r="AF138" s="44">
        <v>0</v>
      </c>
      <c r="AG138" s="31"/>
      <c r="AH138" s="44">
        <v>0</v>
      </c>
      <c r="AJ138" s="44">
        <v>0</v>
      </c>
      <c r="AL138" s="44">
        <v>0</v>
      </c>
      <c r="AN138" s="44">
        <v>0</v>
      </c>
      <c r="AP138" s="44">
        <v>0</v>
      </c>
      <c r="AR138" s="44">
        <v>0</v>
      </c>
      <c r="AT138" s="44">
        <v>0</v>
      </c>
      <c r="AV138" s="44">
        <v>0</v>
      </c>
      <c r="AX138" s="44">
        <v>0</v>
      </c>
      <c r="AZ138" s="44">
        <v>0</v>
      </c>
      <c r="BB138" s="44">
        <v>0</v>
      </c>
      <c r="BD138" s="44">
        <v>0</v>
      </c>
      <c r="BF138" s="44">
        <v>0</v>
      </c>
      <c r="BH138" s="44">
        <v>0</v>
      </c>
      <c r="BJ138" s="44">
        <v>0</v>
      </c>
      <c r="BL138" s="44">
        <v>0</v>
      </c>
      <c r="BN138" s="43"/>
    </row>
    <row r="139" spans="2:66" ht="14.45" hidden="1" customHeight="1" x14ac:dyDescent="0.25">
      <c r="B139" s="3" t="s">
        <v>65</v>
      </c>
      <c r="C139" s="3"/>
      <c r="D139" s="31"/>
      <c r="E139" s="31"/>
      <c r="F139" s="44">
        <v>0</v>
      </c>
      <c r="G139" s="31"/>
      <c r="H139" s="44">
        <v>0</v>
      </c>
      <c r="I139" s="31"/>
      <c r="J139" s="44">
        <v>0</v>
      </c>
      <c r="K139" s="31"/>
      <c r="L139" s="44">
        <v>0</v>
      </c>
      <c r="M139" s="31"/>
      <c r="N139" s="44">
        <v>0</v>
      </c>
      <c r="O139" s="31"/>
      <c r="P139" s="44">
        <v>0</v>
      </c>
      <c r="Q139" s="31"/>
      <c r="R139" s="44">
        <v>0</v>
      </c>
      <c r="S139" s="31"/>
      <c r="T139" s="44">
        <v>0</v>
      </c>
      <c r="U139" s="31"/>
      <c r="V139" s="44">
        <v>0</v>
      </c>
      <c r="W139" s="31"/>
      <c r="X139" s="44">
        <v>0</v>
      </c>
      <c r="Y139" s="31"/>
      <c r="Z139" s="44">
        <v>0</v>
      </c>
      <c r="AA139" s="31"/>
      <c r="AB139" s="44">
        <v>0</v>
      </c>
      <c r="AC139" s="31"/>
      <c r="AD139" s="44">
        <v>0</v>
      </c>
      <c r="AE139" s="31"/>
      <c r="AF139" s="44">
        <v>0</v>
      </c>
      <c r="AG139" s="31"/>
      <c r="AH139" s="44">
        <v>0</v>
      </c>
      <c r="AJ139" s="44">
        <v>0</v>
      </c>
      <c r="AL139" s="44">
        <v>0</v>
      </c>
      <c r="AN139" s="44">
        <v>0</v>
      </c>
      <c r="AP139" s="44">
        <v>0</v>
      </c>
      <c r="AR139" s="44">
        <v>0</v>
      </c>
      <c r="AT139" s="44">
        <v>0</v>
      </c>
      <c r="AV139" s="44">
        <v>0</v>
      </c>
      <c r="AX139" s="44">
        <v>0</v>
      </c>
      <c r="AZ139" s="44">
        <v>0</v>
      </c>
      <c r="BB139" s="44">
        <v>0</v>
      </c>
      <c r="BD139" s="44">
        <v>0</v>
      </c>
      <c r="BF139" s="44">
        <v>0</v>
      </c>
      <c r="BH139" s="44">
        <v>0</v>
      </c>
      <c r="BJ139" s="44">
        <v>0</v>
      </c>
      <c r="BL139" s="44">
        <v>0</v>
      </c>
      <c r="BN139" s="43"/>
    </row>
    <row r="140" spans="2:66" ht="14.45" hidden="1" customHeight="1" x14ac:dyDescent="0.25">
      <c r="B140" s="3" t="s">
        <v>67</v>
      </c>
      <c r="C140" s="3"/>
      <c r="D140" s="31"/>
      <c r="E140" s="31"/>
      <c r="F140" s="45">
        <v>0</v>
      </c>
      <c r="G140" s="31"/>
      <c r="H140" s="45">
        <v>0</v>
      </c>
      <c r="I140" s="31"/>
      <c r="J140" s="45">
        <v>0</v>
      </c>
      <c r="K140" s="31"/>
      <c r="L140" s="45">
        <v>0</v>
      </c>
      <c r="M140" s="31"/>
      <c r="N140" s="45">
        <v>0</v>
      </c>
      <c r="O140" s="31"/>
      <c r="P140" s="45">
        <v>0</v>
      </c>
      <c r="Q140" s="31"/>
      <c r="R140" s="45">
        <v>0</v>
      </c>
      <c r="S140" s="31"/>
      <c r="T140" s="45">
        <v>0</v>
      </c>
      <c r="U140" s="31"/>
      <c r="V140" s="45">
        <v>0</v>
      </c>
      <c r="W140" s="31"/>
      <c r="X140" s="45">
        <v>0</v>
      </c>
      <c r="Y140" s="31"/>
      <c r="Z140" s="45">
        <v>0</v>
      </c>
      <c r="AA140" s="31"/>
      <c r="AB140" s="45">
        <v>0</v>
      </c>
      <c r="AC140" s="31"/>
      <c r="AD140" s="45">
        <v>0</v>
      </c>
      <c r="AE140" s="31"/>
      <c r="AF140" s="45">
        <v>0</v>
      </c>
      <c r="AG140" s="31"/>
      <c r="AH140" s="45">
        <v>0</v>
      </c>
      <c r="AJ140" s="45">
        <v>0</v>
      </c>
      <c r="AL140" s="45">
        <v>0</v>
      </c>
      <c r="AN140" s="45">
        <v>0</v>
      </c>
      <c r="AP140" s="45">
        <v>0</v>
      </c>
      <c r="AR140" s="45">
        <v>0</v>
      </c>
      <c r="AT140" s="45">
        <v>0</v>
      </c>
      <c r="AV140" s="45">
        <v>0</v>
      </c>
      <c r="AX140" s="45">
        <v>0</v>
      </c>
      <c r="AZ140" s="45">
        <v>0</v>
      </c>
      <c r="BB140" s="45">
        <v>0</v>
      </c>
      <c r="BD140" s="45">
        <v>0</v>
      </c>
      <c r="BF140" s="45">
        <v>0</v>
      </c>
      <c r="BH140" s="45">
        <v>0</v>
      </c>
      <c r="BJ140" s="45">
        <v>0</v>
      </c>
      <c r="BL140" s="45">
        <v>0</v>
      </c>
      <c r="BN140" s="43"/>
    </row>
    <row r="141" spans="2:66" ht="14.45" hidden="1" customHeight="1" x14ac:dyDescent="0.25">
      <c r="B141" s="3" t="s">
        <v>66</v>
      </c>
      <c r="C141" s="3"/>
      <c r="D141" s="31"/>
      <c r="E141" s="31"/>
      <c r="F141" s="45">
        <v>0</v>
      </c>
      <c r="G141" s="31"/>
      <c r="H141" s="45">
        <v>0</v>
      </c>
      <c r="I141" s="31"/>
      <c r="J141" s="45">
        <v>0</v>
      </c>
      <c r="K141" s="31"/>
      <c r="L141" s="45">
        <v>0</v>
      </c>
      <c r="M141" s="31"/>
      <c r="N141" s="45">
        <v>0</v>
      </c>
      <c r="O141" s="31"/>
      <c r="P141" s="45">
        <v>0</v>
      </c>
      <c r="Q141" s="31"/>
      <c r="R141" s="45">
        <v>0</v>
      </c>
      <c r="S141" s="31"/>
      <c r="T141" s="45">
        <v>0</v>
      </c>
      <c r="U141" s="31"/>
      <c r="V141" s="45">
        <v>0</v>
      </c>
      <c r="W141" s="31"/>
      <c r="X141" s="45">
        <v>0</v>
      </c>
      <c r="Y141" s="31"/>
      <c r="Z141" s="45">
        <v>0</v>
      </c>
      <c r="AA141" s="31"/>
      <c r="AB141" s="45">
        <v>0</v>
      </c>
      <c r="AC141" s="31"/>
      <c r="AD141" s="45">
        <v>0</v>
      </c>
      <c r="AE141" s="31"/>
      <c r="AF141" s="45">
        <v>0</v>
      </c>
      <c r="AG141" s="31"/>
      <c r="AH141" s="45">
        <v>0</v>
      </c>
      <c r="AJ141" s="45">
        <v>0</v>
      </c>
      <c r="AL141" s="45">
        <v>0</v>
      </c>
      <c r="AN141" s="45">
        <v>0</v>
      </c>
      <c r="AP141" s="45">
        <v>0</v>
      </c>
      <c r="AR141" s="45">
        <v>0</v>
      </c>
      <c r="AT141" s="45">
        <v>0</v>
      </c>
      <c r="AV141" s="45">
        <v>0</v>
      </c>
      <c r="AX141" s="45">
        <v>0</v>
      </c>
      <c r="AZ141" s="45">
        <v>0</v>
      </c>
      <c r="BB141" s="45">
        <v>0</v>
      </c>
      <c r="BD141" s="45">
        <v>0</v>
      </c>
      <c r="BF141" s="45">
        <v>0</v>
      </c>
      <c r="BH141" s="45">
        <v>0</v>
      </c>
      <c r="BJ141" s="45">
        <v>0</v>
      </c>
      <c r="BL141" s="45">
        <v>0</v>
      </c>
      <c r="BN141" s="43"/>
    </row>
    <row r="142" spans="2:66" ht="14.45" hidden="1" customHeight="1" x14ac:dyDescent="0.25">
      <c r="B142" s="3" t="s">
        <v>16</v>
      </c>
      <c r="C142" s="3"/>
      <c r="D142" s="31"/>
      <c r="E142" s="31"/>
      <c r="F142" s="45">
        <v>0</v>
      </c>
      <c r="G142" s="31"/>
      <c r="H142" s="45">
        <v>0</v>
      </c>
      <c r="I142" s="31"/>
      <c r="J142" s="45">
        <v>0</v>
      </c>
      <c r="K142" s="31"/>
      <c r="L142" s="45">
        <v>0</v>
      </c>
      <c r="M142" s="31"/>
      <c r="N142" s="45">
        <v>0</v>
      </c>
      <c r="O142" s="31"/>
      <c r="P142" s="45">
        <v>0</v>
      </c>
      <c r="Q142" s="31"/>
      <c r="R142" s="45">
        <v>0</v>
      </c>
      <c r="S142" s="31"/>
      <c r="T142" s="45">
        <v>0</v>
      </c>
      <c r="U142" s="31"/>
      <c r="V142" s="45">
        <v>0</v>
      </c>
      <c r="W142" s="31"/>
      <c r="X142" s="45">
        <v>0</v>
      </c>
      <c r="Y142" s="31"/>
      <c r="Z142" s="45">
        <v>0</v>
      </c>
      <c r="AA142" s="31"/>
      <c r="AB142" s="45">
        <v>0</v>
      </c>
      <c r="AC142" s="31"/>
      <c r="AD142" s="45">
        <v>0</v>
      </c>
      <c r="AE142" s="31"/>
      <c r="AF142" s="45">
        <v>0</v>
      </c>
      <c r="AG142" s="31"/>
      <c r="AH142" s="45">
        <v>0</v>
      </c>
      <c r="AJ142" s="45">
        <v>0</v>
      </c>
      <c r="AL142" s="45">
        <v>0</v>
      </c>
      <c r="AN142" s="45">
        <v>0</v>
      </c>
      <c r="AP142" s="45">
        <v>0</v>
      </c>
      <c r="AR142" s="45">
        <v>0</v>
      </c>
      <c r="AT142" s="45">
        <v>0</v>
      </c>
      <c r="AV142" s="45">
        <v>0</v>
      </c>
      <c r="AX142" s="45">
        <v>0</v>
      </c>
      <c r="AZ142" s="45">
        <v>0</v>
      </c>
      <c r="BB142" s="45">
        <v>0</v>
      </c>
      <c r="BD142" s="45">
        <v>0</v>
      </c>
      <c r="BF142" s="45">
        <v>0</v>
      </c>
      <c r="BH142" s="45">
        <v>0</v>
      </c>
      <c r="BJ142" s="45">
        <v>0</v>
      </c>
      <c r="BL142" s="45">
        <v>0</v>
      </c>
      <c r="BN142" s="43"/>
    </row>
    <row r="143" spans="2:66" ht="14.45" hidden="1" customHeight="1" x14ac:dyDescent="0.25">
      <c r="B143" s="3" t="s">
        <v>17</v>
      </c>
      <c r="C143" s="3"/>
      <c r="D143" s="31"/>
      <c r="E143" s="31"/>
      <c r="F143" s="45">
        <v>0</v>
      </c>
      <c r="G143" s="31"/>
      <c r="H143" s="45">
        <v>0</v>
      </c>
      <c r="I143" s="31"/>
      <c r="J143" s="45">
        <v>0</v>
      </c>
      <c r="K143" s="31"/>
      <c r="L143" s="45">
        <v>0</v>
      </c>
      <c r="M143" s="31"/>
      <c r="N143" s="45">
        <v>0</v>
      </c>
      <c r="O143" s="31"/>
      <c r="P143" s="45">
        <v>0</v>
      </c>
      <c r="Q143" s="31"/>
      <c r="R143" s="45">
        <v>0</v>
      </c>
      <c r="S143" s="31"/>
      <c r="T143" s="45">
        <v>0</v>
      </c>
      <c r="U143" s="31"/>
      <c r="V143" s="45">
        <v>0</v>
      </c>
      <c r="W143" s="31"/>
      <c r="X143" s="45">
        <v>0</v>
      </c>
      <c r="Y143" s="31"/>
      <c r="Z143" s="45">
        <v>0</v>
      </c>
      <c r="AA143" s="31"/>
      <c r="AB143" s="45">
        <v>0</v>
      </c>
      <c r="AC143" s="31"/>
      <c r="AD143" s="45">
        <v>0</v>
      </c>
      <c r="AE143" s="31"/>
      <c r="AF143" s="45">
        <v>0</v>
      </c>
      <c r="AG143" s="31"/>
      <c r="AH143" s="45">
        <v>0</v>
      </c>
      <c r="AJ143" s="45">
        <v>0</v>
      </c>
      <c r="AL143" s="45">
        <v>0</v>
      </c>
      <c r="AN143" s="45">
        <v>0</v>
      </c>
      <c r="AP143" s="45">
        <v>0</v>
      </c>
      <c r="AR143" s="45">
        <v>0</v>
      </c>
      <c r="AT143" s="45">
        <v>0</v>
      </c>
      <c r="AV143" s="45">
        <v>0</v>
      </c>
      <c r="AX143" s="45">
        <v>0</v>
      </c>
      <c r="AZ143" s="45">
        <v>0</v>
      </c>
      <c r="BB143" s="45">
        <v>0</v>
      </c>
      <c r="BD143" s="45">
        <v>0</v>
      </c>
      <c r="BF143" s="45">
        <v>0</v>
      </c>
      <c r="BH143" s="45">
        <v>0</v>
      </c>
      <c r="BJ143" s="45">
        <v>0</v>
      </c>
      <c r="BL143" s="45">
        <v>0</v>
      </c>
      <c r="BN143" s="43"/>
    </row>
    <row r="144" spans="2:66" s="6" customFormat="1" ht="14.45" hidden="1" customHeight="1" x14ac:dyDescent="0.25">
      <c r="B144" s="6" t="s">
        <v>8</v>
      </c>
      <c r="D144" s="38"/>
      <c r="F144" s="42">
        <f>(F137*((F138*F143)+(F138*F141)+(F139*F142+F140)))</f>
        <v>0</v>
      </c>
      <c r="G144" s="74"/>
      <c r="H144" s="42">
        <f>(H137*((H138*H143)+(H138*H141)+(H139*H142+H140)))</f>
        <v>0</v>
      </c>
      <c r="I144" s="74"/>
      <c r="J144" s="42">
        <f>(J137*((J138*J143)+(J138*J141)+(J139*J142+J140)))</f>
        <v>0</v>
      </c>
      <c r="K144" s="40"/>
      <c r="L144" s="42">
        <f>(L137*((L138*L143)+(L138*L141)+(L139*L142+L140)))</f>
        <v>0</v>
      </c>
      <c r="M144" s="74"/>
      <c r="N144" s="42">
        <f>(N137*((N138*N143)+(N138*N141)+(N139*N142+N140)))</f>
        <v>0</v>
      </c>
      <c r="O144" s="40"/>
      <c r="P144" s="42">
        <f>(P137*((P138*P143)+(P138*P141)+(P139*P142+P140)))</f>
        <v>0</v>
      </c>
      <c r="Q144" s="40"/>
      <c r="R144" s="42">
        <f>(R137*((R138*R143)+(R138*R141)+(R139*R142+R140)))</f>
        <v>0</v>
      </c>
      <c r="S144" s="40"/>
      <c r="T144" s="42">
        <f>(T137*((T138*T143)+(T138*T141)+(T139*T142+T140)))</f>
        <v>0</v>
      </c>
      <c r="U144" s="40"/>
      <c r="V144" s="42">
        <f>(V137*((V138*V143)+(V138*V141)+(V139*V142+V140)))</f>
        <v>0</v>
      </c>
      <c r="W144" s="40"/>
      <c r="X144" s="42">
        <f>(X137*((X138*X143)+(X138*X141)+(X139*X142+X140)))</f>
        <v>0</v>
      </c>
      <c r="Y144" s="40"/>
      <c r="Z144" s="42">
        <f>(Z137*((Z138*Z143)+(Z138*Z141)+(Z139*Z142+Z140)))</f>
        <v>0</v>
      </c>
      <c r="AA144" s="40"/>
      <c r="AB144" s="42">
        <f>(AB137*((AB138*AB143)+(AB138*AB141)+(AB139*AB142+AB140)))</f>
        <v>0</v>
      </c>
      <c r="AC144" s="40"/>
      <c r="AD144" s="42">
        <f>(AD137*((AD138*AD143)+(AD138*AD141)+(AD139*AD142+AD140)))</f>
        <v>0</v>
      </c>
      <c r="AE144" s="74"/>
      <c r="AF144" s="42">
        <f>(AF137*((AF138*AF143)+(AF138*AF141)+(AF139*AF142+AF140)))</f>
        <v>0</v>
      </c>
      <c r="AG144" s="40"/>
      <c r="AH144" s="42">
        <f>(AH137*((AH138*AH143)+(AH138*AH141)+(AH139*AH142+AH140)))</f>
        <v>0</v>
      </c>
      <c r="AJ144" s="42">
        <f t="shared" ref="AJ144" si="169">(AJ137*((AJ138*AJ143)+(AJ138*AJ141)+(AJ139*AJ142+AJ140)))</f>
        <v>0</v>
      </c>
      <c r="AL144" s="42">
        <f t="shared" ref="AL144" si="170">(AL137*((AL138*AL143)+(AL138*AL141)+(AL139*AL142+AL140)))</f>
        <v>0</v>
      </c>
      <c r="AN144" s="42">
        <f t="shared" ref="AN144" si="171">(AN137*((AN138*AN143)+(AN138*AN141)+(AN139*AN142+AN140)))</f>
        <v>0</v>
      </c>
      <c r="AP144" s="42">
        <f t="shared" ref="AP144" si="172">(AP137*((AP138*AP143)+(AP138*AP141)+(AP139*AP142+AP140)))</f>
        <v>0</v>
      </c>
      <c r="AR144" s="42">
        <f t="shared" ref="AR144" si="173">(AR137*((AR138*AR143)+(AR138*AR141)+(AR139*AR142+AR140)))</f>
        <v>0</v>
      </c>
      <c r="AT144" s="42">
        <f t="shared" ref="AT144" si="174">(AT137*((AT138*AT143)+(AT138*AT141)+(AT139*AT142+AT140)))</f>
        <v>0</v>
      </c>
      <c r="AV144" s="42">
        <f t="shared" ref="AV144" si="175">(AV137*((AV138*AV143)+(AV138*AV141)+(AV139*AV142+AV140)))</f>
        <v>0</v>
      </c>
      <c r="AX144" s="42">
        <f t="shared" ref="AX144" si="176">(AX137*((AX138*AX143)+(AX138*AX141)+(AX139*AX142+AX140)))</f>
        <v>0</v>
      </c>
      <c r="AZ144" s="42">
        <f t="shared" ref="AZ144" si="177">(AZ137*((AZ138*AZ143)+(AZ138*AZ141)+(AZ139*AZ142+AZ140)))</f>
        <v>0</v>
      </c>
      <c r="BB144" s="42">
        <f t="shared" ref="BB144" si="178">(BB137*((BB138*BB143)+(BB138*BB141)+(BB139*BB142+BB140)))</f>
        <v>0</v>
      </c>
      <c r="BD144" s="42">
        <f t="shared" ref="BD144" si="179">(BD137*((BD138*BD143)+(BD138*BD141)+(BD139*BD142+BD140)))</f>
        <v>0</v>
      </c>
      <c r="BF144" s="42">
        <f t="shared" ref="BF144" si="180">(BF137*((BF138*BF143)+(BF138*BF141)+(BF139*BF142+BF140)))</f>
        <v>0</v>
      </c>
      <c r="BH144" s="42">
        <f t="shared" ref="BH144" si="181">(BH137*((BH138*BH143)+(BH138*BH141)+(BH139*BH142+BH140)))</f>
        <v>0</v>
      </c>
      <c r="BJ144" s="42">
        <f t="shared" ref="BJ144" si="182">(BJ137*((BJ138*BJ143)+(BJ138*BJ141)+(BJ139*BJ142+BJ140)))</f>
        <v>0</v>
      </c>
      <c r="BL144" s="42">
        <f t="shared" ref="BL144" si="183">(BL137*((BL138*BL143)+(BL138*BL141)+(BL139*BL142+BL140)))</f>
        <v>0</v>
      </c>
      <c r="BN144" s="84">
        <f>SUMIF(D$32:BO$32,"Dollar Value",D144:BO144)</f>
        <v>0</v>
      </c>
    </row>
    <row r="145" spans="2:66" s="6" customFormat="1" ht="14.45" customHeight="1" collapsed="1" x14ac:dyDescent="0.25">
      <c r="D145" s="38"/>
      <c r="F145" s="42"/>
      <c r="G145" s="69"/>
      <c r="H145" s="42"/>
      <c r="I145" s="69"/>
      <c r="J145" s="42"/>
      <c r="K145" s="69"/>
      <c r="L145" s="42"/>
      <c r="M145" s="69"/>
      <c r="N145" s="42"/>
      <c r="O145" s="69"/>
      <c r="P145" s="42"/>
      <c r="Q145" s="69"/>
      <c r="R145" s="42"/>
      <c r="S145" s="69"/>
      <c r="T145" s="42"/>
      <c r="U145" s="69"/>
      <c r="V145" s="42"/>
      <c r="W145" s="69"/>
      <c r="X145" s="42"/>
      <c r="Y145" s="69"/>
      <c r="Z145" s="42"/>
      <c r="AA145" s="69"/>
      <c r="AB145" s="42"/>
      <c r="AC145" s="69"/>
      <c r="AD145" s="42"/>
      <c r="AE145" s="69"/>
      <c r="AF145" s="42"/>
      <c r="AG145" s="69"/>
      <c r="AH145" s="42"/>
      <c r="AJ145" s="42"/>
      <c r="AL145" s="42"/>
      <c r="AN145" s="42"/>
      <c r="AP145" s="42"/>
      <c r="AR145" s="42"/>
      <c r="AT145" s="42"/>
      <c r="AV145" s="42"/>
      <c r="AX145" s="42"/>
      <c r="AZ145" s="42"/>
      <c r="BB145" s="42"/>
      <c r="BD145" s="42"/>
      <c r="BF145" s="42"/>
      <c r="BH145" s="42"/>
      <c r="BJ145" s="42"/>
      <c r="BL145" s="42"/>
      <c r="BN145" s="84">
        <f>SUMIF(D$32:BO$32,"Dollar Value",D145:BO145)</f>
        <v>0</v>
      </c>
    </row>
    <row r="146" spans="2:66" ht="14.45" customHeight="1" x14ac:dyDescent="0.25">
      <c r="B146" s="4" t="s">
        <v>19</v>
      </c>
      <c r="C146" s="4"/>
      <c r="D146" s="31"/>
      <c r="F146" s="43">
        <f>SUM(F114+F104+F83+F81+F79+F77+F75+F85+F87+F89+F91+F93+F124+F134+F144)</f>
        <v>0</v>
      </c>
      <c r="H146" s="43">
        <f>SUM(H114+H104+H83+H81+H79+H77+H75+H85+H87+H89+H91+H93+H124+H134+H144)</f>
        <v>0</v>
      </c>
      <c r="J146" s="43">
        <f>SUM(J114+J104+J83+J81+J79+J77+J75+J85+J87+J89+J91+J93+J124+J134+J144)</f>
        <v>0</v>
      </c>
      <c r="K146" s="55"/>
      <c r="L146" s="43">
        <f>SUM(L114+L104+L83+L81+L79+L77+L75+L85+L87+L89+L91+L93+L124+L134+L144)</f>
        <v>0</v>
      </c>
      <c r="M146" s="55"/>
      <c r="N146" s="43">
        <f>SUM(N114+N104+N83+N81+N79+N77+N75+N85+N87+N89+N91+N93+N124+N134+N144)</f>
        <v>0</v>
      </c>
      <c r="O146" s="55"/>
      <c r="P146" s="43">
        <f>SUM(P114+P104+P83+P81+P79+P77+P75+P85+P87+P89+P91+P93+P124+P134+P144)</f>
        <v>0</v>
      </c>
      <c r="Q146" s="55"/>
      <c r="R146" s="43">
        <f>SUM(R114+R104+R83+R81+R79+R77+R75+R85+R87+R89+R91+R93+R124+R134+R144)</f>
        <v>0</v>
      </c>
      <c r="S146" s="55"/>
      <c r="T146" s="43">
        <f>SUM(T114+T104+T83+T81+T79+T77+T75+T85+T87+T89+T91+T93+T124+T134+T144)</f>
        <v>0</v>
      </c>
      <c r="V146" s="43">
        <f>SUM(V114+V104+V83+V81+V79+V77+V75+V85+V87+V89+V91+V93+V124+V134+V144)</f>
        <v>0</v>
      </c>
      <c r="W146" s="55"/>
      <c r="X146" s="43">
        <f>SUM(X114+X104+X83+X81+X79+X77+X75+X85+X87+X89+X91+X93+X124+X134+X144)</f>
        <v>0</v>
      </c>
      <c r="Y146" s="55"/>
      <c r="Z146" s="43">
        <f>SUM(Z114+Z104+Z83+Z81+Z79+Z77+Z75+Z85+Z87+Z89+Z91+Z93+Z124+Z134+Z144)</f>
        <v>0</v>
      </c>
      <c r="AB146" s="43">
        <f>SUM(AB114+AB104+AB83+AB81+AB79+AB77+AB75+AB85+AB87+AB89+AB91+AB93+AB124+AB134+AB144)</f>
        <v>0</v>
      </c>
      <c r="AC146" s="55"/>
      <c r="AD146" s="43">
        <f>SUM(AD114+AD104+AD83+AD81+AD79+AD77+AD75+AD85+AD87+AD89+AD91+AD93+AD124+AD134+AD144)</f>
        <v>0</v>
      </c>
      <c r="AE146" s="55"/>
      <c r="AF146" s="43">
        <f>SUM(AF114+AF104+AF83+AF81+AF79+AF77+AF75+AF85+AF87+AF89+AF91+AF93+AF124+AF134+AF144)</f>
        <v>0</v>
      </c>
      <c r="AG146" s="55"/>
      <c r="AH146" s="43">
        <f>SUM(AH114+AH104+AH83+AH81+AH79+AH77+AH75+AH85+AH87+AH89+AH91+AH93+AH124+AH134+AH144)</f>
        <v>0</v>
      </c>
      <c r="AJ146" s="43">
        <f t="shared" ref="AJ146" si="184">SUM(AJ114+AJ104+AJ83+AJ81+AJ79+AJ77+AJ75+AJ85+AJ87+AJ89+AJ91+AJ93+AJ124+AJ134+AJ144)</f>
        <v>0</v>
      </c>
      <c r="AL146" s="43">
        <f t="shared" ref="AL146" si="185">SUM(AL114+AL104+AL83+AL81+AL79+AL77+AL75+AL85+AL87+AL89+AL91+AL93+AL124+AL134+AL144)</f>
        <v>0</v>
      </c>
      <c r="AN146" s="43">
        <f t="shared" ref="AN146" si="186">SUM(AN114+AN104+AN83+AN81+AN79+AN77+AN75+AN85+AN87+AN89+AN91+AN93+AN124+AN134+AN144)</f>
        <v>0</v>
      </c>
      <c r="AP146" s="43">
        <f t="shared" ref="AP146" si="187">SUM(AP114+AP104+AP83+AP81+AP79+AP77+AP75+AP85+AP87+AP89+AP91+AP93+AP124+AP134+AP144)</f>
        <v>0</v>
      </c>
      <c r="AR146" s="43">
        <f t="shared" ref="AR146" si="188">SUM(AR114+AR104+AR83+AR81+AR79+AR77+AR75+AR85+AR87+AR89+AR91+AR93+AR124+AR134+AR144)</f>
        <v>0</v>
      </c>
      <c r="AT146" s="43">
        <f t="shared" ref="AT146" si="189">SUM(AT114+AT104+AT83+AT81+AT79+AT77+AT75+AT85+AT87+AT89+AT91+AT93+AT124+AT134+AT144)</f>
        <v>0</v>
      </c>
      <c r="AV146" s="43">
        <f t="shared" ref="AV146" si="190">SUM(AV114+AV104+AV83+AV81+AV79+AV77+AV75+AV85+AV87+AV89+AV91+AV93+AV124+AV134+AV144)</f>
        <v>0</v>
      </c>
      <c r="AX146" s="43">
        <f t="shared" ref="AX146" si="191">SUM(AX114+AX104+AX83+AX81+AX79+AX77+AX75+AX85+AX87+AX89+AX91+AX93+AX124+AX134+AX144)</f>
        <v>0</v>
      </c>
      <c r="AZ146" s="43">
        <f t="shared" ref="AZ146" si="192">SUM(AZ114+AZ104+AZ83+AZ81+AZ79+AZ77+AZ75+AZ85+AZ87+AZ89+AZ91+AZ93+AZ124+AZ134+AZ144)</f>
        <v>0</v>
      </c>
      <c r="BB146" s="43">
        <f t="shared" ref="BB146" si="193">SUM(BB114+BB104+BB83+BB81+BB79+BB77+BB75+BB85+BB87+BB89+BB91+BB93+BB124+BB134+BB144)</f>
        <v>0</v>
      </c>
      <c r="BD146" s="43">
        <f t="shared" ref="BD146" si="194">SUM(BD114+BD104+BD83+BD81+BD79+BD77+BD75+BD85+BD87+BD89+BD91+BD93+BD124+BD134+BD144)</f>
        <v>0</v>
      </c>
      <c r="BF146" s="43">
        <f t="shared" ref="BF146" si="195">SUM(BF114+BF104+BF83+BF81+BF79+BF77+BF75+BF85+BF87+BF89+BF91+BF93+BF124+BF134+BF144)</f>
        <v>0</v>
      </c>
      <c r="BH146" s="43">
        <f t="shared" ref="BH146" si="196">SUM(BH114+BH104+BH83+BH81+BH79+BH77+BH75+BH85+BH87+BH89+BH91+BH93+BH124+BH134+BH144)</f>
        <v>0</v>
      </c>
      <c r="BJ146" s="43">
        <f t="shared" ref="BJ146" si="197">SUM(BJ114+BJ104+BJ83+BJ81+BJ79+BJ77+BJ75+BJ85+BJ87+BJ89+BJ91+BJ93+BJ124+BJ134+BJ144)</f>
        <v>0</v>
      </c>
      <c r="BL146" s="43">
        <f t="shared" ref="BL146" si="198">SUM(BL114+BL104+BL83+BL81+BL79+BL77+BL75+BL85+BL87+BL89+BL91+BL93+BL124+BL134+BL144)</f>
        <v>0</v>
      </c>
      <c r="BN146" s="34">
        <f>SUMIF(D$32:BO$32,"Dollar Value",D146:BO146)</f>
        <v>0</v>
      </c>
    </row>
    <row r="147" spans="2:66" ht="14.45" customHeight="1" x14ac:dyDescent="0.25">
      <c r="D147" s="31"/>
      <c r="F147" s="35"/>
      <c r="G147" s="41"/>
      <c r="H147" s="35"/>
      <c r="I147" s="41"/>
      <c r="J147" s="35"/>
      <c r="K147" s="41"/>
      <c r="L147" s="35"/>
      <c r="M147" s="41"/>
      <c r="N147" s="35"/>
      <c r="O147" s="41"/>
      <c r="P147" s="35"/>
      <c r="Q147" s="41"/>
      <c r="R147" s="35"/>
      <c r="S147" s="41"/>
      <c r="T147" s="35"/>
      <c r="U147" s="41"/>
      <c r="V147" s="35"/>
      <c r="W147" s="41"/>
      <c r="X147" s="35"/>
      <c r="Y147" s="41"/>
      <c r="Z147" s="35"/>
      <c r="AA147" s="41"/>
      <c r="AB147" s="35"/>
      <c r="AC147" s="41"/>
      <c r="AD147" s="35"/>
      <c r="AE147" s="41"/>
      <c r="AF147" s="35"/>
      <c r="AG147" s="41"/>
      <c r="AH147" s="35"/>
      <c r="AJ147" s="35"/>
      <c r="AL147" s="35"/>
      <c r="AN147" s="35"/>
      <c r="AP147" s="35"/>
      <c r="AR147" s="35"/>
      <c r="AT147" s="35"/>
      <c r="AV147" s="35"/>
      <c r="AX147" s="35"/>
      <c r="AZ147" s="35"/>
      <c r="BB147" s="35"/>
      <c r="BD147" s="35"/>
      <c r="BF147" s="35"/>
      <c r="BH147" s="35"/>
      <c r="BJ147" s="35"/>
      <c r="BL147" s="35"/>
      <c r="BN147" s="43"/>
    </row>
    <row r="148" spans="2:66" x14ac:dyDescent="0.25">
      <c r="B148" t="s">
        <v>20</v>
      </c>
      <c r="D148" s="31"/>
      <c r="F148" s="36">
        <f>IF(ISERROR(F146+F72), "$0",F146+F72)</f>
        <v>1.0425422</v>
      </c>
      <c r="H148" s="36">
        <f>IF(ISERROR(H146+H72), "$0",H146+H72)</f>
        <v>6.2552532000000003</v>
      </c>
      <c r="J148" s="36">
        <f>IF(ISERROR(J146+J72), "$0",J146+J72)</f>
        <v>6.2552532000000003</v>
      </c>
      <c r="L148" s="36">
        <f>IF(ISERROR(L146+L72), "$0",L146+L72)</f>
        <v>990.41508999999996</v>
      </c>
      <c r="N148" s="36">
        <f>IF(ISERROR(N146+N72), "$0",N146+N72)</f>
        <v>6.2552532000000003</v>
      </c>
      <c r="P148" s="36">
        <f>IF(ISERROR(P146+P72), "$0",P146+P72)</f>
        <v>6.2552532000000003</v>
      </c>
      <c r="R148" s="36">
        <f>IF(ISERROR(R146+R72), "$0",R146+R72)</f>
        <v>6.2552532000000003</v>
      </c>
      <c r="T148" s="36">
        <f>IF(ISERROR(T146+T72), "$0",T146+T72)</f>
        <v>6.2552532000000003</v>
      </c>
      <c r="V148" s="36">
        <f>IF(ISERROR(V146+V72), "$0",V146+V72)</f>
        <v>6.2552532000000003</v>
      </c>
      <c r="X148" s="36">
        <f>IF(ISERROR(X146+X72), "$0",X146+X72)</f>
        <v>6.2552532000000003</v>
      </c>
      <c r="Z148" s="36">
        <f>IF(ISERROR(Z146+Z72), "$0",Z146+Z72)</f>
        <v>6.2552532000000003</v>
      </c>
      <c r="AB148" s="36">
        <f>IF(ISERROR(AB146+AB72), "$0",AB146+AB72)</f>
        <v>6.2552532000000003</v>
      </c>
      <c r="AD148" s="36">
        <f>IF(ISERROR(AD146+AD72), "$0",AD146+AD72)</f>
        <v>6.2552532000000003</v>
      </c>
      <c r="AF148" s="36">
        <f>IF(ISERROR(AF146+AF72), "$0",AF146+AF72)</f>
        <v>990.41508999999996</v>
      </c>
      <c r="AH148" s="36">
        <f>IF(ISERROR(AH146+AH72), "$0",AH146+AH72)</f>
        <v>990.41508999999996</v>
      </c>
      <c r="AI148" s="1"/>
      <c r="AJ148" s="36">
        <f t="shared" ref="AJ148" si="199">IF(ISERROR(AJ146+AJ72), "$0",AJ146+AJ72)</f>
        <v>0</v>
      </c>
      <c r="AK148" s="1"/>
      <c r="AL148" s="36">
        <f t="shared" ref="AL148" si="200">IF(ISERROR(AL146+AL72), "$0",AL146+AL72)</f>
        <v>0</v>
      </c>
      <c r="AM148" s="1"/>
      <c r="AN148" s="36">
        <f t="shared" ref="AN148" si="201">IF(ISERROR(AN146+AN72), "$0",AN146+AN72)</f>
        <v>0</v>
      </c>
      <c r="AO148" s="1"/>
      <c r="AP148" s="36">
        <f t="shared" ref="AP148" si="202">IF(ISERROR(AP146+AP72), "$0",AP146+AP72)</f>
        <v>0</v>
      </c>
      <c r="AQ148" s="1"/>
      <c r="AR148" s="36">
        <f t="shared" ref="AR148" si="203">IF(ISERROR(AR146+AR72), "$0",AR146+AR72)</f>
        <v>0</v>
      </c>
      <c r="AT148" s="36">
        <f t="shared" ref="AT148" si="204">IF(ISERROR(AT146+AT72), "$0",AT146+AT72)</f>
        <v>0</v>
      </c>
      <c r="AU148" s="1"/>
      <c r="AV148" s="36">
        <f t="shared" ref="AV148" si="205">IF(ISERROR(AV146+AV72), "$0",AV146+AV72)</f>
        <v>0</v>
      </c>
      <c r="AW148" s="1"/>
      <c r="AX148" s="36">
        <f t="shared" ref="AX148" si="206">IF(ISERROR(AX146+AX72), "$0",AX146+AX72)</f>
        <v>0</v>
      </c>
      <c r="AY148" s="1"/>
      <c r="AZ148" s="36">
        <f t="shared" ref="AZ148" si="207">IF(ISERROR(AZ146+AZ72), "$0",AZ146+AZ72)</f>
        <v>0</v>
      </c>
      <c r="BA148" s="1"/>
      <c r="BB148" s="36">
        <f t="shared" ref="BB148" si="208">IF(ISERROR(BB146+BB72), "$0",BB146+BB72)</f>
        <v>0</v>
      </c>
      <c r="BC148" s="1"/>
      <c r="BD148" s="36">
        <f t="shared" ref="BD148" si="209">IF(ISERROR(BD146+BD72), "$0",BD146+BD72)</f>
        <v>0</v>
      </c>
      <c r="BE148" s="1"/>
      <c r="BF148" s="36">
        <f t="shared" ref="BF148" si="210">IF(ISERROR(BF146+BF72), "$0",BF146+BF72)</f>
        <v>0</v>
      </c>
      <c r="BG148" s="1"/>
      <c r="BH148" s="36">
        <f t="shared" ref="BH148" si="211">IF(ISERROR(BH146+BH72), "$0",BH146+BH72)</f>
        <v>0</v>
      </c>
      <c r="BI148" s="1"/>
      <c r="BJ148" s="36">
        <f t="shared" ref="BJ148" si="212">IF(ISERROR(BJ146+BJ72), "$0",BJ146+BJ72)</f>
        <v>0</v>
      </c>
      <c r="BK148" s="1"/>
      <c r="BL148" s="36">
        <f t="shared" ref="BL148" si="213">IF(ISERROR(BL146+BL72), "$0",BL146+BL72)</f>
        <v>0</v>
      </c>
      <c r="BN148" s="34">
        <f>SUMIF(D$32:BO$32,"Dollar Value",D148:BO148)</f>
        <v>3041.0955973999994</v>
      </c>
    </row>
    <row r="149" spans="2:66" x14ac:dyDescent="0.25">
      <c r="B149" t="s">
        <v>182</v>
      </c>
      <c r="D149" s="96">
        <v>0.12</v>
      </c>
      <c r="F149" s="34">
        <f>F146*$D$149</f>
        <v>0</v>
      </c>
      <c r="H149" s="34">
        <f>H146*$D$149</f>
        <v>0</v>
      </c>
      <c r="J149" s="34">
        <f>J146*$D$149</f>
        <v>0</v>
      </c>
      <c r="L149" s="34">
        <f>L146*$D$149</f>
        <v>0</v>
      </c>
      <c r="N149" s="34">
        <f>N146*$D$149</f>
        <v>0</v>
      </c>
      <c r="P149" s="34">
        <f>P146*$D$149</f>
        <v>0</v>
      </c>
      <c r="R149" s="34">
        <f>R146*$D$149</f>
        <v>0</v>
      </c>
      <c r="T149" s="34">
        <f>T146*$D$149</f>
        <v>0</v>
      </c>
      <c r="V149" s="34">
        <f>V146*$D$149</f>
        <v>0</v>
      </c>
      <c r="X149" s="34">
        <f>X146*$D$149</f>
        <v>0</v>
      </c>
      <c r="Z149" s="34">
        <f>Z146*$D$149</f>
        <v>0</v>
      </c>
      <c r="AB149" s="34">
        <f>AB146*$D$149</f>
        <v>0</v>
      </c>
      <c r="AD149" s="34">
        <f>AD146*$D$149</f>
        <v>0</v>
      </c>
      <c r="AF149" s="34">
        <f>AF146*$D$149</f>
        <v>0</v>
      </c>
      <c r="AH149" s="34">
        <f>AH146*$D$149</f>
        <v>0</v>
      </c>
      <c r="AI149" s="1"/>
      <c r="AJ149" s="34">
        <f>IF(ISERROR(AJ148*AH149), "$", AJ148*$D$149)</f>
        <v>0</v>
      </c>
      <c r="AK149" s="1"/>
      <c r="AL149" s="34">
        <f>IF(ISERROR(AL148*AJ149), "$", AL148*$D$149)</f>
        <v>0</v>
      </c>
      <c r="AM149" s="1"/>
      <c r="AN149" s="34">
        <f>IF(ISERROR(AN148*AL149), "$", AN148*$D$149)</f>
        <v>0</v>
      </c>
      <c r="AO149" s="1"/>
      <c r="AP149" s="34">
        <f>IF(ISERROR(AP148*AN149), "$", AP148*$D$149)</f>
        <v>0</v>
      </c>
      <c r="AQ149" s="1"/>
      <c r="AR149" s="34">
        <f>IF(ISERROR(AR148*AP149), "$", AR148*$D$149)</f>
        <v>0</v>
      </c>
      <c r="AT149" s="34">
        <f>IF(ISERROR(AT148*AR149), "$", AT148*$D$149)</f>
        <v>0</v>
      </c>
      <c r="AU149" s="1"/>
      <c r="AV149" s="34">
        <f>IF(ISERROR(AV148*AT149), "$", AV148*$D$149)</f>
        <v>0</v>
      </c>
      <c r="AW149" s="1"/>
      <c r="AX149" s="34">
        <f>IF(ISERROR(AX148*AV149), "$", AX148*$D$149)</f>
        <v>0</v>
      </c>
      <c r="AY149" s="1"/>
      <c r="AZ149" s="34">
        <f>IF(ISERROR(AZ148*AX149), "$", AZ148*$D$149)</f>
        <v>0</v>
      </c>
      <c r="BA149" s="1"/>
      <c r="BB149" s="34">
        <f>IF(ISERROR(BB148*AZ149), "$", BB148*$D$149)</f>
        <v>0</v>
      </c>
      <c r="BC149" s="1"/>
      <c r="BD149" s="34">
        <f>IF(ISERROR(BD148*BB149), "$", BD148*$D$149)</f>
        <v>0</v>
      </c>
      <c r="BE149" s="1"/>
      <c r="BF149" s="34">
        <f>IF(ISERROR(BF148*BD149), "$", BF148*$D$149)</f>
        <v>0</v>
      </c>
      <c r="BG149" s="1"/>
      <c r="BH149" s="34">
        <f>IF(ISERROR(BH148*BF149), "$", BH148*$D$149)</f>
        <v>0</v>
      </c>
      <c r="BI149" s="1"/>
      <c r="BJ149" s="34">
        <f>IF(ISERROR(BJ148*BH149), "$", BJ148*$D$149)</f>
        <v>0</v>
      </c>
      <c r="BK149" s="1"/>
      <c r="BL149" s="34">
        <f>IF(ISERROR(BL148*BJ149), "$", BL148*$D$149)</f>
        <v>0</v>
      </c>
      <c r="BN149" s="34">
        <f>SUMIF(D$32:BO$32,"Dollar Value",D149:BO149)</f>
        <v>0</v>
      </c>
    </row>
    <row r="150" spans="2:66" x14ac:dyDescent="0.25">
      <c r="B150" t="s">
        <v>183</v>
      </c>
      <c r="D150" s="96">
        <v>0.14299999999999999</v>
      </c>
      <c r="F150" s="34">
        <f>F72*$D150</f>
        <v>0.14908353459999998</v>
      </c>
      <c r="H150" s="34">
        <f>H72*$D150</f>
        <v>0.89450120759999996</v>
      </c>
      <c r="J150" s="34">
        <f>J72*$D150</f>
        <v>0.89450120759999996</v>
      </c>
      <c r="L150" s="34">
        <f>L72*$D150</f>
        <v>141.62935786999998</v>
      </c>
      <c r="N150" s="34">
        <f>N72*$D150</f>
        <v>0.89450120759999996</v>
      </c>
      <c r="P150" s="34">
        <f>P72*$D150</f>
        <v>0.89450120759999996</v>
      </c>
      <c r="R150" s="34">
        <f>R72*$D150</f>
        <v>0.89450120759999996</v>
      </c>
      <c r="T150" s="34">
        <f>T72*$D150</f>
        <v>0.89450120759999996</v>
      </c>
      <c r="V150" s="34">
        <f>V72*$D150</f>
        <v>0.89450120759999996</v>
      </c>
      <c r="X150" s="34">
        <f>X72*$D150</f>
        <v>0.89450120759999996</v>
      </c>
      <c r="Z150" s="34">
        <f>Z72*$D150</f>
        <v>0.89450120759999996</v>
      </c>
      <c r="AB150" s="34">
        <f>AB72*$D150</f>
        <v>0.89450120759999996</v>
      </c>
      <c r="AD150" s="34">
        <f>AD72*$D150</f>
        <v>0.89450120759999996</v>
      </c>
      <c r="AF150" s="34">
        <f>AF72*$D150</f>
        <v>141.62935786999998</v>
      </c>
      <c r="AH150" s="34">
        <f>AH72*$D150</f>
        <v>141.62935786999998</v>
      </c>
      <c r="AI150" s="1"/>
      <c r="AJ150" s="34">
        <f>IF(ISERROR(AJ149*AH150), "$", AJ149*$D$149)</f>
        <v>0</v>
      </c>
      <c r="AK150" s="1"/>
      <c r="AL150" s="34">
        <f>IF(ISERROR(AL149*AJ150), "$", AL149*$D$149)</f>
        <v>0</v>
      </c>
      <c r="AM150" s="1"/>
      <c r="AN150" s="34">
        <f>IF(ISERROR(AN149*AL150), "$", AN149*$D$149)</f>
        <v>0</v>
      </c>
      <c r="AO150" s="1"/>
      <c r="AP150" s="34">
        <f>IF(ISERROR(AP149*AN150), "$", AP149*$D$149)</f>
        <v>0</v>
      </c>
      <c r="AQ150" s="1"/>
      <c r="AR150" s="34">
        <f>IF(ISERROR(AR149*AP150), "$", AR149*$D$149)</f>
        <v>0</v>
      </c>
      <c r="AT150" s="34">
        <f>IF(ISERROR(AT149*AR150), "$", AT149*$D$149)</f>
        <v>0</v>
      </c>
      <c r="AU150" s="1"/>
      <c r="AV150" s="34">
        <f>IF(ISERROR(AV149*AT150), "$", AV149*$D$149)</f>
        <v>0</v>
      </c>
      <c r="AW150" s="1"/>
      <c r="AX150" s="34">
        <f>IF(ISERROR(AX149*AV150), "$", AX149*$D$149)</f>
        <v>0</v>
      </c>
      <c r="AY150" s="1"/>
      <c r="AZ150" s="34">
        <f>IF(ISERROR(AZ149*AX150), "$", AZ149*$D$149)</f>
        <v>0</v>
      </c>
      <c r="BA150" s="1"/>
      <c r="BB150" s="34">
        <f>IF(ISERROR(BB149*AZ150), "$", BB149*$D$149)</f>
        <v>0</v>
      </c>
      <c r="BC150" s="1"/>
      <c r="BD150" s="34">
        <f>IF(ISERROR(BD149*BB150), "$", BD149*$D$149)</f>
        <v>0</v>
      </c>
      <c r="BE150" s="1"/>
      <c r="BF150" s="34">
        <f>IF(ISERROR(BF149*BD150), "$", BF149*$D$149)</f>
        <v>0</v>
      </c>
      <c r="BG150" s="1"/>
      <c r="BH150" s="34">
        <f>IF(ISERROR(BH149*BF150), "$", BH149*$D$149)</f>
        <v>0</v>
      </c>
      <c r="BI150" s="1"/>
      <c r="BJ150" s="34">
        <f>IF(ISERROR(BJ149*BH150), "$", BJ149*$D$149)</f>
        <v>0</v>
      </c>
      <c r="BK150" s="1"/>
      <c r="BL150" s="34">
        <f>IF(ISERROR(BL149*BJ150), "$", BL149*$D$149)</f>
        <v>0</v>
      </c>
      <c r="BN150" s="34">
        <f>SUMIF(D$32:BO$32,"Dollar Value",D150:BO150)</f>
        <v>434.87667042819993</v>
      </c>
    </row>
    <row r="151" spans="2:66" x14ac:dyDescent="0.25">
      <c r="D151" s="31"/>
      <c r="F151" s="37"/>
      <c r="H151" s="37"/>
      <c r="J151" s="37"/>
      <c r="L151" s="37"/>
      <c r="N151" s="37"/>
      <c r="P151" s="37"/>
      <c r="R151" s="37"/>
      <c r="T151" s="37"/>
      <c r="V151" s="37"/>
      <c r="X151" s="37"/>
      <c r="Z151" s="37"/>
      <c r="AB151" s="37"/>
      <c r="AD151" s="37"/>
      <c r="AF151" s="37"/>
      <c r="AH151" s="37"/>
      <c r="AI151" s="1"/>
      <c r="AJ151" s="37"/>
      <c r="AK151" s="1"/>
      <c r="AL151" s="37"/>
      <c r="AM151" s="1"/>
      <c r="AN151" s="37"/>
      <c r="AO151" s="1"/>
      <c r="AP151" s="37"/>
      <c r="AQ151" s="1"/>
      <c r="AR151" s="37"/>
      <c r="AT151" s="37"/>
      <c r="AU151" s="1"/>
      <c r="AV151" s="37"/>
      <c r="AW151" s="1"/>
      <c r="AX151" s="37"/>
      <c r="AY151" s="1"/>
      <c r="AZ151" s="37"/>
      <c r="BA151" s="1"/>
      <c r="BB151" s="37"/>
      <c r="BC151" s="1"/>
      <c r="BD151" s="37"/>
      <c r="BE151" s="1"/>
      <c r="BF151" s="37"/>
      <c r="BG151" s="1"/>
      <c r="BH151" s="37"/>
      <c r="BI151" s="1"/>
      <c r="BJ151" s="37"/>
      <c r="BK151" s="1"/>
      <c r="BL151" s="37"/>
      <c r="BN151" s="43"/>
    </row>
    <row r="152" spans="2:66" x14ac:dyDescent="0.25">
      <c r="B152" s="4" t="s">
        <v>21</v>
      </c>
      <c r="C152" s="4"/>
      <c r="D152" s="31"/>
      <c r="F152" s="36">
        <f>SUM(F148:F150)</f>
        <v>1.1916257345999999</v>
      </c>
      <c r="H152" s="36">
        <f>SUM(H148:H150)</f>
        <v>7.1497544076000006</v>
      </c>
      <c r="J152" s="36">
        <f>SUM(J148:J150)</f>
        <v>7.1497544076000006</v>
      </c>
      <c r="L152" s="36">
        <f>SUM(L148:L150)</f>
        <v>1132.0444478699999</v>
      </c>
      <c r="N152" s="36">
        <f>SUM(N148:N150)</f>
        <v>7.1497544076000006</v>
      </c>
      <c r="P152" s="36">
        <f>SUM(P148:P150)</f>
        <v>7.1497544076000006</v>
      </c>
      <c r="R152" s="36">
        <f>SUM(R148:R150)</f>
        <v>7.1497544076000006</v>
      </c>
      <c r="T152" s="36">
        <f>SUM(T148:T150)</f>
        <v>7.1497544076000006</v>
      </c>
      <c r="V152" s="36">
        <f>SUM(V148:V150)</f>
        <v>7.1497544076000006</v>
      </c>
      <c r="X152" s="36">
        <f>SUM(X148:X150)</f>
        <v>7.1497544076000006</v>
      </c>
      <c r="Z152" s="36">
        <f>SUM(Z148:Z150)</f>
        <v>7.1497544076000006</v>
      </c>
      <c r="AB152" s="36">
        <f>SUM(AB148:AB150)</f>
        <v>7.1497544076000006</v>
      </c>
      <c r="AD152" s="36">
        <f>SUM(AD148:AD150)</f>
        <v>7.1497544076000006</v>
      </c>
      <c r="AF152" s="36">
        <f>SUM(AF148:AF150)</f>
        <v>1132.0444478699999</v>
      </c>
      <c r="AH152" s="36">
        <f>SUM(AH148:AH150)</f>
        <v>1132.0444478699999</v>
      </c>
      <c r="AI152" s="1"/>
      <c r="AJ152" s="36">
        <f t="shared" ref="AJ152" si="214">SUM(AJ148:AJ149)</f>
        <v>0</v>
      </c>
      <c r="AK152" s="1"/>
      <c r="AL152" s="36">
        <f t="shared" ref="AL152" si="215">SUM(AL148:AL149)</f>
        <v>0</v>
      </c>
      <c r="AM152" s="1"/>
      <c r="AN152" s="36">
        <f t="shared" ref="AN152" si="216">SUM(AN148:AN149)</f>
        <v>0</v>
      </c>
      <c r="AO152" s="1"/>
      <c r="AP152" s="36">
        <f t="shared" ref="AP152" si="217">SUM(AP148:AP149)</f>
        <v>0</v>
      </c>
      <c r="AQ152" s="1"/>
      <c r="AR152" s="36">
        <f t="shared" ref="AR152" si="218">SUM(AR148:AR149)</f>
        <v>0</v>
      </c>
      <c r="AT152" s="36">
        <f t="shared" ref="AT152" si="219">SUM(AT148:AT149)</f>
        <v>0</v>
      </c>
      <c r="AU152" s="1"/>
      <c r="AV152" s="36">
        <f t="shared" ref="AV152" si="220">SUM(AV148:AV149)</f>
        <v>0</v>
      </c>
      <c r="AW152" s="1"/>
      <c r="AX152" s="36">
        <f t="shared" ref="AX152" si="221">SUM(AX148:AX149)</f>
        <v>0</v>
      </c>
      <c r="AY152" s="1"/>
      <c r="AZ152" s="36">
        <f t="shared" ref="AZ152" si="222">SUM(AZ148:AZ149)</f>
        <v>0</v>
      </c>
      <c r="BA152" s="1"/>
      <c r="BB152" s="36">
        <f t="shared" ref="BB152" si="223">SUM(BB148:BB149)</f>
        <v>0</v>
      </c>
      <c r="BC152" s="1"/>
      <c r="BD152" s="36">
        <f t="shared" ref="BD152" si="224">SUM(BD148:BD149)</f>
        <v>0</v>
      </c>
      <c r="BE152" s="1"/>
      <c r="BF152" s="36">
        <f t="shared" ref="BF152" si="225">SUM(BF148:BF149)</f>
        <v>0</v>
      </c>
      <c r="BG152" s="1"/>
      <c r="BH152" s="36">
        <f t="shared" ref="BH152" si="226">SUM(BH148:BH149)</f>
        <v>0</v>
      </c>
      <c r="BI152" s="1"/>
      <c r="BJ152" s="36">
        <f t="shared" ref="BJ152" si="227">SUM(BJ148:BJ149)</f>
        <v>0</v>
      </c>
      <c r="BK152" s="1"/>
      <c r="BL152" s="36">
        <f t="shared" ref="BL152" si="228">SUM(BL148:BL149)</f>
        <v>0</v>
      </c>
      <c r="BM152" s="5"/>
      <c r="BN152" s="34">
        <f>SUMIF(D$32:BO$32,"Dollar Value",D152:BO152)</f>
        <v>3475.9722678282005</v>
      </c>
    </row>
    <row r="153" spans="2:66" x14ac:dyDescent="0.25">
      <c r="B153" t="s">
        <v>184</v>
      </c>
      <c r="D153" s="96">
        <v>0.08</v>
      </c>
      <c r="F153" s="36">
        <f>(F150+F148-F146)*$D153</f>
        <v>9.5330058767999992E-2</v>
      </c>
      <c r="H153" s="36">
        <f>(H150+H148-H146)*$D153</f>
        <v>0.57198035260800006</v>
      </c>
      <c r="J153" s="36">
        <f>(J150+J148-J146)*$D153</f>
        <v>0.57198035260800006</v>
      </c>
      <c r="L153" s="36">
        <f>(L150+L148-L146)*$D153</f>
        <v>90.563555829599991</v>
      </c>
      <c r="N153" s="36">
        <f>(N150+N148-N146)*$D153</f>
        <v>0.57198035260800006</v>
      </c>
      <c r="P153" s="36">
        <f>(P150+P148-P146)*$D153</f>
        <v>0.57198035260800006</v>
      </c>
      <c r="R153" s="36">
        <f>(R150+R148-R146)*$D153</f>
        <v>0.57198035260800006</v>
      </c>
      <c r="T153" s="36">
        <f>(T150+T148-T146)*$D153</f>
        <v>0.57198035260800006</v>
      </c>
      <c r="V153" s="36">
        <f>(V150+V148-V146)*$D153</f>
        <v>0.57198035260800006</v>
      </c>
      <c r="X153" s="36">
        <f>(X150+X148-X146)*$D153</f>
        <v>0.57198035260800006</v>
      </c>
      <c r="Z153" s="36">
        <f>(Z150+Z148-Z146)*$D153</f>
        <v>0.57198035260800006</v>
      </c>
      <c r="AB153" s="36">
        <f>(AB150+AB148-AB146)*$D153</f>
        <v>0.57198035260800006</v>
      </c>
      <c r="AD153" s="36">
        <f>(AD150+AD148-AD146)*$D153</f>
        <v>0.57198035260800006</v>
      </c>
      <c r="AF153" s="36">
        <f>(AF150+AF148-AF146)*$D153</f>
        <v>90.563555829599991</v>
      </c>
      <c r="AH153" s="36">
        <f>IF(ISERROR((AH152-AH149-AH146)*AF153), "$", AH152*$D$153)</f>
        <v>90.563555829599991</v>
      </c>
      <c r="AI153" s="1"/>
      <c r="AJ153" s="36">
        <f>IF(ISERROR(AJ152*AH153), "$", AJ152*$D$153)</f>
        <v>0</v>
      </c>
      <c r="AK153" s="1"/>
      <c r="AL153" s="36">
        <f>IF(ISERROR(AL152*AJ153), "$", AL152*$D$153)</f>
        <v>0</v>
      </c>
      <c r="AM153" s="1"/>
      <c r="AN153" s="36">
        <f>IF(ISERROR(AN152*AL153), "$", AN152*$D$153)</f>
        <v>0</v>
      </c>
      <c r="AO153" s="1"/>
      <c r="AP153" s="36">
        <f>IF(ISERROR(AP152*AN153), "$", AP152*$D$153)</f>
        <v>0</v>
      </c>
      <c r="AQ153" s="1"/>
      <c r="AR153" s="36">
        <f>IF(ISERROR(AR152*AP153), "$", AR152*$D$153)</f>
        <v>0</v>
      </c>
      <c r="AT153" s="36">
        <f>IF(ISERROR(AT152*AR153), "$", AT152*$D$153)</f>
        <v>0</v>
      </c>
      <c r="AU153" s="1"/>
      <c r="AV153" s="36">
        <f>IF(ISERROR(AV152*AT153), "$", AV152*$D$153)</f>
        <v>0</v>
      </c>
      <c r="AW153" s="1"/>
      <c r="AX153" s="36">
        <f>IF(ISERROR(AX152*AV153), "$", AX152*$D$153)</f>
        <v>0</v>
      </c>
      <c r="AY153" s="1"/>
      <c r="AZ153" s="36">
        <f>IF(ISERROR(AZ152*AX153), "$", AZ152*$D$153)</f>
        <v>0</v>
      </c>
      <c r="BA153" s="1"/>
      <c r="BB153" s="36">
        <f>IF(ISERROR(BB152*AZ153), "$", BB152*$D$153)</f>
        <v>0</v>
      </c>
      <c r="BC153" s="1"/>
      <c r="BD153" s="36">
        <f>IF(ISERROR(BD152*BB153), "$", BD152*$D$153)</f>
        <v>0</v>
      </c>
      <c r="BE153" s="1"/>
      <c r="BF153" s="36">
        <f>IF(ISERROR(BF152*BD153), "$", BF152*$D$153)</f>
        <v>0</v>
      </c>
      <c r="BG153" s="1"/>
      <c r="BH153" s="36">
        <f>IF(ISERROR(BH152*BF153), "$", BH152*$D$153)</f>
        <v>0</v>
      </c>
      <c r="BI153" s="1"/>
      <c r="BJ153" s="36">
        <f>IF(ISERROR(BJ152*BH153), "$", BJ152*$D$153)</f>
        <v>0</v>
      </c>
      <c r="BK153" s="1"/>
      <c r="BL153" s="36">
        <f>IF(ISERROR(BL152*BJ153), "$", BL152*$D$153)</f>
        <v>0</v>
      </c>
      <c r="BN153" s="34">
        <f>SUMIF(D$32:BO$32,"Dollar Value",D153:BO153)</f>
        <v>278.07778142625591</v>
      </c>
    </row>
    <row r="154" spans="2:66" ht="15.75" thickBot="1" x14ac:dyDescent="0.3">
      <c r="B154" s="98" t="s">
        <v>23</v>
      </c>
      <c r="C154" s="98"/>
      <c r="D154" s="66"/>
      <c r="E154" s="66"/>
      <c r="F154" s="33">
        <f>SUM(F152:F153)</f>
        <v>1.2869557933679998</v>
      </c>
      <c r="G154" s="66"/>
      <c r="H154" s="33">
        <f>SUM(H152:H153)</f>
        <v>7.7217347602080011</v>
      </c>
      <c r="I154" s="93"/>
      <c r="J154" s="33">
        <f>SUM(J152:J153)</f>
        <v>7.7217347602080011</v>
      </c>
      <c r="K154" s="66"/>
      <c r="L154" s="33">
        <f>SUM(L152:L153)</f>
        <v>1222.6080036996</v>
      </c>
      <c r="M154" s="66"/>
      <c r="N154" s="33">
        <f>SUM(N152:N153)</f>
        <v>7.7217347602080011</v>
      </c>
      <c r="O154" s="66"/>
      <c r="P154" s="33">
        <f>SUM(P152:P153)</f>
        <v>7.7217347602080011</v>
      </c>
      <c r="Q154" s="66"/>
      <c r="R154" s="33">
        <f>SUM(R152:R153)</f>
        <v>7.7217347602080011</v>
      </c>
      <c r="S154" s="66"/>
      <c r="T154" s="33">
        <f>SUM(T152:T153)</f>
        <v>7.7217347602080011</v>
      </c>
      <c r="U154" s="66"/>
      <c r="V154" s="33">
        <f>SUM(V152:V153)</f>
        <v>7.7217347602080011</v>
      </c>
      <c r="W154" s="93"/>
      <c r="X154" s="33">
        <f>SUM(X152:X153)</f>
        <v>7.7217347602080011</v>
      </c>
      <c r="Y154" s="66"/>
      <c r="Z154" s="33">
        <f>SUM(Z152:Z153)</f>
        <v>7.7217347602080011</v>
      </c>
      <c r="AA154" s="66"/>
      <c r="AB154" s="33">
        <f>SUM(AB152:AB153)</f>
        <v>7.7217347602080011</v>
      </c>
      <c r="AC154" s="66"/>
      <c r="AD154" s="33">
        <f>SUM(AD152:AD153)</f>
        <v>7.7217347602080011</v>
      </c>
      <c r="AE154" s="66"/>
      <c r="AF154" s="33">
        <f>SUM(AF152:AF153)</f>
        <v>1222.6080036996</v>
      </c>
      <c r="AG154" s="93"/>
      <c r="AH154" s="33">
        <f>SUM(AH152:AH153)</f>
        <v>1222.6080036996</v>
      </c>
      <c r="AI154" s="99"/>
      <c r="AJ154" s="76">
        <f t="shared" ref="AJ154" si="229">SUM(AJ152:AJ153)</f>
        <v>0</v>
      </c>
      <c r="AK154" s="99"/>
      <c r="AL154" s="76">
        <f t="shared" ref="AL154" si="230">SUM(AL152:AL153)</f>
        <v>0</v>
      </c>
      <c r="AM154" s="100"/>
      <c r="AN154" s="76">
        <f t="shared" ref="AN154" si="231">SUM(AN152:AN153)</f>
        <v>0</v>
      </c>
      <c r="AO154" s="101"/>
      <c r="AP154" s="76">
        <f t="shared" ref="AP154" si="232">SUM(AP152:AP153)</f>
        <v>0</v>
      </c>
      <c r="AQ154" s="99"/>
      <c r="AR154" s="76">
        <f t="shared" ref="AR154" si="233">SUM(AR152:AR153)</f>
        <v>0</v>
      </c>
      <c r="AS154" s="80"/>
      <c r="AT154" s="76">
        <f t="shared" ref="AT154" si="234">SUM(AT152:AT153)</f>
        <v>0</v>
      </c>
      <c r="AU154" s="100"/>
      <c r="AV154" s="76">
        <f t="shared" ref="AV154" si="235">SUM(AV152:AV153)</f>
        <v>0</v>
      </c>
      <c r="AW154" s="101"/>
      <c r="AX154" s="76">
        <f t="shared" ref="AX154" si="236">SUM(AX152:AX153)</f>
        <v>0</v>
      </c>
      <c r="AY154" s="99"/>
      <c r="AZ154" s="76">
        <f t="shared" ref="AZ154" si="237">SUM(AZ152:AZ153)</f>
        <v>0</v>
      </c>
      <c r="BA154" s="99"/>
      <c r="BB154" s="76">
        <f t="shared" ref="BB154" si="238">SUM(BB152:BB153)</f>
        <v>0</v>
      </c>
      <c r="BC154" s="99"/>
      <c r="BD154" s="76">
        <f t="shared" ref="BD154" si="239">SUM(BD152:BD153)</f>
        <v>0</v>
      </c>
      <c r="BE154" s="100"/>
      <c r="BF154" s="76">
        <f t="shared" ref="BF154" si="240">SUM(BF152:BF153)</f>
        <v>0</v>
      </c>
      <c r="BG154" s="102"/>
      <c r="BH154" s="76">
        <f t="shared" ref="BH154" si="241">SUM(BH152:BH153)</f>
        <v>0</v>
      </c>
      <c r="BI154" s="101"/>
      <c r="BJ154" s="76">
        <f t="shared" ref="BJ154" si="242">SUM(BJ152:BJ153)</f>
        <v>0</v>
      </c>
      <c r="BK154" s="99"/>
      <c r="BL154" s="76">
        <f t="shared" ref="BL154" si="243">SUM(BL152:BL153)</f>
        <v>0</v>
      </c>
      <c r="BM154" s="66"/>
      <c r="BN154" s="85">
        <f>SUMIF(D$32:BO$32,"Dollar Value",D154:BO154)</f>
        <v>3754.0500492544552</v>
      </c>
    </row>
  </sheetData>
  <sheetProtection formatColumns="0" formatRows="0"/>
  <mergeCells count="94">
    <mergeCell ref="E29:F29"/>
    <mergeCell ref="G29:H29"/>
    <mergeCell ref="I29:J29"/>
    <mergeCell ref="E30:F30"/>
    <mergeCell ref="G30:H30"/>
    <mergeCell ref="I30:J30"/>
    <mergeCell ref="E31:F31"/>
    <mergeCell ref="G31:H31"/>
    <mergeCell ref="I31:J31"/>
    <mergeCell ref="K31:L31"/>
    <mergeCell ref="M31:N31"/>
    <mergeCell ref="K29:L29"/>
    <mergeCell ref="M29:N29"/>
    <mergeCell ref="Q31:R31"/>
    <mergeCell ref="S31:T31"/>
    <mergeCell ref="U31:V31"/>
    <mergeCell ref="O29:P29"/>
    <mergeCell ref="O31:P31"/>
    <mergeCell ref="O30:P30"/>
    <mergeCell ref="K30:L30"/>
    <mergeCell ref="M30:N30"/>
    <mergeCell ref="W31:X31"/>
    <mergeCell ref="Q30:R30"/>
    <mergeCell ref="S30:T30"/>
    <mergeCell ref="U30:V30"/>
    <mergeCell ref="W30:X30"/>
    <mergeCell ref="AO29:AP29"/>
    <mergeCell ref="Q29:R29"/>
    <mergeCell ref="S29:T29"/>
    <mergeCell ref="U29:V29"/>
    <mergeCell ref="W29:X29"/>
    <mergeCell ref="Y29:Z29"/>
    <mergeCell ref="AA29:AB29"/>
    <mergeCell ref="AC29:AD29"/>
    <mergeCell ref="AE29:AF29"/>
    <mergeCell ref="AG29:AH29"/>
    <mergeCell ref="BK29:BL29"/>
    <mergeCell ref="AS30:AT30"/>
    <mergeCell ref="BA30:BB30"/>
    <mergeCell ref="AQ31:AR31"/>
    <mergeCell ref="Y31:Z31"/>
    <mergeCell ref="AA31:AB31"/>
    <mergeCell ref="AC31:AD31"/>
    <mergeCell ref="AE31:AF31"/>
    <mergeCell ref="AG31:AH31"/>
    <mergeCell ref="AI31:AJ31"/>
    <mergeCell ref="AK31:AL31"/>
    <mergeCell ref="AM31:AN31"/>
    <mergeCell ref="AO31:AP31"/>
    <mergeCell ref="AI29:AJ29"/>
    <mergeCell ref="AK29:AL29"/>
    <mergeCell ref="AM29:AN29"/>
    <mergeCell ref="BC29:BD29"/>
    <mergeCell ref="BE29:BF29"/>
    <mergeCell ref="BG29:BH29"/>
    <mergeCell ref="BI29:BJ29"/>
    <mergeCell ref="AU30:AV30"/>
    <mergeCell ref="AW30:AX30"/>
    <mergeCell ref="AY30:AZ30"/>
    <mergeCell ref="BC30:BD30"/>
    <mergeCell ref="BG30:BH30"/>
    <mergeCell ref="BI30:BJ30"/>
    <mergeCell ref="AS29:AT29"/>
    <mergeCell ref="AU29:AV29"/>
    <mergeCell ref="AW29:AX29"/>
    <mergeCell ref="AY29:AZ29"/>
    <mergeCell ref="BA29:BB29"/>
    <mergeCell ref="B1:D1"/>
    <mergeCell ref="B2:D2"/>
    <mergeCell ref="B3:D3"/>
    <mergeCell ref="B4:D4"/>
    <mergeCell ref="BE30:BF30"/>
    <mergeCell ref="AQ29:AR29"/>
    <mergeCell ref="Y30:Z30"/>
    <mergeCell ref="AA30:AB30"/>
    <mergeCell ref="AC30:AD30"/>
    <mergeCell ref="AE30:AF30"/>
    <mergeCell ref="AG30:AH30"/>
    <mergeCell ref="AI30:AJ30"/>
    <mergeCell ref="AK30:AL30"/>
    <mergeCell ref="AM30:AN30"/>
    <mergeCell ref="AO30:AP30"/>
    <mergeCell ref="AQ30:AR30"/>
    <mergeCell ref="BK30:BL30"/>
    <mergeCell ref="BK31:BL31"/>
    <mergeCell ref="AS31:AT31"/>
    <mergeCell ref="AU31:AV31"/>
    <mergeCell ref="AW31:AX31"/>
    <mergeCell ref="AY31:AZ31"/>
    <mergeCell ref="BA31:BB31"/>
    <mergeCell ref="BC31:BD31"/>
    <mergeCell ref="BE31:BF31"/>
    <mergeCell ref="BG31:BH31"/>
    <mergeCell ref="BI31:BJ31"/>
  </mergeCells>
  <pageMargins left="0.7" right="0.7" top="0.75" bottom="0.75" header="0.3" footer="0.3"/>
  <pageSetup scale="60" orientation="landscape" r:id="rId1"/>
  <headerFooter>
    <oddFooter>&amp;CUse or disclosure of data contained on this page is subject to the restriction on the title page of this proposal.</oddFooter>
  </headerFooter>
  <rowBreaks count="1" manualBreakCount="1">
    <brk id="94" min="2" max="66" man="1"/>
  </rowBreaks>
  <colBreaks count="1" manualBreakCount="1">
    <brk id="12" min="31" max="152" man="1"/>
  </col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M102"/>
  <sheetViews>
    <sheetView zoomScale="80" zoomScaleNormal="80" workbookViewId="0">
      <pane xSplit="2" ySplit="12" topLeftCell="C13" activePane="bottomRight" state="frozen"/>
      <selection activeCell="E18" sqref="E18"/>
      <selection pane="topRight" activeCell="E18" sqref="E18"/>
      <selection pane="bottomLeft" activeCell="E18" sqref="E18"/>
      <selection pane="bottomRight" activeCell="H25" sqref="H25"/>
    </sheetView>
  </sheetViews>
  <sheetFormatPr defaultRowHeight="15" x14ac:dyDescent="0.25"/>
  <cols>
    <col min="1" max="1" width="9.140625" customWidth="1"/>
    <col min="2" max="2" width="23.7109375" customWidth="1"/>
    <col min="3" max="3" width="11.85546875" customWidth="1"/>
    <col min="4" max="4" width="13.5703125" customWidth="1"/>
    <col min="5" max="5" width="11.85546875" customWidth="1"/>
    <col min="6" max="6" width="13.7109375" customWidth="1"/>
    <col min="7" max="7" width="11.85546875" customWidth="1"/>
    <col min="8" max="8" width="13.5703125" customWidth="1"/>
    <col min="9" max="9" width="11.85546875" customWidth="1"/>
    <col min="10" max="10" width="13.5703125" customWidth="1"/>
    <col min="11" max="11" width="11.85546875" customWidth="1"/>
    <col min="12" max="12" width="13.5703125" customWidth="1"/>
    <col min="13" max="13" width="11.85546875" customWidth="1"/>
    <col min="14" max="14" width="13.5703125" customWidth="1"/>
    <col min="15" max="15" width="11.85546875" customWidth="1"/>
    <col min="16" max="16" width="13.5703125" customWidth="1"/>
    <col min="17" max="17" width="11.85546875" customWidth="1"/>
    <col min="18" max="18" width="13.5703125" customWidth="1"/>
    <col min="19" max="19" width="11.85546875" customWidth="1"/>
    <col min="20" max="20" width="13.5703125" customWidth="1"/>
    <col min="21" max="21" width="11.85546875" customWidth="1"/>
    <col min="22" max="22" width="13.5703125" customWidth="1"/>
    <col min="23" max="23" width="11.85546875" customWidth="1"/>
    <col min="24" max="24" width="13.5703125" customWidth="1"/>
    <col min="25" max="25" width="11.85546875" customWidth="1"/>
    <col min="26" max="26" width="13.5703125" customWidth="1"/>
    <col min="27" max="27" width="11.85546875" customWidth="1"/>
    <col min="28" max="28" width="13.5703125" customWidth="1"/>
    <col min="29" max="29" width="11.85546875" customWidth="1"/>
    <col min="30" max="30" width="13.5703125" customWidth="1"/>
    <col min="31" max="31" width="11.85546875" customWidth="1"/>
    <col min="32" max="32" width="13.5703125" customWidth="1"/>
    <col min="33" max="33" width="11.85546875" customWidth="1"/>
    <col min="34" max="34" width="13.5703125" customWidth="1"/>
    <col min="35" max="35" width="14.5703125" bestFit="1" customWidth="1"/>
    <col min="36" max="36" width="15.85546875" bestFit="1" customWidth="1"/>
  </cols>
  <sheetData>
    <row r="1" spans="1:39" x14ac:dyDescent="0.25">
      <c r="A1" s="2"/>
      <c r="B1" s="6" t="str">
        <f>'Base Period'!B1</f>
        <v>Vendor</v>
      </c>
    </row>
    <row r="2" spans="1:39" x14ac:dyDescent="0.25">
      <c r="B2" s="6" t="str">
        <f>'Base Period'!B2</f>
        <v>Description of Contract</v>
      </c>
    </row>
    <row r="3" spans="1:39" x14ac:dyDescent="0.25">
      <c r="B3" s="6" t="str">
        <f>'Base Period'!B3</f>
        <v>Centers for Medicare and Medicaid Services</v>
      </c>
    </row>
    <row r="4" spans="1:39" x14ac:dyDescent="0.25">
      <c r="B4" s="6" t="s">
        <v>46</v>
      </c>
    </row>
    <row r="5" spans="1:39" x14ac:dyDescent="0.25">
      <c r="B5" s="2"/>
    </row>
    <row r="6" spans="1:39" ht="12" hidden="1" customHeight="1" x14ac:dyDescent="0.25">
      <c r="B6" s="2"/>
      <c r="D6" s="1" t="str">
        <f>C7</f>
        <v>Task 1</v>
      </c>
      <c r="F6" t="str">
        <f>E7</f>
        <v>Task 2</v>
      </c>
      <c r="H6" t="str">
        <f>G7</f>
        <v>Task 3</v>
      </c>
      <c r="J6" t="str">
        <f>I7</f>
        <v>Task 4</v>
      </c>
      <c r="L6" t="str">
        <f>K7</f>
        <v>Task 5</v>
      </c>
      <c r="N6" t="str">
        <f>M7</f>
        <v>Task 6</v>
      </c>
      <c r="P6" t="str">
        <f>O7</f>
        <v>Task 7</v>
      </c>
      <c r="R6" t="str">
        <f>Q7</f>
        <v>Task 8</v>
      </c>
      <c r="T6" t="str">
        <f>S7</f>
        <v>Task 9</v>
      </c>
      <c r="V6" t="str">
        <f>U7</f>
        <v>Task 10</v>
      </c>
      <c r="X6" t="str">
        <f>W7</f>
        <v>Task 11</v>
      </c>
      <c r="Z6" t="str">
        <f>Y7</f>
        <v>Task 12</v>
      </c>
      <c r="AB6" t="str">
        <f>AA7</f>
        <v>Task 13</v>
      </c>
      <c r="AD6" t="str">
        <f>AC7</f>
        <v>Task 14</v>
      </c>
      <c r="AF6" t="str">
        <f>AE7</f>
        <v>Task 15</v>
      </c>
      <c r="AH6" t="str">
        <f>AG7</f>
        <v>Task 16</v>
      </c>
    </row>
    <row r="7" spans="1:39" ht="15.75" thickBot="1" x14ac:dyDescent="0.3">
      <c r="B7" t="s">
        <v>0</v>
      </c>
      <c r="C7" s="192" t="s">
        <v>42</v>
      </c>
      <c r="D7" s="192"/>
      <c r="E7" s="192" t="s">
        <v>43</v>
      </c>
      <c r="F7" s="192"/>
      <c r="G7" s="192" t="s">
        <v>44</v>
      </c>
      <c r="H7" s="192"/>
      <c r="I7" s="192" t="s">
        <v>45</v>
      </c>
      <c r="J7" s="192"/>
      <c r="K7" s="192" t="s">
        <v>47</v>
      </c>
      <c r="L7" s="192"/>
      <c r="M7" s="192" t="s">
        <v>48</v>
      </c>
      <c r="N7" s="192"/>
      <c r="O7" s="192" t="s">
        <v>49</v>
      </c>
      <c r="P7" s="192"/>
      <c r="Q7" s="192" t="s">
        <v>50</v>
      </c>
      <c r="R7" s="192"/>
      <c r="S7" s="192" t="s">
        <v>51</v>
      </c>
      <c r="T7" s="192"/>
      <c r="U7" s="192" t="s">
        <v>52</v>
      </c>
      <c r="V7" s="192"/>
      <c r="W7" s="192" t="s">
        <v>95</v>
      </c>
      <c r="X7" s="192"/>
      <c r="Y7" s="192" t="s">
        <v>96</v>
      </c>
      <c r="Z7" s="192"/>
      <c r="AA7" s="192" t="s">
        <v>97</v>
      </c>
      <c r="AB7" s="192"/>
      <c r="AC7" s="192" t="s">
        <v>98</v>
      </c>
      <c r="AD7" s="192"/>
      <c r="AE7" s="192" t="s">
        <v>99</v>
      </c>
      <c r="AF7" s="192"/>
      <c r="AG7" s="192" t="s">
        <v>100</v>
      </c>
      <c r="AH7" s="192"/>
      <c r="AI7" s="4" t="s">
        <v>53</v>
      </c>
      <c r="AJ7" s="4" t="s">
        <v>54</v>
      </c>
    </row>
    <row r="8" spans="1:39" ht="15.75" hidden="1" customHeight="1" x14ac:dyDescent="0.25">
      <c r="B8" t="s">
        <v>41</v>
      </c>
      <c r="C8" s="193" t="s">
        <v>24</v>
      </c>
      <c r="D8" s="193"/>
      <c r="E8" s="193" t="s">
        <v>31</v>
      </c>
      <c r="F8" s="193"/>
      <c r="G8" s="193" t="s">
        <v>32</v>
      </c>
      <c r="H8" s="193"/>
      <c r="I8" s="193" t="s">
        <v>33</v>
      </c>
      <c r="J8" s="193"/>
      <c r="K8" s="193" t="s">
        <v>34</v>
      </c>
      <c r="L8" s="193"/>
      <c r="M8" s="193" t="s">
        <v>35</v>
      </c>
      <c r="N8" s="193"/>
      <c r="O8" s="193" t="s">
        <v>36</v>
      </c>
      <c r="P8" s="193"/>
      <c r="Q8" s="193" t="s">
        <v>37</v>
      </c>
      <c r="R8" s="193"/>
      <c r="S8" s="193" t="s">
        <v>39</v>
      </c>
      <c r="T8" s="193"/>
      <c r="U8" s="193" t="s">
        <v>40</v>
      </c>
      <c r="V8" s="193"/>
      <c r="W8" s="193" t="s">
        <v>34</v>
      </c>
      <c r="X8" s="193"/>
      <c r="Y8" s="193" t="s">
        <v>35</v>
      </c>
      <c r="Z8" s="193"/>
      <c r="AA8" s="193" t="s">
        <v>36</v>
      </c>
      <c r="AB8" s="193"/>
      <c r="AC8" s="193" t="s">
        <v>37</v>
      </c>
      <c r="AD8" s="193"/>
      <c r="AE8" s="193" t="s">
        <v>39</v>
      </c>
      <c r="AF8" s="193"/>
      <c r="AG8" s="193" t="s">
        <v>40</v>
      </c>
      <c r="AH8" s="193"/>
    </row>
    <row r="9" spans="1:39" ht="16.5" thickTop="1" x14ac:dyDescent="0.25">
      <c r="B9" t="s">
        <v>1</v>
      </c>
      <c r="C9" s="190"/>
      <c r="D9" s="190"/>
      <c r="E9" s="190"/>
      <c r="F9" s="190"/>
      <c r="G9" s="190"/>
      <c r="H9" s="190"/>
      <c r="I9" s="190"/>
      <c r="J9" s="190"/>
      <c r="K9" s="190"/>
      <c r="L9" s="190"/>
      <c r="M9" s="190"/>
      <c r="N9" s="190"/>
      <c r="O9" s="190"/>
      <c r="P9" s="190"/>
      <c r="Q9" s="190"/>
      <c r="R9" s="190"/>
      <c r="S9" s="190"/>
      <c r="T9" s="190"/>
      <c r="U9" s="190"/>
      <c r="V9" s="190"/>
      <c r="W9" s="190"/>
      <c r="X9" s="190"/>
      <c r="Y9" s="190"/>
      <c r="Z9" s="190"/>
      <c r="AA9" s="190"/>
      <c r="AB9" s="190"/>
      <c r="AC9" s="190"/>
      <c r="AD9" s="190"/>
      <c r="AE9" s="190"/>
      <c r="AF9" s="190"/>
      <c r="AG9" s="190"/>
      <c r="AH9" s="190"/>
      <c r="AL9" s="146"/>
      <c r="AM9" s="147" t="s">
        <v>137</v>
      </c>
    </row>
    <row r="10" spans="1:39" ht="15.75" x14ac:dyDescent="0.25">
      <c r="B10" t="s">
        <v>2</v>
      </c>
      <c r="C10" s="190"/>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L10" s="148" t="s">
        <v>137</v>
      </c>
      <c r="AM10" s="149" t="s">
        <v>138</v>
      </c>
    </row>
    <row r="11" spans="1:39" ht="15.75" x14ac:dyDescent="0.25">
      <c r="B11" t="s">
        <v>3</v>
      </c>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M11" s="149"/>
    </row>
    <row r="12" spans="1:39" ht="15.75" x14ac:dyDescent="0.25">
      <c r="B12" t="s">
        <v>63</v>
      </c>
      <c r="C12" s="24" t="s">
        <v>6</v>
      </c>
      <c r="D12" s="1" t="s">
        <v>7</v>
      </c>
      <c r="E12" s="24" t="s">
        <v>6</v>
      </c>
      <c r="F12" s="1" t="s">
        <v>7</v>
      </c>
      <c r="G12" s="24" t="s">
        <v>6</v>
      </c>
      <c r="H12" s="1" t="s">
        <v>7</v>
      </c>
      <c r="I12" s="24" t="s">
        <v>6</v>
      </c>
      <c r="J12" s="1" t="s">
        <v>7</v>
      </c>
      <c r="K12" s="24" t="s">
        <v>6</v>
      </c>
      <c r="L12" s="1" t="s">
        <v>7</v>
      </c>
      <c r="M12" s="24" t="s">
        <v>6</v>
      </c>
      <c r="N12" s="1" t="s">
        <v>7</v>
      </c>
      <c r="O12" s="24" t="s">
        <v>6</v>
      </c>
      <c r="P12" s="1" t="s">
        <v>7</v>
      </c>
      <c r="Q12" s="24" t="s">
        <v>6</v>
      </c>
      <c r="R12" s="1" t="s">
        <v>7</v>
      </c>
      <c r="S12" s="24" t="s">
        <v>6</v>
      </c>
      <c r="T12" s="1" t="s">
        <v>7</v>
      </c>
      <c r="U12" s="24" t="s">
        <v>6</v>
      </c>
      <c r="V12" s="1" t="s">
        <v>7</v>
      </c>
      <c r="W12" s="24" t="s">
        <v>6</v>
      </c>
      <c r="X12" s="1" t="s">
        <v>7</v>
      </c>
      <c r="Y12" s="24" t="s">
        <v>6</v>
      </c>
      <c r="Z12" s="1" t="s">
        <v>7</v>
      </c>
      <c r="AA12" s="24" t="s">
        <v>6</v>
      </c>
      <c r="AB12" s="1" t="s">
        <v>7</v>
      </c>
      <c r="AC12" s="24" t="s">
        <v>6</v>
      </c>
      <c r="AD12" s="1" t="s">
        <v>7</v>
      </c>
      <c r="AE12" s="24" t="s">
        <v>6</v>
      </c>
      <c r="AF12" s="1" t="s">
        <v>7</v>
      </c>
      <c r="AG12" s="24" t="s">
        <v>6</v>
      </c>
      <c r="AH12" s="1" t="s">
        <v>7</v>
      </c>
      <c r="AM12" s="149"/>
    </row>
    <row r="13" spans="1:39" ht="15.75" x14ac:dyDescent="0.25">
      <c r="B13" s="6" t="str">
        <f>'Base Period'!B33</f>
        <v>Name</v>
      </c>
      <c r="C13" s="15" t="e">
        <f>SUMIFS('Base Period'!33:33,'Base Period'!$29:$29,'Budget by Task'!C$7:D$7, 'Base Period'!$32:$32, 'Budget by Task'!C$12)+SUMIFS('Option Period 1'!33:33,'Option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13" s="16" t="e">
        <f>SUMIFS('Base Period'!33:33,'Base Period'!$28:$28,'Budget by Task'!D$6, 'Base Period'!$32:$32, 'Budget by Task'!D$12)+SUMIFS('Option Period 1'!33:33,'Option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13" s="15" t="e">
        <f>SUMIFS('Base Period'!33:33,'Base Period'!$29:$29,'Budget by Task'!E$7:F$7, 'Base Period'!$32:$32, 'Budget by Task'!E$12)+SUMIFS('Option Period 1'!33:33,'Option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13" s="16" t="e">
        <f>SUMIFS('Base Period'!33:33,'Base Period'!$28:$28,'Budget by Task'!F$6, 'Base Period'!$32:$32, 'Budget by Task'!F$12)+SUMIFS('Option Period 1'!33:33,'Option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13" s="15" t="e">
        <f>SUMIFS('Base Period'!33:33,'Base Period'!$29:$29,'Budget by Task'!G$7:H$7, 'Base Period'!$32:$32, 'Budget by Task'!G$12)+SUMIFS('Option Period 1'!33:33,'Option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13" s="16" t="e">
        <f>SUMIFS('Base Period'!33:33,'Base Period'!$28:$28,'Budget by Task'!H$6, 'Base Period'!$32:$32, 'Budget by Task'!H$12)+SUMIFS('Option Period 1'!33:33,'Option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13" s="15" t="e">
        <f>SUMIFS('Base Period'!33:33,'Base Period'!$29:$29,'Budget by Task'!I$7:J$7, 'Base Period'!$32:$32, 'Budget by Task'!I$12)+SUMIFS('Option Period 1'!33:33,'Option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13" s="16" t="e">
        <f>SUMIFS('Base Period'!33:33,'Base Period'!$28:$28,'Budget by Task'!J$6, 'Base Period'!$32:$32, 'Budget by Task'!J$12)+SUMIFS('Option Period 1'!33:33,'Option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13" s="15" t="e">
        <f>SUMIFS('Base Period'!33:33,'Base Period'!$29:$29,'Budget by Task'!K$7:L$7, 'Base Period'!$32:$32, 'Budget by Task'!K$12)+SUMIFS('Option Period 1'!33:33,'Option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13" s="16" t="e">
        <f>SUMIFS('Base Period'!33:33,'Base Period'!$28:$28,'Budget by Task'!L$6, 'Base Period'!$32:$32, 'Budget by Task'!L$12)+SUMIFS('Option Period 1'!33:33,'Option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13" s="15" t="e">
        <f>SUMIFS('Base Period'!33:33,'Base Period'!$29:$29,'Budget by Task'!M$7:N$7, 'Base Period'!$32:$32, 'Budget by Task'!M$12)+SUMIFS('Option Period 1'!33:33,'Option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13" s="16" t="e">
        <f>SUMIFS('Base Period'!33:33,'Base Period'!$28:$28,'Budget by Task'!N$6, 'Base Period'!$32:$32, 'Budget by Task'!N$12)+SUMIFS('Option Period 1'!33:33,'Option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13" s="15" t="e">
        <f>SUMIFS('Base Period'!33:33,'Base Period'!$29:$29,'Budget by Task'!O$7:P$7, 'Base Period'!$32:$32, 'Budget by Task'!O$12)+SUMIFS('Option Period 1'!33:33,'Option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13" s="16" t="e">
        <f>SUMIFS('Base Period'!33:33,'Base Period'!$28:$28,'Budget by Task'!P$6, 'Base Period'!$32:$32, 'Budget by Task'!P$12)+SUMIFS('Option Period 1'!33:33,'Option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13" s="15" t="e">
        <f>SUMIFS('Base Period'!33:33,'Base Period'!$29:$29,'Budget by Task'!Q$7:R$7, 'Base Period'!$32:$32, 'Budget by Task'!Q$12)+SUMIFS('Option Period 1'!33:33,'Option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13" s="16" t="e">
        <f>SUMIFS('Base Period'!33:33,'Base Period'!$28:$28,'Budget by Task'!R$6, 'Base Period'!$32:$32, 'Budget by Task'!R$12)+SUMIFS('Option Period 1'!33:33,'Option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13" s="15" t="e">
        <f>SUMIFS('Base Period'!33:33,'Base Period'!$29:$29,'Budget by Task'!S$7:T$7, 'Base Period'!$32:$32, 'Budget by Task'!S$12)+SUMIFS('Option Period 1'!33:33,'Option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13" s="16" t="e">
        <f>SUMIFS('Base Period'!33:33,'Base Period'!$28:$28,'Budget by Task'!T$6, 'Base Period'!$32:$32, 'Budget by Task'!T$12)+SUMIFS('Option Period 1'!33:33,'Option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13" s="15" t="e">
        <f>SUMIFS('Base Period'!33:33,'Base Period'!$29:$29,'Budget by Task'!U$7:V$7, 'Base Period'!$32:$32, 'Budget by Task'!U$12)+SUMIFS('Option Period 1'!33:33,'Option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13" s="16" t="e">
        <f>SUMIFS('Base Period'!33:33,'Base Period'!$28:$28,'Budget by Task'!V$6, 'Base Period'!$32:$32, 'Budget by Task'!V$12)+SUMIFS('Option Period 1'!33:33,'Option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13" s="15" t="e">
        <f>SUMIFS('Base Period'!33:33,'Base Period'!$29:$29,'Budget by Task'!W$7:X$7, 'Base Period'!$32:$32, 'Budget by Task'!W$12)+SUMIFS('Option Period 1'!33:33,'Option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13" s="16" t="e">
        <f>SUMIFS('Base Period'!33:33,'Base Period'!$28:$28,'Budget by Task'!X$6, 'Base Period'!$32:$32, 'Budget by Task'!X$12)+SUMIFS('Option Period 1'!33:33,'Option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13" s="15" t="e">
        <f>SUMIFS('Base Period'!33:33,'Base Period'!$29:$29,'Budget by Task'!Y$7:Z$7, 'Base Period'!$32:$32, 'Budget by Task'!Y$12)+SUMIFS('Option Period 1'!33:33,'Option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13" s="16" t="e">
        <f>SUMIFS('Base Period'!33:33,'Base Period'!$28:$28,'Budget by Task'!Z$6, 'Base Period'!$32:$32, 'Budget by Task'!Z$12)+SUMIFS('Option Period 1'!33:33,'Option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13" s="15" t="e">
        <f>SUMIFS('Base Period'!33:33,'Base Period'!$29:$29,'Budget by Task'!AA$7:AB$7, 'Base Period'!$32:$32, 'Budget by Task'!AA$12)+SUMIFS('Option Period 1'!33:33,'Option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13" s="16" t="e">
        <f>SUMIFS('Base Period'!33:33,'Base Period'!$28:$28,'Budget by Task'!AB$6, 'Base Period'!$32:$32, 'Budget by Task'!AB$12)+SUMIFS('Option Period 1'!33:33,'Option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13" s="15" t="e">
        <f>SUMIFS('Base Period'!33:33,'Base Period'!$29:$29,'Budget by Task'!AC$7:AD$7, 'Base Period'!$32:$32, 'Budget by Task'!AC$12)+SUMIFS('Option Period 1'!33:33,'Option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13" s="16" t="e">
        <f>SUMIFS('Base Period'!33:33,'Base Period'!$28:$28,'Budget by Task'!AD$6, 'Base Period'!$32:$32, 'Budget by Task'!AD$12)+SUMIFS('Option Period 1'!33:33,'Option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13" s="15" t="e">
        <f>SUMIFS('Base Period'!33:33,'Base Period'!$29:$29,'Budget by Task'!AE$7:AF$7, 'Base Period'!$32:$32, 'Budget by Task'!AE$12)+SUMIFS('Option Period 1'!33:33,'Option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13" s="16" t="e">
        <f>SUMIFS('Base Period'!33:33,'Base Period'!$28:$28,'Budget by Task'!AF$6, 'Base Period'!$32:$32, 'Budget by Task'!AF$12)+SUMIFS('Option Period 1'!33:33,'Option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13" s="15" t="e">
        <f>SUMIFS('Base Period'!33:33,'Base Period'!$29:$29,'Budget by Task'!AG$7:AH$7, 'Base Period'!$32:$32, 'Budget by Task'!AG$12)+SUMIFS('Option Period 1'!33:33,'Option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13" s="16" t="e">
        <f>SUMIFS('Base Period'!33:33,'Base Period'!$28:$28,'Budget by Task'!AH$6, 'Base Period'!$32:$32, 'Budget by Task'!AH$12)+SUMIFS('Option Period 1'!33:33,'Option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13" s="1" t="e">
        <f>SUMIFS('Base Period'!33:33,'Base Period'!$29:$29,'Budget by Task'!AI$7)+SUMIFS('Option Period 1'!33:33,'Option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13" s="11" t="e">
        <f>SUMIFS('Base Period'!33:33,'Base Period'!$29:$29,'Budget by Task'!AJ$7)+SUMIFS('Option Period 1'!33:33,'Option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13" s="151" t="e">
        <f>ROUND(AJ13-'Base Period'!BN33-'Option Period 1'!BN33-#REF!-#REF!-#REF!-#REF!-#REF!-#REF!-#REF!-#REF!,0)</f>
        <v>#REF!</v>
      </c>
    </row>
    <row r="14" spans="1:39" ht="15.75" x14ac:dyDescent="0.25">
      <c r="B14" s="6" t="str">
        <f>'Base Period'!B34</f>
        <v>Name</v>
      </c>
      <c r="C14" s="15" t="e">
        <f>SUMIFS('Base Period'!34:34,'Base Period'!$29:$29,'Budget by Task'!C$7:D$7, 'Base Period'!$32:$32, 'Budget by Task'!C$12)+SUMIFS('Option Period 1'!34:34,'Option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14" s="16" t="e">
        <f>SUMIFS('Base Period'!34:34,'Base Period'!$28:$28,'Budget by Task'!D$6, 'Base Period'!$32:$32, 'Budget by Task'!D$12)+SUMIFS('Option Period 1'!34:34,'Option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14" s="15" t="e">
        <f>SUMIFS('Base Period'!34:34,'Base Period'!$29:$29,'Budget by Task'!E$7:F$7, 'Base Period'!$32:$32, 'Budget by Task'!E$12)+SUMIFS('Option Period 1'!34:34,'Option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14" s="16" t="e">
        <f>SUMIFS('Base Period'!34:34,'Base Period'!$28:$28,'Budget by Task'!F$6, 'Base Period'!$32:$32, 'Budget by Task'!F$12)+SUMIFS('Option Period 1'!34:34,'Option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14" s="15" t="e">
        <f>SUMIFS('Base Period'!34:34,'Base Period'!$29:$29,'Budget by Task'!G$7:H$7, 'Base Period'!$32:$32, 'Budget by Task'!G$12)+SUMIFS('Option Period 1'!34:34,'Option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14" s="16" t="e">
        <f>SUMIFS('Base Period'!34:34,'Base Period'!$28:$28,'Budget by Task'!H$6, 'Base Period'!$32:$32, 'Budget by Task'!H$12)+SUMIFS('Option Period 1'!34:34,'Option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14" s="15" t="e">
        <f>SUMIFS('Base Period'!34:34,'Base Period'!$29:$29,'Budget by Task'!I$7:J$7, 'Base Period'!$32:$32, 'Budget by Task'!I$12)+SUMIFS('Option Period 1'!34:34,'Option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14" s="16" t="e">
        <f>SUMIFS('Base Period'!34:34,'Base Period'!$28:$28,'Budget by Task'!J$6, 'Base Period'!$32:$32, 'Budget by Task'!J$12)+SUMIFS('Option Period 1'!34:34,'Option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14" s="15" t="e">
        <f>SUMIFS('Base Period'!34:34,'Base Period'!$29:$29,'Budget by Task'!K$7:L$7, 'Base Period'!$32:$32, 'Budget by Task'!K$12)+SUMIFS('Option Period 1'!34:34,'Option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14" s="16" t="e">
        <f>SUMIFS('Base Period'!34:34,'Base Period'!$28:$28,'Budget by Task'!L$6, 'Base Period'!$32:$32, 'Budget by Task'!L$12)+SUMIFS('Option Period 1'!34:34,'Option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14" s="15" t="e">
        <f>SUMIFS('Base Period'!34:34,'Base Period'!$29:$29,'Budget by Task'!M$7:N$7, 'Base Period'!$32:$32, 'Budget by Task'!M$12)+SUMIFS('Option Period 1'!34:34,'Option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14" s="16" t="e">
        <f>SUMIFS('Base Period'!34:34,'Base Period'!$28:$28,'Budget by Task'!N$6, 'Base Period'!$32:$32, 'Budget by Task'!N$12)+SUMIFS('Option Period 1'!34:34,'Option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14" s="15" t="e">
        <f>SUMIFS('Base Period'!34:34,'Base Period'!$29:$29,'Budget by Task'!O$7:P$7, 'Base Period'!$32:$32, 'Budget by Task'!O$12)+SUMIFS('Option Period 1'!34:34,'Option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14" s="16" t="e">
        <f>SUMIFS('Base Period'!34:34,'Base Period'!$28:$28,'Budget by Task'!P$6, 'Base Period'!$32:$32, 'Budget by Task'!P$12)+SUMIFS('Option Period 1'!34:34,'Option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14" s="15" t="e">
        <f>SUMIFS('Base Period'!34:34,'Base Period'!$29:$29,'Budget by Task'!Q$7:R$7, 'Base Period'!$32:$32, 'Budget by Task'!Q$12)+SUMIFS('Option Period 1'!34:34,'Option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14" s="16" t="e">
        <f>SUMIFS('Base Period'!34:34,'Base Period'!$28:$28,'Budget by Task'!R$6, 'Base Period'!$32:$32, 'Budget by Task'!R$12)+SUMIFS('Option Period 1'!34:34,'Option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14" s="15" t="e">
        <f>SUMIFS('Base Period'!34:34,'Base Period'!$29:$29,'Budget by Task'!S$7:T$7, 'Base Period'!$32:$32, 'Budget by Task'!S$12)+SUMIFS('Option Period 1'!34:34,'Option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14" s="16" t="e">
        <f>SUMIFS('Base Period'!34:34,'Base Period'!$28:$28,'Budget by Task'!T$6, 'Base Period'!$32:$32, 'Budget by Task'!T$12)+SUMIFS('Option Period 1'!34:34,'Option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14" s="15" t="e">
        <f>SUMIFS('Base Period'!34:34,'Base Period'!$29:$29,'Budget by Task'!U$7:V$7, 'Base Period'!$32:$32, 'Budget by Task'!U$12)+SUMIFS('Option Period 1'!34:34,'Option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14" s="16" t="e">
        <f>SUMIFS('Base Period'!34:34,'Base Period'!$28:$28,'Budget by Task'!V$6, 'Base Period'!$32:$32, 'Budget by Task'!V$12)+SUMIFS('Option Period 1'!34:34,'Option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14" s="15" t="e">
        <f>SUMIFS('Base Period'!34:34,'Base Period'!$29:$29,'Budget by Task'!W$7:X$7, 'Base Period'!$32:$32, 'Budget by Task'!W$12)+SUMIFS('Option Period 1'!34:34,'Option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14" s="16" t="e">
        <f>SUMIFS('Base Period'!34:34,'Base Period'!$28:$28,'Budget by Task'!X$6, 'Base Period'!$32:$32, 'Budget by Task'!X$12)+SUMIFS('Option Period 1'!34:34,'Option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14" s="15" t="e">
        <f>SUMIFS('Base Period'!34:34,'Base Period'!$29:$29,'Budget by Task'!Y$7:Z$7, 'Base Period'!$32:$32, 'Budget by Task'!Y$12)+SUMIFS('Option Period 1'!34:34,'Option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14" s="16" t="e">
        <f>SUMIFS('Base Period'!34:34,'Base Period'!$28:$28,'Budget by Task'!Z$6, 'Base Period'!$32:$32, 'Budget by Task'!Z$12)+SUMIFS('Option Period 1'!34:34,'Option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14" s="15" t="e">
        <f>SUMIFS('Base Period'!34:34,'Base Period'!$29:$29,'Budget by Task'!AA$7:AB$7, 'Base Period'!$32:$32, 'Budget by Task'!AA$12)+SUMIFS('Option Period 1'!34:34,'Option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14" s="16" t="e">
        <f>SUMIFS('Base Period'!34:34,'Base Period'!$28:$28,'Budget by Task'!AB$6, 'Base Period'!$32:$32, 'Budget by Task'!AB$12)+SUMIFS('Option Period 1'!34:34,'Option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14" s="15" t="e">
        <f>SUMIFS('Base Period'!34:34,'Base Period'!$29:$29,'Budget by Task'!AC$7:AD$7, 'Base Period'!$32:$32, 'Budget by Task'!AC$12)+SUMIFS('Option Period 1'!34:34,'Option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14" s="16" t="e">
        <f>SUMIFS('Base Period'!34:34,'Base Period'!$28:$28,'Budget by Task'!AD$6, 'Base Period'!$32:$32, 'Budget by Task'!AD$12)+SUMIFS('Option Period 1'!34:34,'Option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14" s="15" t="e">
        <f>SUMIFS('Base Period'!34:34,'Base Period'!$29:$29,'Budget by Task'!AE$7:AF$7, 'Base Period'!$32:$32, 'Budget by Task'!AE$12)+SUMIFS('Option Period 1'!34:34,'Option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14" s="16" t="e">
        <f>SUMIFS('Base Period'!34:34,'Base Period'!$28:$28,'Budget by Task'!AF$6, 'Base Period'!$32:$32, 'Budget by Task'!AF$12)+SUMIFS('Option Period 1'!34:34,'Option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14" s="15" t="e">
        <f>SUMIFS('Base Period'!34:34,'Base Period'!$29:$29,'Budget by Task'!AG$7:AH$7, 'Base Period'!$32:$32, 'Budget by Task'!AG$12)+SUMIFS('Option Period 1'!34:34,'Option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14" s="16" t="e">
        <f>SUMIFS('Base Period'!34:34,'Base Period'!$28:$28,'Budget by Task'!AH$6, 'Base Period'!$32:$32, 'Budget by Task'!AH$12)+SUMIFS('Option Period 1'!34:34,'Option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14" s="1" t="e">
        <f>SUMIFS('Base Period'!34:34,'Base Period'!$29:$29,'Budget by Task'!AI$7)+SUMIFS('Option Period 1'!34:34,'Option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14" s="11" t="e">
        <f>SUMIFS('Base Period'!34:34,'Base Period'!$29:$29,'Budget by Task'!AJ$7)+SUMIFS('Option Period 1'!34:34,'Option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14" s="151" t="e">
        <f>ROUND(AJ14-'Base Period'!BN34-'Option Period 1'!BN34-#REF!-#REF!-#REF!-#REF!-#REF!-#REF!-#REF!-#REF!,0)</f>
        <v>#REF!</v>
      </c>
    </row>
    <row r="15" spans="1:39" ht="15.75" x14ac:dyDescent="0.25">
      <c r="B15" s="6" t="str">
        <f>'Base Period'!B35</f>
        <v>Name</v>
      </c>
      <c r="C15" s="15" t="e">
        <f>SUMIFS('Base Period'!35:35,'Base Period'!$29:$29,'Budget by Task'!C$7:D$7, 'Base Period'!$32:$32, 'Budget by Task'!C$12)+SUMIFS('Option Period 1'!35:35,'Option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15" s="16" t="e">
        <f>SUMIFS('Base Period'!35:35,'Base Period'!$28:$28,'Budget by Task'!D$6, 'Base Period'!$32:$32, 'Budget by Task'!D$12)+SUMIFS('Option Period 1'!35:35,'Option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15" s="15" t="e">
        <f>SUMIFS('Base Period'!35:35,'Base Period'!$29:$29,'Budget by Task'!E$7:F$7, 'Base Period'!$32:$32, 'Budget by Task'!E$12)+SUMIFS('Option Period 1'!35:35,'Option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15" s="16" t="e">
        <f>SUMIFS('Base Period'!35:35,'Base Period'!$28:$28,'Budget by Task'!F$6, 'Base Period'!$32:$32, 'Budget by Task'!F$12)+SUMIFS('Option Period 1'!35:35,'Option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15" s="15" t="e">
        <f>SUMIFS('Base Period'!35:35,'Base Period'!$29:$29,'Budget by Task'!G$7:H$7, 'Base Period'!$32:$32, 'Budget by Task'!G$12)+SUMIFS('Option Period 1'!35:35,'Option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15" s="16" t="e">
        <f>SUMIFS('Base Period'!35:35,'Base Period'!$28:$28,'Budget by Task'!H$6, 'Base Period'!$32:$32, 'Budget by Task'!H$12)+SUMIFS('Option Period 1'!35:35,'Option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15" s="15" t="e">
        <f>SUMIFS('Base Period'!35:35,'Base Period'!$29:$29,'Budget by Task'!I$7:J$7, 'Base Period'!$32:$32, 'Budget by Task'!I$12)+SUMIFS('Option Period 1'!35:35,'Option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15" s="16" t="e">
        <f>SUMIFS('Base Period'!35:35,'Base Period'!$28:$28,'Budget by Task'!J$6, 'Base Period'!$32:$32, 'Budget by Task'!J$12)+SUMIFS('Option Period 1'!35:35,'Option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15" s="15" t="e">
        <f>SUMIFS('Base Period'!35:35,'Base Period'!$29:$29,'Budget by Task'!K$7:L$7, 'Base Period'!$32:$32, 'Budget by Task'!K$12)+SUMIFS('Option Period 1'!35:35,'Option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15" s="16" t="e">
        <f>SUMIFS('Base Period'!35:35,'Base Period'!$28:$28,'Budget by Task'!L$6, 'Base Period'!$32:$32, 'Budget by Task'!L$12)+SUMIFS('Option Period 1'!35:35,'Option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15" s="15" t="e">
        <f>SUMIFS('Base Period'!35:35,'Base Period'!$29:$29,'Budget by Task'!M$7:N$7, 'Base Period'!$32:$32, 'Budget by Task'!M$12)+SUMIFS('Option Period 1'!35:35,'Option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15" s="16" t="e">
        <f>SUMIFS('Base Period'!35:35,'Base Period'!$28:$28,'Budget by Task'!N$6, 'Base Period'!$32:$32, 'Budget by Task'!N$12)+SUMIFS('Option Period 1'!35:35,'Option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15" s="15" t="e">
        <f>SUMIFS('Base Period'!35:35,'Base Period'!$29:$29,'Budget by Task'!O$7:P$7, 'Base Period'!$32:$32, 'Budget by Task'!O$12)+SUMIFS('Option Period 1'!35:35,'Option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15" s="16" t="e">
        <f>SUMIFS('Base Period'!35:35,'Base Period'!$28:$28,'Budget by Task'!P$6, 'Base Period'!$32:$32, 'Budget by Task'!P$12)+SUMIFS('Option Period 1'!35:35,'Option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15" s="15" t="e">
        <f>SUMIFS('Base Period'!35:35,'Base Period'!$29:$29,'Budget by Task'!Q$7:R$7, 'Base Period'!$32:$32, 'Budget by Task'!Q$12)+SUMIFS('Option Period 1'!35:35,'Option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15" s="16" t="e">
        <f>SUMIFS('Base Period'!35:35,'Base Period'!$28:$28,'Budget by Task'!R$6, 'Base Period'!$32:$32, 'Budget by Task'!R$12)+SUMIFS('Option Period 1'!35:35,'Option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15" s="15" t="e">
        <f>SUMIFS('Base Period'!35:35,'Base Period'!$29:$29,'Budget by Task'!S$7:T$7, 'Base Period'!$32:$32, 'Budget by Task'!S$12)+SUMIFS('Option Period 1'!35:35,'Option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15" s="16" t="e">
        <f>SUMIFS('Base Period'!35:35,'Base Period'!$28:$28,'Budget by Task'!T$6, 'Base Period'!$32:$32, 'Budget by Task'!T$12)+SUMIFS('Option Period 1'!35:35,'Option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15" s="15" t="e">
        <f>SUMIFS('Base Period'!35:35,'Base Period'!$29:$29,'Budget by Task'!U$7:V$7, 'Base Period'!$32:$32, 'Budget by Task'!U$12)+SUMIFS('Option Period 1'!35:35,'Option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15" s="16" t="e">
        <f>SUMIFS('Base Period'!35:35,'Base Period'!$28:$28,'Budget by Task'!V$6, 'Base Period'!$32:$32, 'Budget by Task'!V$12)+SUMIFS('Option Period 1'!35:35,'Option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15" s="15" t="e">
        <f>SUMIFS('Base Period'!35:35,'Base Period'!$29:$29,'Budget by Task'!W$7:X$7, 'Base Period'!$32:$32, 'Budget by Task'!W$12)+SUMIFS('Option Period 1'!35:35,'Option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15" s="16" t="e">
        <f>SUMIFS('Base Period'!35:35,'Base Period'!$28:$28,'Budget by Task'!X$6, 'Base Period'!$32:$32, 'Budget by Task'!X$12)+SUMIFS('Option Period 1'!35:35,'Option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15" s="15" t="e">
        <f>SUMIFS('Base Period'!35:35,'Base Period'!$29:$29,'Budget by Task'!Y$7:Z$7, 'Base Period'!$32:$32, 'Budget by Task'!Y$12)+SUMIFS('Option Period 1'!35:35,'Option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15" s="16" t="e">
        <f>SUMIFS('Base Period'!35:35,'Base Period'!$28:$28,'Budget by Task'!Z$6, 'Base Period'!$32:$32, 'Budget by Task'!Z$12)+SUMIFS('Option Period 1'!35:35,'Option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15" s="15" t="e">
        <f>SUMIFS('Base Period'!35:35,'Base Period'!$29:$29,'Budget by Task'!AA$7:AB$7, 'Base Period'!$32:$32, 'Budget by Task'!AA$12)+SUMIFS('Option Period 1'!35:35,'Option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15" s="16" t="e">
        <f>SUMIFS('Base Period'!35:35,'Base Period'!$28:$28,'Budget by Task'!AB$6, 'Base Period'!$32:$32, 'Budget by Task'!AB$12)+SUMIFS('Option Period 1'!35:35,'Option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15" s="15" t="e">
        <f>SUMIFS('Base Period'!35:35,'Base Period'!$29:$29,'Budget by Task'!AC$7:AD$7, 'Base Period'!$32:$32, 'Budget by Task'!AC$12)+SUMIFS('Option Period 1'!35:35,'Option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15" s="16" t="e">
        <f>SUMIFS('Base Period'!35:35,'Base Period'!$28:$28,'Budget by Task'!AD$6, 'Base Period'!$32:$32, 'Budget by Task'!AD$12)+SUMIFS('Option Period 1'!35:35,'Option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15" s="15" t="e">
        <f>SUMIFS('Base Period'!35:35,'Base Period'!$29:$29,'Budget by Task'!AE$7:AF$7, 'Base Period'!$32:$32, 'Budget by Task'!AE$12)+SUMIFS('Option Period 1'!35:35,'Option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15" s="16" t="e">
        <f>SUMIFS('Base Period'!35:35,'Base Period'!$28:$28,'Budget by Task'!AF$6, 'Base Period'!$32:$32, 'Budget by Task'!AF$12)+SUMIFS('Option Period 1'!35:35,'Option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15" s="15" t="e">
        <f>SUMIFS('Base Period'!35:35,'Base Period'!$29:$29,'Budget by Task'!AG$7:AH$7, 'Base Period'!$32:$32, 'Budget by Task'!AG$12)+SUMIFS('Option Period 1'!35:35,'Option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15" s="16" t="e">
        <f>SUMIFS('Base Period'!35:35,'Base Period'!$28:$28,'Budget by Task'!AH$6, 'Base Period'!$32:$32, 'Budget by Task'!AH$12)+SUMIFS('Option Period 1'!35:35,'Option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15" s="1" t="e">
        <f>SUMIFS('Base Period'!35:35,'Base Period'!$29:$29,'Budget by Task'!AI$7)+SUMIFS('Option Period 1'!35:35,'Option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15" s="11" t="e">
        <f>SUMIFS('Base Period'!35:35,'Base Period'!$29:$29,'Budget by Task'!AJ$7)+SUMIFS('Option Period 1'!35:35,'Option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15" s="151" t="e">
        <f>ROUND(AJ15-'Base Period'!BN35-'Option Period 1'!BN35-#REF!-#REF!-#REF!-#REF!-#REF!-#REF!-#REF!-#REF!,0)</f>
        <v>#REF!</v>
      </c>
    </row>
    <row r="16" spans="1:39" ht="15.75" x14ac:dyDescent="0.25">
      <c r="B16" s="6" t="str">
        <f>'Base Period'!B36</f>
        <v>Name</v>
      </c>
      <c r="C16" s="15" t="e">
        <f>SUMIFS('Base Period'!36:36,'Base Period'!$29:$29,'Budget by Task'!C$7:D$7, 'Base Period'!$32:$32, 'Budget by Task'!C$12)+SUMIFS('Option Period 1'!36:36,'Option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16" s="16" t="e">
        <f>SUMIFS('Base Period'!36:36,'Base Period'!$28:$28,'Budget by Task'!D$6, 'Base Period'!$32:$32, 'Budget by Task'!D$12)+SUMIFS('Option Period 1'!36:36,'Option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16" s="15" t="e">
        <f>SUMIFS('Base Period'!36:36,'Base Period'!$29:$29,'Budget by Task'!E$7:F$7, 'Base Period'!$32:$32, 'Budget by Task'!E$12)+SUMIFS('Option Period 1'!36:36,'Option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16" s="16" t="e">
        <f>SUMIFS('Base Period'!36:36,'Base Period'!$28:$28,'Budget by Task'!F$6, 'Base Period'!$32:$32, 'Budget by Task'!F$12)+SUMIFS('Option Period 1'!36:36,'Option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16" s="15" t="e">
        <f>SUMIFS('Base Period'!36:36,'Base Period'!$29:$29,'Budget by Task'!G$7:H$7, 'Base Period'!$32:$32, 'Budget by Task'!G$12)+SUMIFS('Option Period 1'!36:36,'Option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16" s="16" t="e">
        <f>SUMIFS('Base Period'!36:36,'Base Period'!$28:$28,'Budget by Task'!H$6, 'Base Period'!$32:$32, 'Budget by Task'!H$12)+SUMIFS('Option Period 1'!36:36,'Option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16" s="15" t="e">
        <f>SUMIFS('Base Period'!36:36,'Base Period'!$29:$29,'Budget by Task'!I$7:J$7, 'Base Period'!$32:$32, 'Budget by Task'!I$12)+SUMIFS('Option Period 1'!36:36,'Option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16" s="16" t="e">
        <f>SUMIFS('Base Period'!36:36,'Base Period'!$28:$28,'Budget by Task'!J$6, 'Base Period'!$32:$32, 'Budget by Task'!J$12)+SUMIFS('Option Period 1'!36:36,'Option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16" s="15" t="e">
        <f>SUMIFS('Base Period'!36:36,'Base Period'!$29:$29,'Budget by Task'!K$7:L$7, 'Base Period'!$32:$32, 'Budget by Task'!K$12)+SUMIFS('Option Period 1'!36:36,'Option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16" s="16" t="e">
        <f>SUMIFS('Base Period'!36:36,'Base Period'!$28:$28,'Budget by Task'!L$6, 'Base Period'!$32:$32, 'Budget by Task'!L$12)+SUMIFS('Option Period 1'!36:36,'Option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16" s="15" t="e">
        <f>SUMIFS('Base Period'!36:36,'Base Period'!$29:$29,'Budget by Task'!M$7:N$7, 'Base Period'!$32:$32, 'Budget by Task'!M$12)+SUMIFS('Option Period 1'!36:36,'Option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16" s="16" t="e">
        <f>SUMIFS('Base Period'!36:36,'Base Period'!$28:$28,'Budget by Task'!N$6, 'Base Period'!$32:$32, 'Budget by Task'!N$12)+SUMIFS('Option Period 1'!36:36,'Option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16" s="15" t="e">
        <f>SUMIFS('Base Period'!36:36,'Base Period'!$29:$29,'Budget by Task'!O$7:P$7, 'Base Period'!$32:$32, 'Budget by Task'!O$12)+SUMIFS('Option Period 1'!36:36,'Option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16" s="16" t="e">
        <f>SUMIFS('Base Period'!36:36,'Base Period'!$28:$28,'Budget by Task'!P$6, 'Base Period'!$32:$32, 'Budget by Task'!P$12)+SUMIFS('Option Period 1'!36:36,'Option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16" s="15" t="e">
        <f>SUMIFS('Base Period'!36:36,'Base Period'!$29:$29,'Budget by Task'!Q$7:R$7, 'Base Period'!$32:$32, 'Budget by Task'!Q$12)+SUMIFS('Option Period 1'!36:36,'Option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16" s="16" t="e">
        <f>SUMIFS('Base Period'!36:36,'Base Period'!$28:$28,'Budget by Task'!R$6, 'Base Period'!$32:$32, 'Budget by Task'!R$12)+SUMIFS('Option Period 1'!36:36,'Option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16" s="15" t="e">
        <f>SUMIFS('Base Period'!36:36,'Base Period'!$29:$29,'Budget by Task'!S$7:T$7, 'Base Period'!$32:$32, 'Budget by Task'!S$12)+SUMIFS('Option Period 1'!36:36,'Option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16" s="16" t="e">
        <f>SUMIFS('Base Period'!36:36,'Base Period'!$28:$28,'Budget by Task'!T$6, 'Base Period'!$32:$32, 'Budget by Task'!T$12)+SUMIFS('Option Period 1'!36:36,'Option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16" s="15" t="e">
        <f>SUMIFS('Base Period'!36:36,'Base Period'!$29:$29,'Budget by Task'!U$7:V$7, 'Base Period'!$32:$32, 'Budget by Task'!U$12)+SUMIFS('Option Period 1'!36:36,'Option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16" s="16" t="e">
        <f>SUMIFS('Base Period'!36:36,'Base Period'!$28:$28,'Budget by Task'!V$6, 'Base Period'!$32:$32, 'Budget by Task'!V$12)+SUMIFS('Option Period 1'!36:36,'Option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16" s="15" t="e">
        <f>SUMIFS('Base Period'!36:36,'Base Period'!$29:$29,'Budget by Task'!W$7:X$7, 'Base Period'!$32:$32, 'Budget by Task'!W$12)+SUMIFS('Option Period 1'!36:36,'Option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16" s="16" t="e">
        <f>SUMIFS('Base Period'!36:36,'Base Period'!$28:$28,'Budget by Task'!X$6, 'Base Period'!$32:$32, 'Budget by Task'!X$12)+SUMIFS('Option Period 1'!36:36,'Option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16" s="15" t="e">
        <f>SUMIFS('Base Period'!36:36,'Base Period'!$29:$29,'Budget by Task'!Y$7:Z$7, 'Base Period'!$32:$32, 'Budget by Task'!Y$12)+SUMIFS('Option Period 1'!36:36,'Option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16" s="16" t="e">
        <f>SUMIFS('Base Period'!36:36,'Base Period'!$28:$28,'Budget by Task'!Z$6, 'Base Period'!$32:$32, 'Budget by Task'!Z$12)+SUMIFS('Option Period 1'!36:36,'Option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16" s="15" t="e">
        <f>SUMIFS('Base Period'!36:36,'Base Period'!$29:$29,'Budget by Task'!AA$7:AB$7, 'Base Period'!$32:$32, 'Budget by Task'!AA$12)+SUMIFS('Option Period 1'!36:36,'Option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16" s="16" t="e">
        <f>SUMIFS('Base Period'!36:36,'Base Period'!$28:$28,'Budget by Task'!AB$6, 'Base Period'!$32:$32, 'Budget by Task'!AB$12)+SUMIFS('Option Period 1'!36:36,'Option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16" s="15" t="e">
        <f>SUMIFS('Base Period'!36:36,'Base Period'!$29:$29,'Budget by Task'!AC$7:AD$7, 'Base Period'!$32:$32, 'Budget by Task'!AC$12)+SUMIFS('Option Period 1'!36:36,'Option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16" s="16" t="e">
        <f>SUMIFS('Base Period'!36:36,'Base Period'!$28:$28,'Budget by Task'!AD$6, 'Base Period'!$32:$32, 'Budget by Task'!AD$12)+SUMIFS('Option Period 1'!36:36,'Option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16" s="15" t="e">
        <f>SUMIFS('Base Period'!36:36,'Base Period'!$29:$29,'Budget by Task'!AE$7:AF$7, 'Base Period'!$32:$32, 'Budget by Task'!AE$12)+SUMIFS('Option Period 1'!36:36,'Option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16" s="16" t="e">
        <f>SUMIFS('Base Period'!36:36,'Base Period'!$28:$28,'Budget by Task'!AF$6, 'Base Period'!$32:$32, 'Budget by Task'!AF$12)+SUMIFS('Option Period 1'!36:36,'Option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16" s="15" t="e">
        <f>SUMIFS('Base Period'!36:36,'Base Period'!$29:$29,'Budget by Task'!AG$7:AH$7, 'Base Period'!$32:$32, 'Budget by Task'!AG$12)+SUMIFS('Option Period 1'!36:36,'Option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16" s="16" t="e">
        <f>SUMIFS('Base Period'!36:36,'Base Period'!$28:$28,'Budget by Task'!AH$6, 'Base Period'!$32:$32, 'Budget by Task'!AH$12)+SUMIFS('Option Period 1'!36:36,'Option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16" s="1" t="e">
        <f>SUMIFS('Base Period'!36:36,'Base Period'!$29:$29,'Budget by Task'!AI$7)+SUMIFS('Option Period 1'!36:36,'Option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16" s="11" t="e">
        <f>SUMIFS('Base Period'!36:36,'Base Period'!$29:$29,'Budget by Task'!AJ$7)+SUMIFS('Option Period 1'!36:36,'Option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16" s="151" t="e">
        <f>ROUND(AJ16-'Base Period'!BN36-'Option Period 1'!BN36-#REF!-#REF!-#REF!-#REF!-#REF!-#REF!-#REF!-#REF!,0)</f>
        <v>#REF!</v>
      </c>
    </row>
    <row r="17" spans="2:39" ht="15.75" x14ac:dyDescent="0.25">
      <c r="B17" s="6" t="str">
        <f>'Base Period'!B37</f>
        <v>Name</v>
      </c>
      <c r="C17" s="15" t="e">
        <f>SUMIFS('Base Period'!37:37,'Base Period'!$29:$29,'Budget by Task'!C$7:D$7, 'Base Period'!$32:$32, 'Budget by Task'!C$12)+SUMIFS('Option Period 1'!37:37,'Option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17" s="16" t="e">
        <f>SUMIFS('Base Period'!37:37,'Base Period'!$28:$28,'Budget by Task'!D$6, 'Base Period'!$32:$32, 'Budget by Task'!D$12)+SUMIFS('Option Period 1'!37:37,'Option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17" s="15" t="e">
        <f>SUMIFS('Base Period'!37:37,'Base Period'!$29:$29,'Budget by Task'!E$7:F$7, 'Base Period'!$32:$32, 'Budget by Task'!E$12)+SUMIFS('Option Period 1'!37:37,'Option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17" s="16" t="e">
        <f>SUMIFS('Base Period'!37:37,'Base Period'!$28:$28,'Budget by Task'!F$6, 'Base Period'!$32:$32, 'Budget by Task'!F$12)+SUMIFS('Option Period 1'!37:37,'Option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17" s="15" t="e">
        <f>SUMIFS('Base Period'!37:37,'Base Period'!$29:$29,'Budget by Task'!G$7:H$7, 'Base Period'!$32:$32, 'Budget by Task'!G$12)+SUMIFS('Option Period 1'!37:37,'Option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17" s="16" t="e">
        <f>SUMIFS('Base Period'!37:37,'Base Period'!$28:$28,'Budget by Task'!H$6, 'Base Period'!$32:$32, 'Budget by Task'!H$12)+SUMIFS('Option Period 1'!37:37,'Option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17" s="15" t="e">
        <f>SUMIFS('Base Period'!37:37,'Base Period'!$29:$29,'Budget by Task'!I$7:J$7, 'Base Period'!$32:$32, 'Budget by Task'!I$12)+SUMIFS('Option Period 1'!37:37,'Option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17" s="16" t="e">
        <f>SUMIFS('Base Period'!37:37,'Base Period'!$28:$28,'Budget by Task'!J$6, 'Base Period'!$32:$32, 'Budget by Task'!J$12)+SUMIFS('Option Period 1'!37:37,'Option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17" s="15" t="e">
        <f>SUMIFS('Base Period'!37:37,'Base Period'!$29:$29,'Budget by Task'!K$7:L$7, 'Base Period'!$32:$32, 'Budget by Task'!K$12)+SUMIFS('Option Period 1'!37:37,'Option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17" s="16" t="e">
        <f>SUMIFS('Base Period'!37:37,'Base Period'!$28:$28,'Budget by Task'!L$6, 'Base Period'!$32:$32, 'Budget by Task'!L$12)+SUMIFS('Option Period 1'!37:37,'Option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17" s="15" t="e">
        <f>SUMIFS('Base Period'!37:37,'Base Period'!$29:$29,'Budget by Task'!M$7:N$7, 'Base Period'!$32:$32, 'Budget by Task'!M$12)+SUMIFS('Option Period 1'!37:37,'Option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17" s="16" t="e">
        <f>SUMIFS('Base Period'!37:37,'Base Period'!$28:$28,'Budget by Task'!N$6, 'Base Period'!$32:$32, 'Budget by Task'!N$12)+SUMIFS('Option Period 1'!37:37,'Option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17" s="15" t="e">
        <f>SUMIFS('Base Period'!37:37,'Base Period'!$29:$29,'Budget by Task'!O$7:P$7, 'Base Period'!$32:$32, 'Budget by Task'!O$12)+SUMIFS('Option Period 1'!37:37,'Option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17" s="16" t="e">
        <f>SUMIFS('Base Period'!37:37,'Base Period'!$28:$28,'Budget by Task'!P$6, 'Base Period'!$32:$32, 'Budget by Task'!P$12)+SUMIFS('Option Period 1'!37:37,'Option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17" s="15" t="e">
        <f>SUMIFS('Base Period'!37:37,'Base Period'!$29:$29,'Budget by Task'!Q$7:R$7, 'Base Period'!$32:$32, 'Budget by Task'!Q$12)+SUMIFS('Option Period 1'!37:37,'Option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17" s="16" t="e">
        <f>SUMIFS('Base Period'!37:37,'Base Period'!$28:$28,'Budget by Task'!R$6, 'Base Period'!$32:$32, 'Budget by Task'!R$12)+SUMIFS('Option Period 1'!37:37,'Option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17" s="15" t="e">
        <f>SUMIFS('Base Period'!37:37,'Base Period'!$29:$29,'Budget by Task'!S$7:T$7, 'Base Period'!$32:$32, 'Budget by Task'!S$12)+SUMIFS('Option Period 1'!37:37,'Option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17" s="16" t="e">
        <f>SUMIFS('Base Period'!37:37,'Base Period'!$28:$28,'Budget by Task'!T$6, 'Base Period'!$32:$32, 'Budget by Task'!T$12)+SUMIFS('Option Period 1'!37:37,'Option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17" s="15" t="e">
        <f>SUMIFS('Base Period'!37:37,'Base Period'!$29:$29,'Budget by Task'!U$7:V$7, 'Base Period'!$32:$32, 'Budget by Task'!U$12)+SUMIFS('Option Period 1'!37:37,'Option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17" s="16" t="e">
        <f>SUMIFS('Base Period'!37:37,'Base Period'!$28:$28,'Budget by Task'!V$6, 'Base Period'!$32:$32, 'Budget by Task'!V$12)+SUMIFS('Option Period 1'!37:37,'Option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17" s="15" t="e">
        <f>SUMIFS('Base Period'!37:37,'Base Period'!$29:$29,'Budget by Task'!W$7:X$7, 'Base Period'!$32:$32, 'Budget by Task'!W$12)+SUMIFS('Option Period 1'!37:37,'Option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17" s="16" t="e">
        <f>SUMIFS('Base Period'!37:37,'Base Period'!$28:$28,'Budget by Task'!X$6, 'Base Period'!$32:$32, 'Budget by Task'!X$12)+SUMIFS('Option Period 1'!37:37,'Option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17" s="15" t="e">
        <f>SUMIFS('Base Period'!37:37,'Base Period'!$29:$29,'Budget by Task'!Y$7:Z$7, 'Base Period'!$32:$32, 'Budget by Task'!Y$12)+SUMIFS('Option Period 1'!37:37,'Option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17" s="16" t="e">
        <f>SUMIFS('Base Period'!37:37,'Base Period'!$28:$28,'Budget by Task'!Z$6, 'Base Period'!$32:$32, 'Budget by Task'!Z$12)+SUMIFS('Option Period 1'!37:37,'Option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17" s="15" t="e">
        <f>SUMIFS('Base Period'!37:37,'Base Period'!$29:$29,'Budget by Task'!AA$7:AB$7, 'Base Period'!$32:$32, 'Budget by Task'!AA$12)+SUMIFS('Option Period 1'!37:37,'Option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17" s="16" t="e">
        <f>SUMIFS('Base Period'!37:37,'Base Period'!$28:$28,'Budget by Task'!AB$6, 'Base Period'!$32:$32, 'Budget by Task'!AB$12)+SUMIFS('Option Period 1'!37:37,'Option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17" s="15" t="e">
        <f>SUMIFS('Base Period'!37:37,'Base Period'!$29:$29,'Budget by Task'!AC$7:AD$7, 'Base Period'!$32:$32, 'Budget by Task'!AC$12)+SUMIFS('Option Period 1'!37:37,'Option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17" s="16" t="e">
        <f>SUMIFS('Base Period'!37:37,'Base Period'!$28:$28,'Budget by Task'!AD$6, 'Base Period'!$32:$32, 'Budget by Task'!AD$12)+SUMIFS('Option Period 1'!37:37,'Option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17" s="15" t="e">
        <f>SUMIFS('Base Period'!37:37,'Base Period'!$29:$29,'Budget by Task'!AE$7:AF$7, 'Base Period'!$32:$32, 'Budget by Task'!AE$12)+SUMIFS('Option Period 1'!37:37,'Option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17" s="16" t="e">
        <f>SUMIFS('Base Period'!37:37,'Base Period'!$28:$28,'Budget by Task'!AF$6, 'Base Period'!$32:$32, 'Budget by Task'!AF$12)+SUMIFS('Option Period 1'!37:37,'Option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17" s="15" t="e">
        <f>SUMIFS('Base Period'!37:37,'Base Period'!$29:$29,'Budget by Task'!AG$7:AH$7, 'Base Period'!$32:$32, 'Budget by Task'!AG$12)+SUMIFS('Option Period 1'!37:37,'Option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17" s="16" t="e">
        <f>SUMIFS('Base Period'!37:37,'Base Period'!$28:$28,'Budget by Task'!AH$6, 'Base Period'!$32:$32, 'Budget by Task'!AH$12)+SUMIFS('Option Period 1'!37:37,'Option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17" s="1" t="e">
        <f>SUMIFS('Base Period'!37:37,'Base Period'!$29:$29,'Budget by Task'!AI$7)+SUMIFS('Option Period 1'!37:37,'Option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17" s="11" t="e">
        <f>SUMIFS('Base Period'!37:37,'Base Period'!$29:$29,'Budget by Task'!AJ$7)+SUMIFS('Option Period 1'!37:37,'Option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17" s="151" t="e">
        <f>ROUND(AJ17-'Base Period'!BN37-'Option Period 1'!BN37-#REF!-#REF!-#REF!-#REF!-#REF!-#REF!-#REF!-#REF!,0)</f>
        <v>#REF!</v>
      </c>
    </row>
    <row r="18" spans="2:39" ht="15.75" x14ac:dyDescent="0.25">
      <c r="B18" s="6" t="str">
        <f>'Base Period'!B38</f>
        <v>Name</v>
      </c>
      <c r="C18" s="15" t="e">
        <f>SUMIFS('Base Period'!38:38,'Base Period'!$29:$29,'Budget by Task'!C$7:D$7, 'Base Period'!$32:$32, 'Budget by Task'!C$12)+SUMIFS('Option Period 1'!38:38,'Option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18" s="16" t="e">
        <f>SUMIFS('Base Period'!38:38,'Base Period'!$28:$28,'Budget by Task'!D$6, 'Base Period'!$32:$32, 'Budget by Task'!D$12)+SUMIFS('Option Period 1'!38:38,'Option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18" s="15" t="e">
        <f>SUMIFS('Base Period'!38:38,'Base Period'!$29:$29,'Budget by Task'!E$7:F$7, 'Base Period'!$32:$32, 'Budget by Task'!E$12)+SUMIFS('Option Period 1'!38:38,'Option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18" s="16" t="e">
        <f>SUMIFS('Base Period'!38:38,'Base Period'!$28:$28,'Budget by Task'!F$6, 'Base Period'!$32:$32, 'Budget by Task'!F$12)+SUMIFS('Option Period 1'!38:38,'Option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18" s="15" t="e">
        <f>SUMIFS('Base Period'!38:38,'Base Period'!$29:$29,'Budget by Task'!G$7:H$7, 'Base Period'!$32:$32, 'Budget by Task'!G$12)+SUMIFS('Option Period 1'!38:38,'Option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18" s="16" t="e">
        <f>SUMIFS('Base Period'!38:38,'Base Period'!$28:$28,'Budget by Task'!H$6, 'Base Period'!$32:$32, 'Budget by Task'!H$12)+SUMIFS('Option Period 1'!38:38,'Option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18" s="15" t="e">
        <f>SUMIFS('Base Period'!38:38,'Base Period'!$29:$29,'Budget by Task'!I$7:J$7, 'Base Period'!$32:$32, 'Budget by Task'!I$12)+SUMIFS('Option Period 1'!38:38,'Option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18" s="16" t="e">
        <f>SUMIFS('Base Period'!38:38,'Base Period'!$28:$28,'Budget by Task'!J$6, 'Base Period'!$32:$32, 'Budget by Task'!J$12)+SUMIFS('Option Period 1'!38:38,'Option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18" s="15" t="e">
        <f>SUMIFS('Base Period'!38:38,'Base Period'!$29:$29,'Budget by Task'!K$7:L$7, 'Base Period'!$32:$32, 'Budget by Task'!K$12)+SUMIFS('Option Period 1'!38:38,'Option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18" s="16" t="e">
        <f>SUMIFS('Base Period'!38:38,'Base Period'!$28:$28,'Budget by Task'!L$6, 'Base Period'!$32:$32, 'Budget by Task'!L$12)+SUMIFS('Option Period 1'!38:38,'Option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18" s="15" t="e">
        <f>SUMIFS('Base Period'!38:38,'Base Period'!$29:$29,'Budget by Task'!M$7:N$7, 'Base Period'!$32:$32, 'Budget by Task'!M$12)+SUMIFS('Option Period 1'!38:38,'Option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18" s="16" t="e">
        <f>SUMIFS('Base Period'!38:38,'Base Period'!$28:$28,'Budget by Task'!N$6, 'Base Period'!$32:$32, 'Budget by Task'!N$12)+SUMIFS('Option Period 1'!38:38,'Option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18" s="15" t="e">
        <f>SUMIFS('Base Period'!38:38,'Base Period'!$29:$29,'Budget by Task'!O$7:P$7, 'Base Period'!$32:$32, 'Budget by Task'!O$12)+SUMIFS('Option Period 1'!38:38,'Option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18" s="16" t="e">
        <f>SUMIFS('Base Period'!38:38,'Base Period'!$28:$28,'Budget by Task'!P$6, 'Base Period'!$32:$32, 'Budget by Task'!P$12)+SUMIFS('Option Period 1'!38:38,'Option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18" s="15" t="e">
        <f>SUMIFS('Base Period'!38:38,'Base Period'!$29:$29,'Budget by Task'!Q$7:R$7, 'Base Period'!$32:$32, 'Budget by Task'!Q$12)+SUMIFS('Option Period 1'!38:38,'Option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18" s="16" t="e">
        <f>SUMIFS('Base Period'!38:38,'Base Period'!$28:$28,'Budget by Task'!R$6, 'Base Period'!$32:$32, 'Budget by Task'!R$12)+SUMIFS('Option Period 1'!38:38,'Option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18" s="15" t="e">
        <f>SUMIFS('Base Period'!38:38,'Base Period'!$29:$29,'Budget by Task'!S$7:T$7, 'Base Period'!$32:$32, 'Budget by Task'!S$12)+SUMIFS('Option Period 1'!38:38,'Option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18" s="16" t="e">
        <f>SUMIFS('Base Period'!38:38,'Base Period'!$28:$28,'Budget by Task'!T$6, 'Base Period'!$32:$32, 'Budget by Task'!T$12)+SUMIFS('Option Period 1'!38:38,'Option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18" s="15" t="e">
        <f>SUMIFS('Base Period'!38:38,'Base Period'!$29:$29,'Budget by Task'!U$7:V$7, 'Base Period'!$32:$32, 'Budget by Task'!U$12)+SUMIFS('Option Period 1'!38:38,'Option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18" s="16" t="e">
        <f>SUMIFS('Base Period'!38:38,'Base Period'!$28:$28,'Budget by Task'!V$6, 'Base Period'!$32:$32, 'Budget by Task'!V$12)+SUMIFS('Option Period 1'!38:38,'Option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18" s="15" t="e">
        <f>SUMIFS('Base Period'!38:38,'Base Period'!$29:$29,'Budget by Task'!W$7:X$7, 'Base Period'!$32:$32, 'Budget by Task'!W$12)+SUMIFS('Option Period 1'!38:38,'Option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18" s="16" t="e">
        <f>SUMIFS('Base Period'!38:38,'Base Period'!$28:$28,'Budget by Task'!X$6, 'Base Period'!$32:$32, 'Budget by Task'!X$12)+SUMIFS('Option Period 1'!38:38,'Option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18" s="15" t="e">
        <f>SUMIFS('Base Period'!38:38,'Base Period'!$29:$29,'Budget by Task'!Y$7:Z$7, 'Base Period'!$32:$32, 'Budget by Task'!Y$12)+SUMIFS('Option Period 1'!38:38,'Option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18" s="16" t="e">
        <f>SUMIFS('Base Period'!38:38,'Base Period'!$28:$28,'Budget by Task'!Z$6, 'Base Period'!$32:$32, 'Budget by Task'!Z$12)+SUMIFS('Option Period 1'!38:38,'Option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18" s="15" t="e">
        <f>SUMIFS('Base Period'!38:38,'Base Period'!$29:$29,'Budget by Task'!AA$7:AB$7, 'Base Period'!$32:$32, 'Budget by Task'!AA$12)+SUMIFS('Option Period 1'!38:38,'Option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18" s="16" t="e">
        <f>SUMIFS('Base Period'!38:38,'Base Period'!$28:$28,'Budget by Task'!AB$6, 'Base Period'!$32:$32, 'Budget by Task'!AB$12)+SUMIFS('Option Period 1'!38:38,'Option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18" s="15" t="e">
        <f>SUMIFS('Base Period'!38:38,'Base Period'!$29:$29,'Budget by Task'!AC$7:AD$7, 'Base Period'!$32:$32, 'Budget by Task'!AC$12)+SUMIFS('Option Period 1'!38:38,'Option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18" s="16" t="e">
        <f>SUMIFS('Base Period'!38:38,'Base Period'!$28:$28,'Budget by Task'!AD$6, 'Base Period'!$32:$32, 'Budget by Task'!AD$12)+SUMIFS('Option Period 1'!38:38,'Option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18" s="15" t="e">
        <f>SUMIFS('Base Period'!38:38,'Base Period'!$29:$29,'Budget by Task'!AE$7:AF$7, 'Base Period'!$32:$32, 'Budget by Task'!AE$12)+SUMIFS('Option Period 1'!38:38,'Option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18" s="16" t="e">
        <f>SUMIFS('Base Period'!38:38,'Base Period'!$28:$28,'Budget by Task'!AF$6, 'Base Period'!$32:$32, 'Budget by Task'!AF$12)+SUMIFS('Option Period 1'!38:38,'Option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18" s="15" t="e">
        <f>SUMIFS('Base Period'!38:38,'Base Period'!$29:$29,'Budget by Task'!AG$7:AH$7, 'Base Period'!$32:$32, 'Budget by Task'!AG$12)+SUMIFS('Option Period 1'!38:38,'Option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18" s="16" t="e">
        <f>SUMIFS('Base Period'!38:38,'Base Period'!$28:$28,'Budget by Task'!AH$6, 'Base Period'!$32:$32, 'Budget by Task'!AH$12)+SUMIFS('Option Period 1'!38:38,'Option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18" s="1" t="e">
        <f>SUMIFS('Base Period'!38:38,'Base Period'!$29:$29,'Budget by Task'!AI$7)+SUMIFS('Option Period 1'!38:38,'Option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18" s="11" t="e">
        <f>SUMIFS('Base Period'!38:38,'Base Period'!$29:$29,'Budget by Task'!AJ$7)+SUMIFS('Option Period 1'!38:38,'Option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18" s="151" t="e">
        <f>ROUND(AJ18-'Base Period'!BN38-'Option Period 1'!BN38-#REF!-#REF!-#REF!-#REF!-#REF!-#REF!-#REF!-#REF!,0)</f>
        <v>#REF!</v>
      </c>
    </row>
    <row r="19" spans="2:39" ht="15.75" x14ac:dyDescent="0.25">
      <c r="B19" s="6" t="str">
        <f>'Base Period'!B39</f>
        <v>Name</v>
      </c>
      <c r="C19" s="15" t="e">
        <f>SUMIFS('Base Period'!39:39,'Base Period'!$29:$29,'Budget by Task'!C$7:D$7, 'Base Period'!$32:$32, 'Budget by Task'!C$12)+SUMIFS('Option Period 1'!39:39,'Option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19" s="16" t="e">
        <f>SUMIFS('Base Period'!39:39,'Base Period'!$28:$28,'Budget by Task'!D$6, 'Base Period'!$32:$32, 'Budget by Task'!D$12)+SUMIFS('Option Period 1'!39:39,'Option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19" s="15" t="e">
        <f>SUMIFS('Base Period'!39:39,'Base Period'!$29:$29,'Budget by Task'!E$7:F$7, 'Base Period'!$32:$32, 'Budget by Task'!E$12)+SUMIFS('Option Period 1'!39:39,'Option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19" s="16" t="e">
        <f>SUMIFS('Base Period'!39:39,'Base Period'!$28:$28,'Budget by Task'!F$6, 'Base Period'!$32:$32, 'Budget by Task'!F$12)+SUMIFS('Option Period 1'!39:39,'Option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19" s="15" t="e">
        <f>SUMIFS('Base Period'!39:39,'Base Period'!$29:$29,'Budget by Task'!G$7:H$7, 'Base Period'!$32:$32, 'Budget by Task'!G$12)+SUMIFS('Option Period 1'!39:39,'Option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19" s="16" t="e">
        <f>SUMIFS('Base Period'!39:39,'Base Period'!$28:$28,'Budget by Task'!H$6, 'Base Period'!$32:$32, 'Budget by Task'!H$12)+SUMIFS('Option Period 1'!39:39,'Option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19" s="15" t="e">
        <f>SUMIFS('Base Period'!39:39,'Base Period'!$29:$29,'Budget by Task'!I$7:J$7, 'Base Period'!$32:$32, 'Budget by Task'!I$12)+SUMIFS('Option Period 1'!39:39,'Option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19" s="16" t="e">
        <f>SUMIFS('Base Period'!39:39,'Base Period'!$28:$28,'Budget by Task'!J$6, 'Base Period'!$32:$32, 'Budget by Task'!J$12)+SUMIFS('Option Period 1'!39:39,'Option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19" s="15" t="e">
        <f>SUMIFS('Base Period'!39:39,'Base Period'!$29:$29,'Budget by Task'!K$7:L$7, 'Base Period'!$32:$32, 'Budget by Task'!K$12)+SUMIFS('Option Period 1'!39:39,'Option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19" s="16" t="e">
        <f>SUMIFS('Base Period'!39:39,'Base Period'!$28:$28,'Budget by Task'!L$6, 'Base Period'!$32:$32, 'Budget by Task'!L$12)+SUMIFS('Option Period 1'!39:39,'Option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19" s="15" t="e">
        <f>SUMIFS('Base Period'!39:39,'Base Period'!$29:$29,'Budget by Task'!M$7:N$7, 'Base Period'!$32:$32, 'Budget by Task'!M$12)+SUMIFS('Option Period 1'!39:39,'Option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19" s="16" t="e">
        <f>SUMIFS('Base Period'!39:39,'Base Period'!$28:$28,'Budget by Task'!N$6, 'Base Period'!$32:$32, 'Budget by Task'!N$12)+SUMIFS('Option Period 1'!39:39,'Option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19" s="15" t="e">
        <f>SUMIFS('Base Period'!39:39,'Base Period'!$29:$29,'Budget by Task'!O$7:P$7, 'Base Period'!$32:$32, 'Budget by Task'!O$12)+SUMIFS('Option Period 1'!39:39,'Option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19" s="16" t="e">
        <f>SUMIFS('Base Period'!39:39,'Base Period'!$28:$28,'Budget by Task'!P$6, 'Base Period'!$32:$32, 'Budget by Task'!P$12)+SUMIFS('Option Period 1'!39:39,'Option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19" s="15" t="e">
        <f>SUMIFS('Base Period'!39:39,'Base Period'!$29:$29,'Budget by Task'!Q$7:R$7, 'Base Period'!$32:$32, 'Budget by Task'!Q$12)+SUMIFS('Option Period 1'!39:39,'Option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19" s="16" t="e">
        <f>SUMIFS('Base Period'!39:39,'Base Period'!$28:$28,'Budget by Task'!R$6, 'Base Period'!$32:$32, 'Budget by Task'!R$12)+SUMIFS('Option Period 1'!39:39,'Option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19" s="15" t="e">
        <f>SUMIFS('Base Period'!39:39,'Base Period'!$29:$29,'Budget by Task'!S$7:T$7, 'Base Period'!$32:$32, 'Budget by Task'!S$12)+SUMIFS('Option Period 1'!39:39,'Option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19" s="16" t="e">
        <f>SUMIFS('Base Period'!39:39,'Base Period'!$28:$28,'Budget by Task'!T$6, 'Base Period'!$32:$32, 'Budget by Task'!T$12)+SUMIFS('Option Period 1'!39:39,'Option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19" s="15" t="e">
        <f>SUMIFS('Base Period'!39:39,'Base Period'!$29:$29,'Budget by Task'!U$7:V$7, 'Base Period'!$32:$32, 'Budget by Task'!U$12)+SUMIFS('Option Period 1'!39:39,'Option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19" s="16" t="e">
        <f>SUMIFS('Base Period'!39:39,'Base Period'!$28:$28,'Budget by Task'!V$6, 'Base Period'!$32:$32, 'Budget by Task'!V$12)+SUMIFS('Option Period 1'!39:39,'Option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19" s="15" t="e">
        <f>SUMIFS('Base Period'!39:39,'Base Period'!$29:$29,'Budget by Task'!W$7:X$7, 'Base Period'!$32:$32, 'Budget by Task'!W$12)+SUMIFS('Option Period 1'!39:39,'Option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19" s="16" t="e">
        <f>SUMIFS('Base Period'!39:39,'Base Period'!$28:$28,'Budget by Task'!X$6, 'Base Period'!$32:$32, 'Budget by Task'!X$12)+SUMIFS('Option Period 1'!39:39,'Option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19" s="15" t="e">
        <f>SUMIFS('Base Period'!39:39,'Base Period'!$29:$29,'Budget by Task'!Y$7:Z$7, 'Base Period'!$32:$32, 'Budget by Task'!Y$12)+SUMIFS('Option Period 1'!39:39,'Option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19" s="16" t="e">
        <f>SUMIFS('Base Period'!39:39,'Base Period'!$28:$28,'Budget by Task'!Z$6, 'Base Period'!$32:$32, 'Budget by Task'!Z$12)+SUMIFS('Option Period 1'!39:39,'Option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19" s="15" t="e">
        <f>SUMIFS('Base Period'!39:39,'Base Period'!$29:$29,'Budget by Task'!AA$7:AB$7, 'Base Period'!$32:$32, 'Budget by Task'!AA$12)+SUMIFS('Option Period 1'!39:39,'Option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19" s="16" t="e">
        <f>SUMIFS('Base Period'!39:39,'Base Period'!$28:$28,'Budget by Task'!AB$6, 'Base Period'!$32:$32, 'Budget by Task'!AB$12)+SUMIFS('Option Period 1'!39:39,'Option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19" s="15" t="e">
        <f>SUMIFS('Base Period'!39:39,'Base Period'!$29:$29,'Budget by Task'!AC$7:AD$7, 'Base Period'!$32:$32, 'Budget by Task'!AC$12)+SUMIFS('Option Period 1'!39:39,'Option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19" s="16" t="e">
        <f>SUMIFS('Base Period'!39:39,'Base Period'!$28:$28,'Budget by Task'!AD$6, 'Base Period'!$32:$32, 'Budget by Task'!AD$12)+SUMIFS('Option Period 1'!39:39,'Option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19" s="15" t="e">
        <f>SUMIFS('Base Period'!39:39,'Base Period'!$29:$29,'Budget by Task'!AE$7:AF$7, 'Base Period'!$32:$32, 'Budget by Task'!AE$12)+SUMIFS('Option Period 1'!39:39,'Option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19" s="16" t="e">
        <f>SUMIFS('Base Period'!39:39,'Base Period'!$28:$28,'Budget by Task'!AF$6, 'Base Period'!$32:$32, 'Budget by Task'!AF$12)+SUMIFS('Option Period 1'!39:39,'Option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19" s="15" t="e">
        <f>SUMIFS('Base Period'!39:39,'Base Period'!$29:$29,'Budget by Task'!AG$7:AH$7, 'Base Period'!$32:$32, 'Budget by Task'!AG$12)+SUMIFS('Option Period 1'!39:39,'Option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19" s="16" t="e">
        <f>SUMIFS('Base Period'!39:39,'Base Period'!$28:$28,'Budget by Task'!AH$6, 'Base Period'!$32:$32, 'Budget by Task'!AH$12)+SUMIFS('Option Period 1'!39:39,'Option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19" s="1" t="e">
        <f>SUMIFS('Base Period'!39:39,'Base Period'!$29:$29,'Budget by Task'!AI$7)+SUMIFS('Option Period 1'!39:39,'Option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19" s="11" t="e">
        <f>SUMIFS('Base Period'!39:39,'Base Period'!$29:$29,'Budget by Task'!AJ$7)+SUMIFS('Option Period 1'!39:39,'Option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19" s="151" t="e">
        <f>ROUND(AJ19-'Base Period'!BN39-'Option Period 1'!BN39-#REF!-#REF!-#REF!-#REF!-#REF!-#REF!-#REF!-#REF!,0)</f>
        <v>#REF!</v>
      </c>
    </row>
    <row r="20" spans="2:39" ht="15.75" x14ac:dyDescent="0.25">
      <c r="B20" s="6" t="str">
        <f>'Base Period'!B40</f>
        <v>Name</v>
      </c>
      <c r="C20" s="15" t="e">
        <f>SUMIFS('Base Period'!40:40,'Base Period'!$29:$29,'Budget by Task'!C$7:D$7, 'Base Period'!$32:$32, 'Budget by Task'!C$12)+SUMIFS('Option Period 1'!40:40,'Option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0" s="16" t="e">
        <f>SUMIFS('Base Period'!40:40,'Base Period'!$28:$28,'Budget by Task'!D$6, 'Base Period'!$32:$32, 'Budget by Task'!D$12)+SUMIFS('Option Period 1'!40:40,'Option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0" s="15" t="e">
        <f>SUMIFS('Base Period'!40:40,'Base Period'!$29:$29,'Budget by Task'!E$7:F$7, 'Base Period'!$32:$32, 'Budget by Task'!E$12)+SUMIFS('Option Period 1'!40:40,'Option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0" s="16" t="e">
        <f>SUMIFS('Base Period'!40:40,'Base Period'!$28:$28,'Budget by Task'!F$6, 'Base Period'!$32:$32, 'Budget by Task'!F$12)+SUMIFS('Option Period 1'!40:40,'Option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0" s="15" t="e">
        <f>SUMIFS('Base Period'!40:40,'Base Period'!$29:$29,'Budget by Task'!G$7:H$7, 'Base Period'!$32:$32, 'Budget by Task'!G$12)+SUMIFS('Option Period 1'!40:40,'Option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0" s="16" t="e">
        <f>SUMIFS('Base Period'!40:40,'Base Period'!$28:$28,'Budget by Task'!H$6, 'Base Period'!$32:$32, 'Budget by Task'!H$12)+SUMIFS('Option Period 1'!40:40,'Option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0" s="15" t="e">
        <f>SUMIFS('Base Period'!40:40,'Base Period'!$29:$29,'Budget by Task'!I$7:J$7, 'Base Period'!$32:$32, 'Budget by Task'!I$12)+SUMIFS('Option Period 1'!40:40,'Option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0" s="16" t="e">
        <f>SUMIFS('Base Period'!40:40,'Base Period'!$28:$28,'Budget by Task'!J$6, 'Base Period'!$32:$32, 'Budget by Task'!J$12)+SUMIFS('Option Period 1'!40:40,'Option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0" s="15" t="e">
        <f>SUMIFS('Base Period'!40:40,'Base Period'!$29:$29,'Budget by Task'!K$7:L$7, 'Base Period'!$32:$32, 'Budget by Task'!K$12)+SUMIFS('Option Period 1'!40:40,'Option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0" s="16" t="e">
        <f>SUMIFS('Base Period'!40:40,'Base Period'!$28:$28,'Budget by Task'!L$6, 'Base Period'!$32:$32, 'Budget by Task'!L$12)+SUMIFS('Option Period 1'!40:40,'Option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0" s="15" t="e">
        <f>SUMIFS('Base Period'!40:40,'Base Period'!$29:$29,'Budget by Task'!M$7:N$7, 'Base Period'!$32:$32, 'Budget by Task'!M$12)+SUMIFS('Option Period 1'!40:40,'Option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0" s="16" t="e">
        <f>SUMIFS('Base Period'!40:40,'Base Period'!$28:$28,'Budget by Task'!N$6, 'Base Period'!$32:$32, 'Budget by Task'!N$12)+SUMIFS('Option Period 1'!40:40,'Option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0" s="15" t="e">
        <f>SUMIFS('Base Period'!40:40,'Base Period'!$29:$29,'Budget by Task'!O$7:P$7, 'Base Period'!$32:$32, 'Budget by Task'!O$12)+SUMIFS('Option Period 1'!40:40,'Option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0" s="16" t="e">
        <f>SUMIFS('Base Period'!40:40,'Base Period'!$28:$28,'Budget by Task'!P$6, 'Base Period'!$32:$32, 'Budget by Task'!P$12)+SUMIFS('Option Period 1'!40:40,'Option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0" s="15" t="e">
        <f>SUMIFS('Base Period'!40:40,'Base Period'!$29:$29,'Budget by Task'!Q$7:R$7, 'Base Period'!$32:$32, 'Budget by Task'!Q$12)+SUMIFS('Option Period 1'!40:40,'Option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0" s="16" t="e">
        <f>SUMIFS('Base Period'!40:40,'Base Period'!$28:$28,'Budget by Task'!R$6, 'Base Period'!$32:$32, 'Budget by Task'!R$12)+SUMIFS('Option Period 1'!40:40,'Option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0" s="15" t="e">
        <f>SUMIFS('Base Period'!40:40,'Base Period'!$29:$29,'Budget by Task'!S$7:T$7, 'Base Period'!$32:$32, 'Budget by Task'!S$12)+SUMIFS('Option Period 1'!40:40,'Option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0" s="16" t="e">
        <f>SUMIFS('Base Period'!40:40,'Base Period'!$28:$28,'Budget by Task'!T$6, 'Base Period'!$32:$32, 'Budget by Task'!T$12)+SUMIFS('Option Period 1'!40:40,'Option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0" s="15" t="e">
        <f>SUMIFS('Base Period'!40:40,'Base Period'!$29:$29,'Budget by Task'!U$7:V$7, 'Base Period'!$32:$32, 'Budget by Task'!U$12)+SUMIFS('Option Period 1'!40:40,'Option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0" s="16" t="e">
        <f>SUMIFS('Base Period'!40:40,'Base Period'!$28:$28,'Budget by Task'!V$6, 'Base Period'!$32:$32, 'Budget by Task'!V$12)+SUMIFS('Option Period 1'!40:40,'Option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0" s="15" t="e">
        <f>SUMIFS('Base Period'!40:40,'Base Period'!$29:$29,'Budget by Task'!W$7:X$7, 'Base Period'!$32:$32, 'Budget by Task'!W$12)+SUMIFS('Option Period 1'!40:40,'Option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0" s="16" t="e">
        <f>SUMIFS('Base Period'!40:40,'Base Period'!$28:$28,'Budget by Task'!X$6, 'Base Period'!$32:$32, 'Budget by Task'!X$12)+SUMIFS('Option Period 1'!40:40,'Option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0" s="15" t="e">
        <f>SUMIFS('Base Period'!40:40,'Base Period'!$29:$29,'Budget by Task'!Y$7:Z$7, 'Base Period'!$32:$32, 'Budget by Task'!Y$12)+SUMIFS('Option Period 1'!40:40,'Option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0" s="16" t="e">
        <f>SUMIFS('Base Period'!40:40,'Base Period'!$28:$28,'Budget by Task'!Z$6, 'Base Period'!$32:$32, 'Budget by Task'!Z$12)+SUMIFS('Option Period 1'!40:40,'Option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0" s="15" t="e">
        <f>SUMIFS('Base Period'!40:40,'Base Period'!$29:$29,'Budget by Task'!AA$7:AB$7, 'Base Period'!$32:$32, 'Budget by Task'!AA$12)+SUMIFS('Option Period 1'!40:40,'Option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0" s="16" t="e">
        <f>SUMIFS('Base Period'!40:40,'Base Period'!$28:$28,'Budget by Task'!AB$6, 'Base Period'!$32:$32, 'Budget by Task'!AB$12)+SUMIFS('Option Period 1'!40:40,'Option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0" s="15" t="e">
        <f>SUMIFS('Base Period'!40:40,'Base Period'!$29:$29,'Budget by Task'!AC$7:AD$7, 'Base Period'!$32:$32, 'Budget by Task'!AC$12)+SUMIFS('Option Period 1'!40:40,'Option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0" s="16" t="e">
        <f>SUMIFS('Base Period'!40:40,'Base Period'!$28:$28,'Budget by Task'!AD$6, 'Base Period'!$32:$32, 'Budget by Task'!AD$12)+SUMIFS('Option Period 1'!40:40,'Option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0" s="15" t="e">
        <f>SUMIFS('Base Period'!40:40,'Base Period'!$29:$29,'Budget by Task'!AE$7:AF$7, 'Base Period'!$32:$32, 'Budget by Task'!AE$12)+SUMIFS('Option Period 1'!40:40,'Option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0" s="16" t="e">
        <f>SUMIFS('Base Period'!40:40,'Base Period'!$28:$28,'Budget by Task'!AF$6, 'Base Period'!$32:$32, 'Budget by Task'!AF$12)+SUMIFS('Option Period 1'!40:40,'Option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0" s="15" t="e">
        <f>SUMIFS('Base Period'!40:40,'Base Period'!$29:$29,'Budget by Task'!AG$7:AH$7, 'Base Period'!$32:$32, 'Budget by Task'!AG$12)+SUMIFS('Option Period 1'!40:40,'Option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0" s="16" t="e">
        <f>SUMIFS('Base Period'!40:40,'Base Period'!$28:$28,'Budget by Task'!AH$6, 'Base Period'!$32:$32, 'Budget by Task'!AH$12)+SUMIFS('Option Period 1'!40:40,'Option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0" s="1" t="e">
        <f>SUMIFS('Base Period'!40:40,'Base Period'!$29:$29,'Budget by Task'!AI$7)+SUMIFS('Option Period 1'!40:40,'Option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0" s="11" t="e">
        <f>SUMIFS('Base Period'!40:40,'Base Period'!$29:$29,'Budget by Task'!AJ$7)+SUMIFS('Option Period 1'!40:40,'Option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0" s="151" t="e">
        <f>ROUND(AJ20-'Base Period'!BN40-'Option Period 1'!BN40-#REF!-#REF!-#REF!-#REF!-#REF!-#REF!-#REF!-#REF!,0)</f>
        <v>#REF!</v>
      </c>
    </row>
    <row r="21" spans="2:39" ht="15.75" x14ac:dyDescent="0.25">
      <c r="B21" s="6" t="str">
        <f>'Base Period'!B41</f>
        <v>Name</v>
      </c>
      <c r="C21" s="15" t="e">
        <f>SUMIFS('Base Period'!41:41,'Base Period'!$29:$29,'Budget by Task'!C$7:D$7, 'Base Period'!$32:$32, 'Budget by Task'!C$12)+SUMIFS('Option Period 1'!41:41,'Option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1" s="16" t="e">
        <f>SUMIFS('Base Period'!41:41,'Base Period'!$28:$28,'Budget by Task'!D$6, 'Base Period'!$32:$32, 'Budget by Task'!D$12)+SUMIFS('Option Period 1'!41:41,'Option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1" s="15" t="e">
        <f>SUMIFS('Base Period'!41:41,'Base Period'!$29:$29,'Budget by Task'!E$7:F$7, 'Base Period'!$32:$32, 'Budget by Task'!E$12)+SUMIFS('Option Period 1'!41:41,'Option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1" s="16" t="e">
        <f>SUMIFS('Base Period'!41:41,'Base Period'!$28:$28,'Budget by Task'!F$6, 'Base Period'!$32:$32, 'Budget by Task'!F$12)+SUMIFS('Option Period 1'!41:41,'Option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1" s="15" t="e">
        <f>SUMIFS('Base Period'!41:41,'Base Period'!$29:$29,'Budget by Task'!G$7:H$7, 'Base Period'!$32:$32, 'Budget by Task'!G$12)+SUMIFS('Option Period 1'!41:41,'Option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1" s="16" t="e">
        <f>SUMIFS('Base Period'!41:41,'Base Period'!$28:$28,'Budget by Task'!H$6, 'Base Period'!$32:$32, 'Budget by Task'!H$12)+SUMIFS('Option Period 1'!41:41,'Option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1" s="15" t="e">
        <f>SUMIFS('Base Period'!41:41,'Base Period'!$29:$29,'Budget by Task'!I$7:J$7, 'Base Period'!$32:$32, 'Budget by Task'!I$12)+SUMIFS('Option Period 1'!41:41,'Option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1" s="16" t="e">
        <f>SUMIFS('Base Period'!41:41,'Base Period'!$28:$28,'Budget by Task'!J$6, 'Base Period'!$32:$32, 'Budget by Task'!J$12)+SUMIFS('Option Period 1'!41:41,'Option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1" s="15" t="e">
        <f>SUMIFS('Base Period'!41:41,'Base Period'!$29:$29,'Budget by Task'!K$7:L$7, 'Base Period'!$32:$32, 'Budget by Task'!K$12)+SUMIFS('Option Period 1'!41:41,'Option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1" s="16" t="e">
        <f>SUMIFS('Base Period'!41:41,'Base Period'!$28:$28,'Budget by Task'!L$6, 'Base Period'!$32:$32, 'Budget by Task'!L$12)+SUMIFS('Option Period 1'!41:41,'Option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1" s="15" t="e">
        <f>SUMIFS('Base Period'!41:41,'Base Period'!$29:$29,'Budget by Task'!M$7:N$7, 'Base Period'!$32:$32, 'Budget by Task'!M$12)+SUMIFS('Option Period 1'!41:41,'Option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1" s="16" t="e">
        <f>SUMIFS('Base Period'!41:41,'Base Period'!$28:$28,'Budget by Task'!N$6, 'Base Period'!$32:$32, 'Budget by Task'!N$12)+SUMIFS('Option Period 1'!41:41,'Option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1" s="15" t="e">
        <f>SUMIFS('Base Period'!41:41,'Base Period'!$29:$29,'Budget by Task'!O$7:P$7, 'Base Period'!$32:$32, 'Budget by Task'!O$12)+SUMIFS('Option Period 1'!41:41,'Option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1" s="16" t="e">
        <f>SUMIFS('Base Period'!41:41,'Base Period'!$28:$28,'Budget by Task'!P$6, 'Base Period'!$32:$32, 'Budget by Task'!P$12)+SUMIFS('Option Period 1'!41:41,'Option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1" s="15" t="e">
        <f>SUMIFS('Base Period'!41:41,'Base Period'!$29:$29,'Budget by Task'!Q$7:R$7, 'Base Period'!$32:$32, 'Budget by Task'!Q$12)+SUMIFS('Option Period 1'!41:41,'Option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1" s="16" t="e">
        <f>SUMIFS('Base Period'!41:41,'Base Period'!$28:$28,'Budget by Task'!R$6, 'Base Period'!$32:$32, 'Budget by Task'!R$12)+SUMIFS('Option Period 1'!41:41,'Option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1" s="15" t="e">
        <f>SUMIFS('Base Period'!41:41,'Base Period'!$29:$29,'Budget by Task'!S$7:T$7, 'Base Period'!$32:$32, 'Budget by Task'!S$12)+SUMIFS('Option Period 1'!41:41,'Option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1" s="16" t="e">
        <f>SUMIFS('Base Period'!41:41,'Base Period'!$28:$28,'Budget by Task'!T$6, 'Base Period'!$32:$32, 'Budget by Task'!T$12)+SUMIFS('Option Period 1'!41:41,'Option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1" s="15" t="e">
        <f>SUMIFS('Base Period'!41:41,'Base Period'!$29:$29,'Budget by Task'!U$7:V$7, 'Base Period'!$32:$32, 'Budget by Task'!U$12)+SUMIFS('Option Period 1'!41:41,'Option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1" s="16" t="e">
        <f>SUMIFS('Base Period'!41:41,'Base Period'!$28:$28,'Budget by Task'!V$6, 'Base Period'!$32:$32, 'Budget by Task'!V$12)+SUMIFS('Option Period 1'!41:41,'Option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1" s="15" t="e">
        <f>SUMIFS('Base Period'!41:41,'Base Period'!$29:$29,'Budget by Task'!W$7:X$7, 'Base Period'!$32:$32, 'Budget by Task'!W$12)+SUMIFS('Option Period 1'!41:41,'Option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1" s="16" t="e">
        <f>SUMIFS('Base Period'!41:41,'Base Period'!$28:$28,'Budget by Task'!X$6, 'Base Period'!$32:$32, 'Budget by Task'!X$12)+SUMIFS('Option Period 1'!41:41,'Option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1" s="15" t="e">
        <f>SUMIFS('Base Period'!41:41,'Base Period'!$29:$29,'Budget by Task'!Y$7:Z$7, 'Base Period'!$32:$32, 'Budget by Task'!Y$12)+SUMIFS('Option Period 1'!41:41,'Option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1" s="16" t="e">
        <f>SUMIFS('Base Period'!41:41,'Base Period'!$28:$28,'Budget by Task'!Z$6, 'Base Period'!$32:$32, 'Budget by Task'!Z$12)+SUMIFS('Option Period 1'!41:41,'Option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1" s="15" t="e">
        <f>SUMIFS('Base Period'!41:41,'Base Period'!$29:$29,'Budget by Task'!AA$7:AB$7, 'Base Period'!$32:$32, 'Budget by Task'!AA$12)+SUMIFS('Option Period 1'!41:41,'Option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1" s="16" t="e">
        <f>SUMIFS('Base Period'!41:41,'Base Period'!$28:$28,'Budget by Task'!AB$6, 'Base Period'!$32:$32, 'Budget by Task'!AB$12)+SUMIFS('Option Period 1'!41:41,'Option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1" s="15" t="e">
        <f>SUMIFS('Base Period'!41:41,'Base Period'!$29:$29,'Budget by Task'!AC$7:AD$7, 'Base Period'!$32:$32, 'Budget by Task'!AC$12)+SUMIFS('Option Period 1'!41:41,'Option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1" s="16" t="e">
        <f>SUMIFS('Base Period'!41:41,'Base Period'!$28:$28,'Budget by Task'!AD$6, 'Base Period'!$32:$32, 'Budget by Task'!AD$12)+SUMIFS('Option Period 1'!41:41,'Option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1" s="15" t="e">
        <f>SUMIFS('Base Period'!41:41,'Base Period'!$29:$29,'Budget by Task'!AE$7:AF$7, 'Base Period'!$32:$32, 'Budget by Task'!AE$12)+SUMIFS('Option Period 1'!41:41,'Option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1" s="16" t="e">
        <f>SUMIFS('Base Period'!41:41,'Base Period'!$28:$28,'Budget by Task'!AF$6, 'Base Period'!$32:$32, 'Budget by Task'!AF$12)+SUMIFS('Option Period 1'!41:41,'Option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1" s="15" t="e">
        <f>SUMIFS('Base Period'!41:41,'Base Period'!$29:$29,'Budget by Task'!AG$7:AH$7, 'Base Period'!$32:$32, 'Budget by Task'!AG$12)+SUMIFS('Option Period 1'!41:41,'Option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1" s="16" t="e">
        <f>SUMIFS('Base Period'!41:41,'Base Period'!$28:$28,'Budget by Task'!AH$6, 'Base Period'!$32:$32, 'Budget by Task'!AH$12)+SUMIFS('Option Period 1'!41:41,'Option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1" s="1" t="e">
        <f>SUMIFS('Base Period'!41:41,'Base Period'!$29:$29,'Budget by Task'!AI$7)+SUMIFS('Option Period 1'!41:41,'Option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1" s="11" t="e">
        <f>SUMIFS('Base Period'!41:41,'Base Period'!$29:$29,'Budget by Task'!AJ$7)+SUMIFS('Option Period 1'!41:41,'Option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1" s="151" t="e">
        <f>ROUND(AJ21-'Base Period'!BN41-'Option Period 1'!BN41-#REF!-#REF!-#REF!-#REF!-#REF!-#REF!-#REF!-#REF!,0)</f>
        <v>#REF!</v>
      </c>
    </row>
    <row r="22" spans="2:39" ht="15.75" x14ac:dyDescent="0.25">
      <c r="B22" s="6" t="str">
        <f>'Base Period'!B42</f>
        <v>Name</v>
      </c>
      <c r="C22" s="15" t="e">
        <f>SUMIFS('Base Period'!42:42,'Base Period'!$29:$29,'Budget by Task'!C$7:D$7, 'Base Period'!$32:$32, 'Budget by Task'!C$12)+SUMIFS('Option Period 1'!42:42,'Option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2" s="16" t="e">
        <f>SUMIFS('Base Period'!42:42,'Base Period'!$28:$28,'Budget by Task'!D$6, 'Base Period'!$32:$32, 'Budget by Task'!D$12)+SUMIFS('Option Period 1'!42:42,'Option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2" s="15" t="e">
        <f>SUMIFS('Base Period'!42:42,'Base Period'!$29:$29,'Budget by Task'!E$7:F$7, 'Base Period'!$32:$32, 'Budget by Task'!E$12)+SUMIFS('Option Period 1'!42:42,'Option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2" s="16" t="e">
        <f>SUMIFS('Base Period'!42:42,'Base Period'!$28:$28,'Budget by Task'!F$6, 'Base Period'!$32:$32, 'Budget by Task'!F$12)+SUMIFS('Option Period 1'!42:42,'Option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2" s="15" t="e">
        <f>SUMIFS('Base Period'!42:42,'Base Period'!$29:$29,'Budget by Task'!G$7:H$7, 'Base Period'!$32:$32, 'Budget by Task'!G$12)+SUMIFS('Option Period 1'!42:42,'Option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2" s="16" t="e">
        <f>SUMIFS('Base Period'!42:42,'Base Period'!$28:$28,'Budget by Task'!H$6, 'Base Period'!$32:$32, 'Budget by Task'!H$12)+SUMIFS('Option Period 1'!42:42,'Option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2" s="15" t="e">
        <f>SUMIFS('Base Period'!42:42,'Base Period'!$29:$29,'Budget by Task'!I$7:J$7, 'Base Period'!$32:$32, 'Budget by Task'!I$12)+SUMIFS('Option Period 1'!42:42,'Option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2" s="16" t="e">
        <f>SUMIFS('Base Period'!42:42,'Base Period'!$28:$28,'Budget by Task'!J$6, 'Base Period'!$32:$32, 'Budget by Task'!J$12)+SUMIFS('Option Period 1'!42:42,'Option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2" s="15" t="e">
        <f>SUMIFS('Base Period'!42:42,'Base Period'!$29:$29,'Budget by Task'!K$7:L$7, 'Base Period'!$32:$32, 'Budget by Task'!K$12)+SUMIFS('Option Period 1'!42:42,'Option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2" s="16" t="e">
        <f>SUMIFS('Base Period'!42:42,'Base Period'!$28:$28,'Budget by Task'!L$6, 'Base Period'!$32:$32, 'Budget by Task'!L$12)+SUMIFS('Option Period 1'!42:42,'Option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2" s="15" t="e">
        <f>SUMIFS('Base Period'!42:42,'Base Period'!$29:$29,'Budget by Task'!M$7:N$7, 'Base Period'!$32:$32, 'Budget by Task'!M$12)+SUMIFS('Option Period 1'!42:42,'Option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2" s="16" t="e">
        <f>SUMIFS('Base Period'!42:42,'Base Period'!$28:$28,'Budget by Task'!N$6, 'Base Period'!$32:$32, 'Budget by Task'!N$12)+SUMIFS('Option Period 1'!42:42,'Option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2" s="15" t="e">
        <f>SUMIFS('Base Period'!42:42,'Base Period'!$29:$29,'Budget by Task'!O$7:P$7, 'Base Period'!$32:$32, 'Budget by Task'!O$12)+SUMIFS('Option Period 1'!42:42,'Option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2" s="16" t="e">
        <f>SUMIFS('Base Period'!42:42,'Base Period'!$28:$28,'Budget by Task'!P$6, 'Base Period'!$32:$32, 'Budget by Task'!P$12)+SUMIFS('Option Period 1'!42:42,'Option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2" s="15" t="e">
        <f>SUMIFS('Base Period'!42:42,'Base Period'!$29:$29,'Budget by Task'!Q$7:R$7, 'Base Period'!$32:$32, 'Budget by Task'!Q$12)+SUMIFS('Option Period 1'!42:42,'Option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2" s="16" t="e">
        <f>SUMIFS('Base Period'!42:42,'Base Period'!$28:$28,'Budget by Task'!R$6, 'Base Period'!$32:$32, 'Budget by Task'!R$12)+SUMIFS('Option Period 1'!42:42,'Option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2" s="15" t="e">
        <f>SUMIFS('Base Period'!42:42,'Base Period'!$29:$29,'Budget by Task'!S$7:T$7, 'Base Period'!$32:$32, 'Budget by Task'!S$12)+SUMIFS('Option Period 1'!42:42,'Option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2" s="16" t="e">
        <f>SUMIFS('Base Period'!42:42,'Base Period'!$28:$28,'Budget by Task'!T$6, 'Base Period'!$32:$32, 'Budget by Task'!T$12)+SUMIFS('Option Period 1'!42:42,'Option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2" s="15" t="e">
        <f>SUMIFS('Base Period'!42:42,'Base Period'!$29:$29,'Budget by Task'!U$7:V$7, 'Base Period'!$32:$32, 'Budget by Task'!U$12)+SUMIFS('Option Period 1'!42:42,'Option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2" s="16" t="e">
        <f>SUMIFS('Base Period'!42:42,'Base Period'!$28:$28,'Budget by Task'!V$6, 'Base Period'!$32:$32, 'Budget by Task'!V$12)+SUMIFS('Option Period 1'!42:42,'Option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2" s="15" t="e">
        <f>SUMIFS('Base Period'!42:42,'Base Period'!$29:$29,'Budget by Task'!W$7:X$7, 'Base Period'!$32:$32, 'Budget by Task'!W$12)+SUMIFS('Option Period 1'!42:42,'Option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2" s="16" t="e">
        <f>SUMIFS('Base Period'!42:42,'Base Period'!$28:$28,'Budget by Task'!X$6, 'Base Period'!$32:$32, 'Budget by Task'!X$12)+SUMIFS('Option Period 1'!42:42,'Option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2" s="15" t="e">
        <f>SUMIFS('Base Period'!42:42,'Base Period'!$29:$29,'Budget by Task'!Y$7:Z$7, 'Base Period'!$32:$32, 'Budget by Task'!Y$12)+SUMIFS('Option Period 1'!42:42,'Option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2" s="16" t="e">
        <f>SUMIFS('Base Period'!42:42,'Base Period'!$28:$28,'Budget by Task'!Z$6, 'Base Period'!$32:$32, 'Budget by Task'!Z$12)+SUMIFS('Option Period 1'!42:42,'Option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2" s="15" t="e">
        <f>SUMIFS('Base Period'!42:42,'Base Period'!$29:$29,'Budget by Task'!AA$7:AB$7, 'Base Period'!$32:$32, 'Budget by Task'!AA$12)+SUMIFS('Option Period 1'!42:42,'Option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2" s="16" t="e">
        <f>SUMIFS('Base Period'!42:42,'Base Period'!$28:$28,'Budget by Task'!AB$6, 'Base Period'!$32:$32, 'Budget by Task'!AB$12)+SUMIFS('Option Period 1'!42:42,'Option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2" s="15" t="e">
        <f>SUMIFS('Base Period'!42:42,'Base Period'!$29:$29,'Budget by Task'!AC$7:AD$7, 'Base Period'!$32:$32, 'Budget by Task'!AC$12)+SUMIFS('Option Period 1'!42:42,'Option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2" s="16" t="e">
        <f>SUMIFS('Base Period'!42:42,'Base Period'!$28:$28,'Budget by Task'!AD$6, 'Base Period'!$32:$32, 'Budget by Task'!AD$12)+SUMIFS('Option Period 1'!42:42,'Option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2" s="15" t="e">
        <f>SUMIFS('Base Period'!42:42,'Base Period'!$29:$29,'Budget by Task'!AE$7:AF$7, 'Base Period'!$32:$32, 'Budget by Task'!AE$12)+SUMIFS('Option Period 1'!42:42,'Option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2" s="16" t="e">
        <f>SUMIFS('Base Period'!42:42,'Base Period'!$28:$28,'Budget by Task'!AF$6, 'Base Period'!$32:$32, 'Budget by Task'!AF$12)+SUMIFS('Option Period 1'!42:42,'Option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2" s="15" t="e">
        <f>SUMIFS('Base Period'!42:42,'Base Period'!$29:$29,'Budget by Task'!AG$7:AH$7, 'Base Period'!$32:$32, 'Budget by Task'!AG$12)+SUMIFS('Option Period 1'!42:42,'Option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2" s="16" t="e">
        <f>SUMIFS('Base Period'!42:42,'Base Period'!$28:$28,'Budget by Task'!AH$6, 'Base Period'!$32:$32, 'Budget by Task'!AH$12)+SUMIFS('Option Period 1'!42:42,'Option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2" s="1" t="e">
        <f>SUMIFS('Base Period'!42:42,'Base Period'!$29:$29,'Budget by Task'!AI$7)+SUMIFS('Option Period 1'!42:42,'Option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2" s="11" t="e">
        <f>SUMIFS('Base Period'!42:42,'Base Period'!$29:$29,'Budget by Task'!AJ$7)+SUMIFS('Option Period 1'!42:42,'Option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2" s="151" t="e">
        <f>ROUND(AJ22-'Base Period'!BN42-'Option Period 1'!BN42-#REF!-#REF!-#REF!-#REF!-#REF!-#REF!-#REF!-#REF!,0)</f>
        <v>#REF!</v>
      </c>
    </row>
    <row r="23" spans="2:39" ht="15.75" x14ac:dyDescent="0.25">
      <c r="B23" s="6" t="str">
        <f>'Base Period'!B43</f>
        <v>Name</v>
      </c>
      <c r="C23" s="15" t="e">
        <f>SUMIFS('Base Period'!43:43,'Base Period'!$29:$29,'Budget by Task'!C$7:D$7, 'Base Period'!$32:$32, 'Budget by Task'!C$12)+SUMIFS('Option Period 1'!43:43,'Option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3" s="16" t="e">
        <f>SUMIFS('Base Period'!43:43,'Base Period'!$28:$28,'Budget by Task'!D$6, 'Base Period'!$32:$32, 'Budget by Task'!D$12)+SUMIFS('Option Period 1'!43:43,'Option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3" s="15" t="e">
        <f>SUMIFS('Base Period'!43:43,'Base Period'!$29:$29,'Budget by Task'!E$7:F$7, 'Base Period'!$32:$32, 'Budget by Task'!E$12)+SUMIFS('Option Period 1'!43:43,'Option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3" s="16" t="e">
        <f>SUMIFS('Base Period'!43:43,'Base Period'!$28:$28,'Budget by Task'!F$6, 'Base Period'!$32:$32, 'Budget by Task'!F$12)+SUMIFS('Option Period 1'!43:43,'Option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3" s="15" t="e">
        <f>SUMIFS('Base Period'!43:43,'Base Period'!$29:$29,'Budget by Task'!G$7:H$7, 'Base Period'!$32:$32, 'Budget by Task'!G$12)+SUMIFS('Option Period 1'!43:43,'Option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3" s="16" t="e">
        <f>SUMIFS('Base Period'!43:43,'Base Period'!$28:$28,'Budget by Task'!H$6, 'Base Period'!$32:$32, 'Budget by Task'!H$12)+SUMIFS('Option Period 1'!43:43,'Option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3" s="15" t="e">
        <f>SUMIFS('Base Period'!43:43,'Base Period'!$29:$29,'Budget by Task'!I$7:J$7, 'Base Period'!$32:$32, 'Budget by Task'!I$12)+SUMIFS('Option Period 1'!43:43,'Option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3" s="16" t="e">
        <f>SUMIFS('Base Period'!43:43,'Base Period'!$28:$28,'Budget by Task'!J$6, 'Base Period'!$32:$32, 'Budget by Task'!J$12)+SUMIFS('Option Period 1'!43:43,'Option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3" s="15" t="e">
        <f>SUMIFS('Base Period'!43:43,'Base Period'!$29:$29,'Budget by Task'!K$7:L$7, 'Base Period'!$32:$32, 'Budget by Task'!K$12)+SUMIFS('Option Period 1'!43:43,'Option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3" s="16" t="e">
        <f>SUMIFS('Base Period'!43:43,'Base Period'!$28:$28,'Budget by Task'!L$6, 'Base Period'!$32:$32, 'Budget by Task'!L$12)+SUMIFS('Option Period 1'!43:43,'Option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3" s="15" t="e">
        <f>SUMIFS('Base Period'!43:43,'Base Period'!$29:$29,'Budget by Task'!M$7:N$7, 'Base Period'!$32:$32, 'Budget by Task'!M$12)+SUMIFS('Option Period 1'!43:43,'Option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3" s="16" t="e">
        <f>SUMIFS('Base Period'!43:43,'Base Period'!$28:$28,'Budget by Task'!N$6, 'Base Period'!$32:$32, 'Budget by Task'!N$12)+SUMIFS('Option Period 1'!43:43,'Option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3" s="15" t="e">
        <f>SUMIFS('Base Period'!43:43,'Base Period'!$29:$29,'Budget by Task'!O$7:P$7, 'Base Period'!$32:$32, 'Budget by Task'!O$12)+SUMIFS('Option Period 1'!43:43,'Option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3" s="16" t="e">
        <f>SUMIFS('Base Period'!43:43,'Base Period'!$28:$28,'Budget by Task'!P$6, 'Base Period'!$32:$32, 'Budget by Task'!P$12)+SUMIFS('Option Period 1'!43:43,'Option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3" s="15" t="e">
        <f>SUMIFS('Base Period'!43:43,'Base Period'!$29:$29,'Budget by Task'!Q$7:R$7, 'Base Period'!$32:$32, 'Budget by Task'!Q$12)+SUMIFS('Option Period 1'!43:43,'Option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3" s="16" t="e">
        <f>SUMIFS('Base Period'!43:43,'Base Period'!$28:$28,'Budget by Task'!R$6, 'Base Period'!$32:$32, 'Budget by Task'!R$12)+SUMIFS('Option Period 1'!43:43,'Option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3" s="15" t="e">
        <f>SUMIFS('Base Period'!43:43,'Base Period'!$29:$29,'Budget by Task'!S$7:T$7, 'Base Period'!$32:$32, 'Budget by Task'!S$12)+SUMIFS('Option Period 1'!43:43,'Option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3" s="16" t="e">
        <f>SUMIFS('Base Period'!43:43,'Base Period'!$28:$28,'Budget by Task'!T$6, 'Base Period'!$32:$32, 'Budget by Task'!T$12)+SUMIFS('Option Period 1'!43:43,'Option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3" s="15" t="e">
        <f>SUMIFS('Base Period'!43:43,'Base Period'!$29:$29,'Budget by Task'!U$7:V$7, 'Base Period'!$32:$32, 'Budget by Task'!U$12)+SUMIFS('Option Period 1'!43:43,'Option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3" s="16" t="e">
        <f>SUMIFS('Base Period'!43:43,'Base Period'!$28:$28,'Budget by Task'!V$6, 'Base Period'!$32:$32, 'Budget by Task'!V$12)+SUMIFS('Option Period 1'!43:43,'Option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3" s="15" t="e">
        <f>SUMIFS('Base Period'!43:43,'Base Period'!$29:$29,'Budget by Task'!W$7:X$7, 'Base Period'!$32:$32, 'Budget by Task'!W$12)+SUMIFS('Option Period 1'!43:43,'Option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3" s="16" t="e">
        <f>SUMIFS('Base Period'!43:43,'Base Period'!$28:$28,'Budget by Task'!X$6, 'Base Period'!$32:$32, 'Budget by Task'!X$12)+SUMIFS('Option Period 1'!43:43,'Option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3" s="15" t="e">
        <f>SUMIFS('Base Period'!43:43,'Base Period'!$29:$29,'Budget by Task'!Y$7:Z$7, 'Base Period'!$32:$32, 'Budget by Task'!Y$12)+SUMIFS('Option Period 1'!43:43,'Option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3" s="16" t="e">
        <f>SUMIFS('Base Period'!43:43,'Base Period'!$28:$28,'Budget by Task'!Z$6, 'Base Period'!$32:$32, 'Budget by Task'!Z$12)+SUMIFS('Option Period 1'!43:43,'Option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3" s="15" t="e">
        <f>SUMIFS('Base Period'!43:43,'Base Period'!$29:$29,'Budget by Task'!AA$7:AB$7, 'Base Period'!$32:$32, 'Budget by Task'!AA$12)+SUMIFS('Option Period 1'!43:43,'Option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3" s="16" t="e">
        <f>SUMIFS('Base Period'!43:43,'Base Period'!$28:$28,'Budget by Task'!AB$6, 'Base Period'!$32:$32, 'Budget by Task'!AB$12)+SUMIFS('Option Period 1'!43:43,'Option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3" s="15" t="e">
        <f>SUMIFS('Base Period'!43:43,'Base Period'!$29:$29,'Budget by Task'!AC$7:AD$7, 'Base Period'!$32:$32, 'Budget by Task'!AC$12)+SUMIFS('Option Period 1'!43:43,'Option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3" s="16" t="e">
        <f>SUMIFS('Base Period'!43:43,'Base Period'!$28:$28,'Budget by Task'!AD$6, 'Base Period'!$32:$32, 'Budget by Task'!AD$12)+SUMIFS('Option Period 1'!43:43,'Option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3" s="15" t="e">
        <f>SUMIFS('Base Period'!43:43,'Base Period'!$29:$29,'Budget by Task'!AE$7:AF$7, 'Base Period'!$32:$32, 'Budget by Task'!AE$12)+SUMIFS('Option Period 1'!43:43,'Option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3" s="16" t="e">
        <f>SUMIFS('Base Period'!43:43,'Base Period'!$28:$28,'Budget by Task'!AF$6, 'Base Period'!$32:$32, 'Budget by Task'!AF$12)+SUMIFS('Option Period 1'!43:43,'Option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3" s="15" t="e">
        <f>SUMIFS('Base Period'!43:43,'Base Period'!$29:$29,'Budget by Task'!AG$7:AH$7, 'Base Period'!$32:$32, 'Budget by Task'!AG$12)+SUMIFS('Option Period 1'!43:43,'Option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3" s="16" t="e">
        <f>SUMIFS('Base Period'!43:43,'Base Period'!$28:$28,'Budget by Task'!AH$6, 'Base Period'!$32:$32, 'Budget by Task'!AH$12)+SUMIFS('Option Period 1'!43:43,'Option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3" s="1" t="e">
        <f>SUMIFS('Base Period'!43:43,'Base Period'!$29:$29,'Budget by Task'!AI$7)+SUMIFS('Option Period 1'!43:43,'Option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3" s="11" t="e">
        <f>SUMIFS('Base Period'!43:43,'Base Period'!$29:$29,'Budget by Task'!AJ$7)+SUMIFS('Option Period 1'!43:43,'Option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3" s="151" t="e">
        <f>ROUND(AJ23-'Base Period'!BN43-'Option Period 1'!BN43-#REF!-#REF!-#REF!-#REF!-#REF!-#REF!-#REF!-#REF!,0)</f>
        <v>#REF!</v>
      </c>
    </row>
    <row r="24" spans="2:39" ht="15.75" x14ac:dyDescent="0.25">
      <c r="B24" s="6" t="str">
        <f>'Base Period'!B44</f>
        <v>Name</v>
      </c>
      <c r="C24" s="15" t="e">
        <f>SUMIFS('Base Period'!44:44,'Base Period'!$29:$29,'Budget by Task'!C$7:D$7, 'Base Period'!$32:$32, 'Budget by Task'!C$12)+SUMIFS('Option Period 1'!44:44,'Option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4" s="16" t="e">
        <f>SUMIFS('Base Period'!44:44,'Base Period'!$28:$28,'Budget by Task'!D$6, 'Base Period'!$32:$32, 'Budget by Task'!D$12)+SUMIFS('Option Period 1'!44:44,'Option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4" s="15" t="e">
        <f>SUMIFS('Base Period'!44:44,'Base Period'!$29:$29,'Budget by Task'!E$7:F$7, 'Base Period'!$32:$32, 'Budget by Task'!E$12)+SUMIFS('Option Period 1'!44:44,'Option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4" s="16" t="e">
        <f>SUMIFS('Base Period'!44:44,'Base Period'!$28:$28,'Budget by Task'!F$6, 'Base Period'!$32:$32, 'Budget by Task'!F$12)+SUMIFS('Option Period 1'!44:44,'Option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4" s="15" t="e">
        <f>SUMIFS('Base Period'!44:44,'Base Period'!$29:$29,'Budget by Task'!G$7:H$7, 'Base Period'!$32:$32, 'Budget by Task'!G$12)+SUMIFS('Option Period 1'!44:44,'Option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4" s="16" t="e">
        <f>SUMIFS('Base Period'!44:44,'Base Period'!$28:$28,'Budget by Task'!H$6, 'Base Period'!$32:$32, 'Budget by Task'!H$12)+SUMIFS('Option Period 1'!44:44,'Option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4" s="15" t="e">
        <f>SUMIFS('Base Period'!44:44,'Base Period'!$29:$29,'Budget by Task'!I$7:J$7, 'Base Period'!$32:$32, 'Budget by Task'!I$12)+SUMIFS('Option Period 1'!44:44,'Option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4" s="16" t="e">
        <f>SUMIFS('Base Period'!44:44,'Base Period'!$28:$28,'Budget by Task'!J$6, 'Base Period'!$32:$32, 'Budget by Task'!J$12)+SUMIFS('Option Period 1'!44:44,'Option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4" s="15" t="e">
        <f>SUMIFS('Base Period'!44:44,'Base Period'!$29:$29,'Budget by Task'!K$7:L$7, 'Base Period'!$32:$32, 'Budget by Task'!K$12)+SUMIFS('Option Period 1'!44:44,'Option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4" s="16" t="e">
        <f>SUMIFS('Base Period'!44:44,'Base Period'!$28:$28,'Budget by Task'!L$6, 'Base Period'!$32:$32, 'Budget by Task'!L$12)+SUMIFS('Option Period 1'!44:44,'Option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4" s="15" t="e">
        <f>SUMIFS('Base Period'!44:44,'Base Period'!$29:$29,'Budget by Task'!M$7:N$7, 'Base Period'!$32:$32, 'Budget by Task'!M$12)+SUMIFS('Option Period 1'!44:44,'Option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4" s="16" t="e">
        <f>SUMIFS('Base Period'!44:44,'Base Period'!$28:$28,'Budget by Task'!N$6, 'Base Period'!$32:$32, 'Budget by Task'!N$12)+SUMIFS('Option Period 1'!44:44,'Option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4" s="15" t="e">
        <f>SUMIFS('Base Period'!44:44,'Base Period'!$29:$29,'Budget by Task'!O$7:P$7, 'Base Period'!$32:$32, 'Budget by Task'!O$12)+SUMIFS('Option Period 1'!44:44,'Option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4" s="16" t="e">
        <f>SUMIFS('Base Period'!44:44,'Base Period'!$28:$28,'Budget by Task'!P$6, 'Base Period'!$32:$32, 'Budget by Task'!P$12)+SUMIFS('Option Period 1'!44:44,'Option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4" s="15" t="e">
        <f>SUMIFS('Base Period'!44:44,'Base Period'!$29:$29,'Budget by Task'!Q$7:R$7, 'Base Period'!$32:$32, 'Budget by Task'!Q$12)+SUMIFS('Option Period 1'!44:44,'Option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4" s="16" t="e">
        <f>SUMIFS('Base Period'!44:44,'Base Period'!$28:$28,'Budget by Task'!R$6, 'Base Period'!$32:$32, 'Budget by Task'!R$12)+SUMIFS('Option Period 1'!44:44,'Option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4" s="15" t="e">
        <f>SUMIFS('Base Period'!44:44,'Base Period'!$29:$29,'Budget by Task'!S$7:T$7, 'Base Period'!$32:$32, 'Budget by Task'!S$12)+SUMIFS('Option Period 1'!44:44,'Option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4" s="16" t="e">
        <f>SUMIFS('Base Period'!44:44,'Base Period'!$28:$28,'Budget by Task'!T$6, 'Base Period'!$32:$32, 'Budget by Task'!T$12)+SUMIFS('Option Period 1'!44:44,'Option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4" s="15" t="e">
        <f>SUMIFS('Base Period'!44:44,'Base Period'!$29:$29,'Budget by Task'!U$7:V$7, 'Base Period'!$32:$32, 'Budget by Task'!U$12)+SUMIFS('Option Period 1'!44:44,'Option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4" s="16" t="e">
        <f>SUMIFS('Base Period'!44:44,'Base Period'!$28:$28,'Budget by Task'!V$6, 'Base Period'!$32:$32, 'Budget by Task'!V$12)+SUMIFS('Option Period 1'!44:44,'Option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4" s="15" t="e">
        <f>SUMIFS('Base Period'!44:44,'Base Period'!$29:$29,'Budget by Task'!W$7:X$7, 'Base Period'!$32:$32, 'Budget by Task'!W$12)+SUMIFS('Option Period 1'!44:44,'Option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4" s="16" t="e">
        <f>SUMIFS('Base Period'!44:44,'Base Period'!$28:$28,'Budget by Task'!X$6, 'Base Period'!$32:$32, 'Budget by Task'!X$12)+SUMIFS('Option Period 1'!44:44,'Option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4" s="15" t="e">
        <f>SUMIFS('Base Period'!44:44,'Base Period'!$29:$29,'Budget by Task'!Y$7:Z$7, 'Base Period'!$32:$32, 'Budget by Task'!Y$12)+SUMIFS('Option Period 1'!44:44,'Option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4" s="16" t="e">
        <f>SUMIFS('Base Period'!44:44,'Base Period'!$28:$28,'Budget by Task'!Z$6, 'Base Period'!$32:$32, 'Budget by Task'!Z$12)+SUMIFS('Option Period 1'!44:44,'Option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4" s="15" t="e">
        <f>SUMIFS('Base Period'!44:44,'Base Period'!$29:$29,'Budget by Task'!AA$7:AB$7, 'Base Period'!$32:$32, 'Budget by Task'!AA$12)+SUMIFS('Option Period 1'!44:44,'Option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4" s="16" t="e">
        <f>SUMIFS('Base Period'!44:44,'Base Period'!$28:$28,'Budget by Task'!AB$6, 'Base Period'!$32:$32, 'Budget by Task'!AB$12)+SUMIFS('Option Period 1'!44:44,'Option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4" s="15" t="e">
        <f>SUMIFS('Base Period'!44:44,'Base Period'!$29:$29,'Budget by Task'!AC$7:AD$7, 'Base Period'!$32:$32, 'Budget by Task'!AC$12)+SUMIFS('Option Period 1'!44:44,'Option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4" s="16" t="e">
        <f>SUMIFS('Base Period'!44:44,'Base Period'!$28:$28,'Budget by Task'!AD$6, 'Base Period'!$32:$32, 'Budget by Task'!AD$12)+SUMIFS('Option Period 1'!44:44,'Option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4" s="15" t="e">
        <f>SUMIFS('Base Period'!44:44,'Base Period'!$29:$29,'Budget by Task'!AE$7:AF$7, 'Base Period'!$32:$32, 'Budget by Task'!AE$12)+SUMIFS('Option Period 1'!44:44,'Option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4" s="16" t="e">
        <f>SUMIFS('Base Period'!44:44,'Base Period'!$28:$28,'Budget by Task'!AF$6, 'Base Period'!$32:$32, 'Budget by Task'!AF$12)+SUMIFS('Option Period 1'!44:44,'Option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4" s="15" t="e">
        <f>SUMIFS('Base Period'!44:44,'Base Period'!$29:$29,'Budget by Task'!AG$7:AH$7, 'Base Period'!$32:$32, 'Budget by Task'!AG$12)+SUMIFS('Option Period 1'!44:44,'Option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4" s="16" t="e">
        <f>SUMIFS('Base Period'!44:44,'Base Period'!$28:$28,'Budget by Task'!AH$6, 'Base Period'!$32:$32, 'Budget by Task'!AH$12)+SUMIFS('Option Period 1'!44:44,'Option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4" s="1" t="e">
        <f>SUMIFS('Base Period'!44:44,'Base Period'!$29:$29,'Budget by Task'!AI$7)+SUMIFS('Option Period 1'!44:44,'Option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4" s="11" t="e">
        <f>SUMIFS('Base Period'!44:44,'Base Period'!$29:$29,'Budget by Task'!AJ$7)+SUMIFS('Option Period 1'!44:44,'Option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4" s="151" t="e">
        <f>ROUND(AJ24-'Base Period'!BN44-'Option Period 1'!BN44-#REF!-#REF!-#REF!-#REF!-#REF!-#REF!-#REF!-#REF!,0)</f>
        <v>#REF!</v>
      </c>
    </row>
    <row r="25" spans="2:39" ht="15.75" x14ac:dyDescent="0.25">
      <c r="B25" s="6" t="str">
        <f>'Base Period'!B45</f>
        <v>Name</v>
      </c>
      <c r="C25" s="15" t="e">
        <f>SUMIFS('Base Period'!45:45,'Base Period'!$29:$29,'Budget by Task'!C$7:D$7, 'Base Period'!$32:$32, 'Budget by Task'!C$12)+SUMIFS('Option Period 1'!45:45,'Option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5" s="16" t="e">
        <f>SUMIFS('Base Period'!45:45,'Base Period'!$28:$28,'Budget by Task'!D$6, 'Base Period'!$32:$32, 'Budget by Task'!D$12)+SUMIFS('Option Period 1'!45:45,'Option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5" s="15" t="e">
        <f>SUMIFS('Base Period'!45:45,'Base Period'!$29:$29,'Budget by Task'!E$7:F$7, 'Base Period'!$32:$32, 'Budget by Task'!E$12)+SUMIFS('Option Period 1'!45:45,'Option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5" s="16" t="e">
        <f>SUMIFS('Base Period'!45:45,'Base Period'!$28:$28,'Budget by Task'!F$6, 'Base Period'!$32:$32, 'Budget by Task'!F$12)+SUMIFS('Option Period 1'!45:45,'Option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5" s="15" t="e">
        <f>SUMIFS('Base Period'!45:45,'Base Period'!$29:$29,'Budget by Task'!G$7:H$7, 'Base Period'!$32:$32, 'Budget by Task'!G$12)+SUMIFS('Option Period 1'!45:45,'Option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5" s="16" t="e">
        <f>SUMIFS('Base Period'!45:45,'Base Period'!$28:$28,'Budget by Task'!H$6, 'Base Period'!$32:$32, 'Budget by Task'!H$12)+SUMIFS('Option Period 1'!45:45,'Option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5" s="15" t="e">
        <f>SUMIFS('Base Period'!45:45,'Base Period'!$29:$29,'Budget by Task'!I$7:J$7, 'Base Period'!$32:$32, 'Budget by Task'!I$12)+SUMIFS('Option Period 1'!45:45,'Option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5" s="16" t="e">
        <f>SUMIFS('Base Period'!45:45,'Base Period'!$28:$28,'Budget by Task'!J$6, 'Base Period'!$32:$32, 'Budget by Task'!J$12)+SUMIFS('Option Period 1'!45:45,'Option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5" s="15" t="e">
        <f>SUMIFS('Base Period'!45:45,'Base Period'!$29:$29,'Budget by Task'!K$7:L$7, 'Base Period'!$32:$32, 'Budget by Task'!K$12)+SUMIFS('Option Period 1'!45:45,'Option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5" s="16" t="e">
        <f>SUMIFS('Base Period'!45:45,'Base Period'!$28:$28,'Budget by Task'!L$6, 'Base Period'!$32:$32, 'Budget by Task'!L$12)+SUMIFS('Option Period 1'!45:45,'Option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5" s="15" t="e">
        <f>SUMIFS('Base Period'!45:45,'Base Period'!$29:$29,'Budget by Task'!M$7:N$7, 'Base Period'!$32:$32, 'Budget by Task'!M$12)+SUMIFS('Option Period 1'!45:45,'Option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5" s="16" t="e">
        <f>SUMIFS('Base Period'!45:45,'Base Period'!$28:$28,'Budget by Task'!N$6, 'Base Period'!$32:$32, 'Budget by Task'!N$12)+SUMIFS('Option Period 1'!45:45,'Option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5" s="15" t="e">
        <f>SUMIFS('Base Period'!45:45,'Base Period'!$29:$29,'Budget by Task'!O$7:P$7, 'Base Period'!$32:$32, 'Budget by Task'!O$12)+SUMIFS('Option Period 1'!45:45,'Option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5" s="16" t="e">
        <f>SUMIFS('Base Period'!45:45,'Base Period'!$28:$28,'Budget by Task'!P$6, 'Base Period'!$32:$32, 'Budget by Task'!P$12)+SUMIFS('Option Period 1'!45:45,'Option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5" s="15" t="e">
        <f>SUMIFS('Base Period'!45:45,'Base Period'!$29:$29,'Budget by Task'!Q$7:R$7, 'Base Period'!$32:$32, 'Budget by Task'!Q$12)+SUMIFS('Option Period 1'!45:45,'Option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5" s="16" t="e">
        <f>SUMIFS('Base Period'!45:45,'Base Period'!$28:$28,'Budget by Task'!R$6, 'Base Period'!$32:$32, 'Budget by Task'!R$12)+SUMIFS('Option Period 1'!45:45,'Option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5" s="15" t="e">
        <f>SUMIFS('Base Period'!45:45,'Base Period'!$29:$29,'Budget by Task'!S$7:T$7, 'Base Period'!$32:$32, 'Budget by Task'!S$12)+SUMIFS('Option Period 1'!45:45,'Option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5" s="16" t="e">
        <f>SUMIFS('Base Period'!45:45,'Base Period'!$28:$28,'Budget by Task'!T$6, 'Base Period'!$32:$32, 'Budget by Task'!T$12)+SUMIFS('Option Period 1'!45:45,'Option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5" s="15" t="e">
        <f>SUMIFS('Base Period'!45:45,'Base Period'!$29:$29,'Budget by Task'!U$7:V$7, 'Base Period'!$32:$32, 'Budget by Task'!U$12)+SUMIFS('Option Period 1'!45:45,'Option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5" s="16" t="e">
        <f>SUMIFS('Base Period'!45:45,'Base Period'!$28:$28,'Budget by Task'!V$6, 'Base Period'!$32:$32, 'Budget by Task'!V$12)+SUMIFS('Option Period 1'!45:45,'Option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5" s="15" t="e">
        <f>SUMIFS('Base Period'!45:45,'Base Period'!$29:$29,'Budget by Task'!W$7:X$7, 'Base Period'!$32:$32, 'Budget by Task'!W$12)+SUMIFS('Option Period 1'!45:45,'Option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5" s="16" t="e">
        <f>SUMIFS('Base Period'!45:45,'Base Period'!$28:$28,'Budget by Task'!X$6, 'Base Period'!$32:$32, 'Budget by Task'!X$12)+SUMIFS('Option Period 1'!45:45,'Option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5" s="15" t="e">
        <f>SUMIFS('Base Period'!45:45,'Base Period'!$29:$29,'Budget by Task'!Y$7:Z$7, 'Base Period'!$32:$32, 'Budget by Task'!Y$12)+SUMIFS('Option Period 1'!45:45,'Option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5" s="16" t="e">
        <f>SUMIFS('Base Period'!45:45,'Base Period'!$28:$28,'Budget by Task'!Z$6, 'Base Period'!$32:$32, 'Budget by Task'!Z$12)+SUMIFS('Option Period 1'!45:45,'Option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5" s="15" t="e">
        <f>SUMIFS('Base Period'!45:45,'Base Period'!$29:$29,'Budget by Task'!AA$7:AB$7, 'Base Period'!$32:$32, 'Budget by Task'!AA$12)+SUMIFS('Option Period 1'!45:45,'Option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5" s="16" t="e">
        <f>SUMIFS('Base Period'!45:45,'Base Period'!$28:$28,'Budget by Task'!AB$6, 'Base Period'!$32:$32, 'Budget by Task'!AB$12)+SUMIFS('Option Period 1'!45:45,'Option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5" s="15" t="e">
        <f>SUMIFS('Base Period'!45:45,'Base Period'!$29:$29,'Budget by Task'!AC$7:AD$7, 'Base Period'!$32:$32, 'Budget by Task'!AC$12)+SUMIFS('Option Period 1'!45:45,'Option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5" s="16" t="e">
        <f>SUMIFS('Base Period'!45:45,'Base Period'!$28:$28,'Budget by Task'!AD$6, 'Base Period'!$32:$32, 'Budget by Task'!AD$12)+SUMIFS('Option Period 1'!45:45,'Option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5" s="15" t="e">
        <f>SUMIFS('Base Period'!45:45,'Base Period'!$29:$29,'Budget by Task'!AE$7:AF$7, 'Base Period'!$32:$32, 'Budget by Task'!AE$12)+SUMIFS('Option Period 1'!45:45,'Option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5" s="16" t="e">
        <f>SUMIFS('Base Period'!45:45,'Base Period'!$28:$28,'Budget by Task'!AF$6, 'Base Period'!$32:$32, 'Budget by Task'!AF$12)+SUMIFS('Option Period 1'!45:45,'Option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5" s="15" t="e">
        <f>SUMIFS('Base Period'!45:45,'Base Period'!$29:$29,'Budget by Task'!AG$7:AH$7, 'Base Period'!$32:$32, 'Budget by Task'!AG$12)+SUMIFS('Option Period 1'!45:45,'Option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5" s="16" t="e">
        <f>SUMIFS('Base Period'!45:45,'Base Period'!$28:$28,'Budget by Task'!AH$6, 'Base Period'!$32:$32, 'Budget by Task'!AH$12)+SUMIFS('Option Period 1'!45:45,'Option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5" s="1" t="e">
        <f>SUMIFS('Base Period'!45:45,'Base Period'!$29:$29,'Budget by Task'!AI$7)+SUMIFS('Option Period 1'!45:45,'Option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5" s="11" t="e">
        <f>SUMIFS('Base Period'!45:45,'Base Period'!$29:$29,'Budget by Task'!AJ$7)+SUMIFS('Option Period 1'!45:45,'Option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5" s="151" t="e">
        <f>ROUND(AJ25-'Base Period'!BN45-'Option Period 1'!BN45-#REF!-#REF!-#REF!-#REF!-#REF!-#REF!-#REF!-#REF!,0)</f>
        <v>#REF!</v>
      </c>
    </row>
    <row r="26" spans="2:39" ht="15.75" x14ac:dyDescent="0.25">
      <c r="B26" s="6" t="str">
        <f>'Base Period'!B46</f>
        <v>Name</v>
      </c>
      <c r="C26" s="15" t="e">
        <f>SUMIFS('Base Period'!46:46,'Base Period'!$29:$29,'Budget by Task'!C$7:D$7, 'Base Period'!$32:$32, 'Budget by Task'!C$12)+SUMIFS('Option Period 1'!46:46,'Option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6" s="16" t="e">
        <f>SUMIFS('Base Period'!46:46,'Base Period'!$28:$28,'Budget by Task'!D$6, 'Base Period'!$32:$32, 'Budget by Task'!D$12)+SUMIFS('Option Period 1'!46:46,'Option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6" s="15" t="e">
        <f>SUMIFS('Base Period'!46:46,'Base Period'!$29:$29,'Budget by Task'!E$7:F$7, 'Base Period'!$32:$32, 'Budget by Task'!E$12)+SUMIFS('Option Period 1'!46:46,'Option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6" s="16" t="e">
        <f>SUMIFS('Base Period'!46:46,'Base Period'!$28:$28,'Budget by Task'!F$6, 'Base Period'!$32:$32, 'Budget by Task'!F$12)+SUMIFS('Option Period 1'!46:46,'Option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6" s="15" t="e">
        <f>SUMIFS('Base Period'!46:46,'Base Period'!$29:$29,'Budget by Task'!G$7:H$7, 'Base Period'!$32:$32, 'Budget by Task'!G$12)+SUMIFS('Option Period 1'!46:46,'Option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6" s="16" t="e">
        <f>SUMIFS('Base Period'!46:46,'Base Period'!$28:$28,'Budget by Task'!H$6, 'Base Period'!$32:$32, 'Budget by Task'!H$12)+SUMIFS('Option Period 1'!46:46,'Option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6" s="15" t="e">
        <f>SUMIFS('Base Period'!46:46,'Base Period'!$29:$29,'Budget by Task'!I$7:J$7, 'Base Period'!$32:$32, 'Budget by Task'!I$12)+SUMIFS('Option Period 1'!46:46,'Option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6" s="16" t="e">
        <f>SUMIFS('Base Period'!46:46,'Base Period'!$28:$28,'Budget by Task'!J$6, 'Base Period'!$32:$32, 'Budget by Task'!J$12)+SUMIFS('Option Period 1'!46:46,'Option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6" s="15" t="e">
        <f>SUMIFS('Base Period'!46:46,'Base Period'!$29:$29,'Budget by Task'!K$7:L$7, 'Base Period'!$32:$32, 'Budget by Task'!K$12)+SUMIFS('Option Period 1'!46:46,'Option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6" s="16" t="e">
        <f>SUMIFS('Base Period'!46:46,'Base Period'!$28:$28,'Budget by Task'!L$6, 'Base Period'!$32:$32, 'Budget by Task'!L$12)+SUMIFS('Option Period 1'!46:46,'Option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6" s="15" t="e">
        <f>SUMIFS('Base Period'!46:46,'Base Period'!$29:$29,'Budget by Task'!M$7:N$7, 'Base Period'!$32:$32, 'Budget by Task'!M$12)+SUMIFS('Option Period 1'!46:46,'Option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6" s="16" t="e">
        <f>SUMIFS('Base Period'!46:46,'Base Period'!$28:$28,'Budget by Task'!N$6, 'Base Period'!$32:$32, 'Budget by Task'!N$12)+SUMIFS('Option Period 1'!46:46,'Option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6" s="15" t="e">
        <f>SUMIFS('Base Period'!46:46,'Base Period'!$29:$29,'Budget by Task'!O$7:P$7, 'Base Period'!$32:$32, 'Budget by Task'!O$12)+SUMIFS('Option Period 1'!46:46,'Option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6" s="16" t="e">
        <f>SUMIFS('Base Period'!46:46,'Base Period'!$28:$28,'Budget by Task'!P$6, 'Base Period'!$32:$32, 'Budget by Task'!P$12)+SUMIFS('Option Period 1'!46:46,'Option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6" s="15" t="e">
        <f>SUMIFS('Base Period'!46:46,'Base Period'!$29:$29,'Budget by Task'!Q$7:R$7, 'Base Period'!$32:$32, 'Budget by Task'!Q$12)+SUMIFS('Option Period 1'!46:46,'Option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6" s="16" t="e">
        <f>SUMIFS('Base Period'!46:46,'Base Period'!$28:$28,'Budget by Task'!R$6, 'Base Period'!$32:$32, 'Budget by Task'!R$12)+SUMIFS('Option Period 1'!46:46,'Option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6" s="15" t="e">
        <f>SUMIFS('Base Period'!46:46,'Base Period'!$29:$29,'Budget by Task'!S$7:T$7, 'Base Period'!$32:$32, 'Budget by Task'!S$12)+SUMIFS('Option Period 1'!46:46,'Option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6" s="16" t="e">
        <f>SUMIFS('Base Period'!46:46,'Base Period'!$28:$28,'Budget by Task'!T$6, 'Base Period'!$32:$32, 'Budget by Task'!T$12)+SUMIFS('Option Period 1'!46:46,'Option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6" s="15" t="e">
        <f>SUMIFS('Base Period'!46:46,'Base Period'!$29:$29,'Budget by Task'!U$7:V$7, 'Base Period'!$32:$32, 'Budget by Task'!U$12)+SUMIFS('Option Period 1'!46:46,'Option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6" s="16" t="e">
        <f>SUMIFS('Base Period'!46:46,'Base Period'!$28:$28,'Budget by Task'!V$6, 'Base Period'!$32:$32, 'Budget by Task'!V$12)+SUMIFS('Option Period 1'!46:46,'Option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6" s="15" t="e">
        <f>SUMIFS('Base Period'!46:46,'Base Period'!$29:$29,'Budget by Task'!W$7:X$7, 'Base Period'!$32:$32, 'Budget by Task'!W$12)+SUMIFS('Option Period 1'!46:46,'Option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6" s="16" t="e">
        <f>SUMIFS('Base Period'!46:46,'Base Period'!$28:$28,'Budget by Task'!X$6, 'Base Period'!$32:$32, 'Budget by Task'!X$12)+SUMIFS('Option Period 1'!46:46,'Option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6" s="15" t="e">
        <f>SUMIFS('Base Period'!46:46,'Base Period'!$29:$29,'Budget by Task'!Y$7:Z$7, 'Base Period'!$32:$32, 'Budget by Task'!Y$12)+SUMIFS('Option Period 1'!46:46,'Option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6" s="16" t="e">
        <f>SUMIFS('Base Period'!46:46,'Base Period'!$28:$28,'Budget by Task'!Z$6, 'Base Period'!$32:$32, 'Budget by Task'!Z$12)+SUMIFS('Option Period 1'!46:46,'Option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6" s="15" t="e">
        <f>SUMIFS('Base Period'!46:46,'Base Period'!$29:$29,'Budget by Task'!AA$7:AB$7, 'Base Period'!$32:$32, 'Budget by Task'!AA$12)+SUMIFS('Option Period 1'!46:46,'Option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6" s="16" t="e">
        <f>SUMIFS('Base Period'!46:46,'Base Period'!$28:$28,'Budget by Task'!AB$6, 'Base Period'!$32:$32, 'Budget by Task'!AB$12)+SUMIFS('Option Period 1'!46:46,'Option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6" s="15" t="e">
        <f>SUMIFS('Base Period'!46:46,'Base Period'!$29:$29,'Budget by Task'!AC$7:AD$7, 'Base Period'!$32:$32, 'Budget by Task'!AC$12)+SUMIFS('Option Period 1'!46:46,'Option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6" s="16" t="e">
        <f>SUMIFS('Base Period'!46:46,'Base Period'!$28:$28,'Budget by Task'!AD$6, 'Base Period'!$32:$32, 'Budget by Task'!AD$12)+SUMIFS('Option Period 1'!46:46,'Option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6" s="15" t="e">
        <f>SUMIFS('Base Period'!46:46,'Base Period'!$29:$29,'Budget by Task'!AE$7:AF$7, 'Base Period'!$32:$32, 'Budget by Task'!AE$12)+SUMIFS('Option Period 1'!46:46,'Option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6" s="16" t="e">
        <f>SUMIFS('Base Period'!46:46,'Base Period'!$28:$28,'Budget by Task'!AF$6, 'Base Period'!$32:$32, 'Budget by Task'!AF$12)+SUMIFS('Option Period 1'!46:46,'Option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6" s="15" t="e">
        <f>SUMIFS('Base Period'!46:46,'Base Period'!$29:$29,'Budget by Task'!AG$7:AH$7, 'Base Period'!$32:$32, 'Budget by Task'!AG$12)+SUMIFS('Option Period 1'!46:46,'Option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6" s="16" t="e">
        <f>SUMIFS('Base Period'!46:46,'Base Period'!$28:$28,'Budget by Task'!AH$6, 'Base Period'!$32:$32, 'Budget by Task'!AH$12)+SUMIFS('Option Period 1'!46:46,'Option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6" s="1" t="e">
        <f>SUMIFS('Base Period'!46:46,'Base Period'!$29:$29,'Budget by Task'!AI$7)+SUMIFS('Option Period 1'!46:46,'Option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6" s="11" t="e">
        <f>SUMIFS('Base Period'!46:46,'Base Period'!$29:$29,'Budget by Task'!AJ$7)+SUMIFS('Option Period 1'!46:46,'Option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6" s="151" t="e">
        <f>ROUND(AJ26-'Base Period'!BN46-'Option Period 1'!BN46-#REF!-#REF!-#REF!-#REF!-#REF!-#REF!-#REF!-#REF!,0)</f>
        <v>#REF!</v>
      </c>
    </row>
    <row r="27" spans="2:39" ht="15.75" x14ac:dyDescent="0.25">
      <c r="B27" s="6" t="str">
        <f>'Base Period'!B47</f>
        <v>Name</v>
      </c>
      <c r="C27" s="15" t="e">
        <f>SUMIFS('Base Period'!47:47,'Base Period'!$29:$29,'Budget by Task'!C$7:D$7, 'Base Period'!$32:$32, 'Budget by Task'!C$12)+SUMIFS('Option Period 1'!47:47,'Option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7" s="16" t="e">
        <f>SUMIFS('Base Period'!47:47,'Base Period'!$28:$28,'Budget by Task'!D$6, 'Base Period'!$32:$32, 'Budget by Task'!D$12)+SUMIFS('Option Period 1'!47:47,'Option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7" s="15" t="e">
        <f>SUMIFS('Base Period'!47:47,'Base Period'!$29:$29,'Budget by Task'!E$7:F$7, 'Base Period'!$32:$32, 'Budget by Task'!E$12)+SUMIFS('Option Period 1'!47:47,'Option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7" s="16" t="e">
        <f>SUMIFS('Base Period'!47:47,'Base Period'!$28:$28,'Budget by Task'!F$6, 'Base Period'!$32:$32, 'Budget by Task'!F$12)+SUMIFS('Option Period 1'!47:47,'Option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7" s="15" t="e">
        <f>SUMIFS('Base Period'!47:47,'Base Period'!$29:$29,'Budget by Task'!G$7:H$7, 'Base Period'!$32:$32, 'Budget by Task'!G$12)+SUMIFS('Option Period 1'!47:47,'Option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7" s="16" t="e">
        <f>SUMIFS('Base Period'!47:47,'Base Period'!$28:$28,'Budget by Task'!H$6, 'Base Period'!$32:$32, 'Budget by Task'!H$12)+SUMIFS('Option Period 1'!47:47,'Option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7" s="15" t="e">
        <f>SUMIFS('Base Period'!47:47,'Base Period'!$29:$29,'Budget by Task'!I$7:J$7, 'Base Period'!$32:$32, 'Budget by Task'!I$12)+SUMIFS('Option Period 1'!47:47,'Option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7" s="16" t="e">
        <f>SUMIFS('Base Period'!47:47,'Base Period'!$28:$28,'Budget by Task'!J$6, 'Base Period'!$32:$32, 'Budget by Task'!J$12)+SUMIFS('Option Period 1'!47:47,'Option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7" s="15" t="e">
        <f>SUMIFS('Base Period'!47:47,'Base Period'!$29:$29,'Budget by Task'!K$7:L$7, 'Base Period'!$32:$32, 'Budget by Task'!K$12)+SUMIFS('Option Period 1'!47:47,'Option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7" s="16" t="e">
        <f>SUMIFS('Base Period'!47:47,'Base Period'!$28:$28,'Budget by Task'!L$6, 'Base Period'!$32:$32, 'Budget by Task'!L$12)+SUMIFS('Option Period 1'!47:47,'Option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7" s="15" t="e">
        <f>SUMIFS('Base Period'!47:47,'Base Period'!$29:$29,'Budget by Task'!M$7:N$7, 'Base Period'!$32:$32, 'Budget by Task'!M$12)+SUMIFS('Option Period 1'!47:47,'Option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7" s="16" t="e">
        <f>SUMIFS('Base Period'!47:47,'Base Period'!$28:$28,'Budget by Task'!N$6, 'Base Period'!$32:$32, 'Budget by Task'!N$12)+SUMIFS('Option Period 1'!47:47,'Option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7" s="15" t="e">
        <f>SUMIFS('Base Period'!47:47,'Base Period'!$29:$29,'Budget by Task'!O$7:P$7, 'Base Period'!$32:$32, 'Budget by Task'!O$12)+SUMIFS('Option Period 1'!47:47,'Option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7" s="16" t="e">
        <f>SUMIFS('Base Period'!47:47,'Base Period'!$28:$28,'Budget by Task'!P$6, 'Base Period'!$32:$32, 'Budget by Task'!P$12)+SUMIFS('Option Period 1'!47:47,'Option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7" s="15" t="e">
        <f>SUMIFS('Base Period'!47:47,'Base Period'!$29:$29,'Budget by Task'!Q$7:R$7, 'Base Period'!$32:$32, 'Budget by Task'!Q$12)+SUMIFS('Option Period 1'!47:47,'Option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7" s="16" t="e">
        <f>SUMIFS('Base Period'!47:47,'Base Period'!$28:$28,'Budget by Task'!R$6, 'Base Period'!$32:$32, 'Budget by Task'!R$12)+SUMIFS('Option Period 1'!47:47,'Option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7" s="15" t="e">
        <f>SUMIFS('Base Period'!47:47,'Base Period'!$29:$29,'Budget by Task'!S$7:T$7, 'Base Period'!$32:$32, 'Budget by Task'!S$12)+SUMIFS('Option Period 1'!47:47,'Option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7" s="16" t="e">
        <f>SUMIFS('Base Period'!47:47,'Base Period'!$28:$28,'Budget by Task'!T$6, 'Base Period'!$32:$32, 'Budget by Task'!T$12)+SUMIFS('Option Period 1'!47:47,'Option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7" s="15" t="e">
        <f>SUMIFS('Base Period'!47:47,'Base Period'!$29:$29,'Budget by Task'!U$7:V$7, 'Base Period'!$32:$32, 'Budget by Task'!U$12)+SUMIFS('Option Period 1'!47:47,'Option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7" s="16" t="e">
        <f>SUMIFS('Base Period'!47:47,'Base Period'!$28:$28,'Budget by Task'!V$6, 'Base Period'!$32:$32, 'Budget by Task'!V$12)+SUMIFS('Option Period 1'!47:47,'Option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7" s="15" t="e">
        <f>SUMIFS('Base Period'!47:47,'Base Period'!$29:$29,'Budget by Task'!W$7:X$7, 'Base Period'!$32:$32, 'Budget by Task'!W$12)+SUMIFS('Option Period 1'!47:47,'Option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7" s="16" t="e">
        <f>SUMIFS('Base Period'!47:47,'Base Period'!$28:$28,'Budget by Task'!X$6, 'Base Period'!$32:$32, 'Budget by Task'!X$12)+SUMIFS('Option Period 1'!47:47,'Option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7" s="15" t="e">
        <f>SUMIFS('Base Period'!47:47,'Base Period'!$29:$29,'Budget by Task'!Y$7:Z$7, 'Base Period'!$32:$32, 'Budget by Task'!Y$12)+SUMIFS('Option Period 1'!47:47,'Option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7" s="16" t="e">
        <f>SUMIFS('Base Period'!47:47,'Base Period'!$28:$28,'Budget by Task'!Z$6, 'Base Period'!$32:$32, 'Budget by Task'!Z$12)+SUMIFS('Option Period 1'!47:47,'Option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7" s="15" t="e">
        <f>SUMIFS('Base Period'!47:47,'Base Period'!$29:$29,'Budget by Task'!AA$7:AB$7, 'Base Period'!$32:$32, 'Budget by Task'!AA$12)+SUMIFS('Option Period 1'!47:47,'Option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7" s="16" t="e">
        <f>SUMIFS('Base Period'!47:47,'Base Period'!$28:$28,'Budget by Task'!AB$6, 'Base Period'!$32:$32, 'Budget by Task'!AB$12)+SUMIFS('Option Period 1'!47:47,'Option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7" s="15" t="e">
        <f>SUMIFS('Base Period'!47:47,'Base Period'!$29:$29,'Budget by Task'!AC$7:AD$7, 'Base Period'!$32:$32, 'Budget by Task'!AC$12)+SUMIFS('Option Period 1'!47:47,'Option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7" s="16" t="e">
        <f>SUMIFS('Base Period'!47:47,'Base Period'!$28:$28,'Budget by Task'!AD$6, 'Base Period'!$32:$32, 'Budget by Task'!AD$12)+SUMIFS('Option Period 1'!47:47,'Option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7" s="15" t="e">
        <f>SUMIFS('Base Period'!47:47,'Base Period'!$29:$29,'Budget by Task'!AE$7:AF$7, 'Base Period'!$32:$32, 'Budget by Task'!AE$12)+SUMIFS('Option Period 1'!47:47,'Option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7" s="16" t="e">
        <f>SUMIFS('Base Period'!47:47,'Base Period'!$28:$28,'Budget by Task'!AF$6, 'Base Period'!$32:$32, 'Budget by Task'!AF$12)+SUMIFS('Option Period 1'!47:47,'Option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7" s="15" t="e">
        <f>SUMIFS('Base Period'!47:47,'Base Period'!$29:$29,'Budget by Task'!AG$7:AH$7, 'Base Period'!$32:$32, 'Budget by Task'!AG$12)+SUMIFS('Option Period 1'!47:47,'Option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7" s="16" t="e">
        <f>SUMIFS('Base Period'!47:47,'Base Period'!$28:$28,'Budget by Task'!AH$6, 'Base Period'!$32:$32, 'Budget by Task'!AH$12)+SUMIFS('Option Period 1'!47:47,'Option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7" s="1" t="e">
        <f>SUMIFS('Base Period'!47:47,'Base Period'!$29:$29,'Budget by Task'!AI$7)+SUMIFS('Option Period 1'!47:47,'Option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7" s="11" t="e">
        <f>SUMIFS('Base Period'!47:47,'Base Period'!$29:$29,'Budget by Task'!AJ$7)+SUMIFS('Option Period 1'!47:47,'Option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7" s="151" t="e">
        <f>ROUND(AJ27-'Base Period'!BN47-'Option Period 1'!BN47-#REF!-#REF!-#REF!-#REF!-#REF!-#REF!-#REF!-#REF!,0)</f>
        <v>#REF!</v>
      </c>
    </row>
    <row r="28" spans="2:39" ht="15.75" x14ac:dyDescent="0.25">
      <c r="B28" s="6" t="str">
        <f>'Base Period'!B48</f>
        <v>Name</v>
      </c>
      <c r="C28" s="15" t="e">
        <f>SUMIFS('Base Period'!48:48,'Base Period'!$29:$29,'Budget by Task'!C$7:D$7, 'Base Period'!$32:$32, 'Budget by Task'!C$12)+SUMIFS('Option Period 1'!48:48,'Option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8" s="16" t="e">
        <f>SUMIFS('Base Period'!48:48,'Base Period'!$28:$28,'Budget by Task'!D$6, 'Base Period'!$32:$32, 'Budget by Task'!D$12)+SUMIFS('Option Period 1'!48:48,'Option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8" s="15" t="e">
        <f>SUMIFS('Base Period'!48:48,'Base Period'!$29:$29,'Budget by Task'!E$7:F$7, 'Base Period'!$32:$32, 'Budget by Task'!E$12)+SUMIFS('Option Period 1'!48:48,'Option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8" s="16" t="e">
        <f>SUMIFS('Base Period'!48:48,'Base Period'!$28:$28,'Budget by Task'!F$6, 'Base Period'!$32:$32, 'Budget by Task'!F$12)+SUMIFS('Option Period 1'!48:48,'Option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8" s="15" t="e">
        <f>SUMIFS('Base Period'!48:48,'Base Period'!$29:$29,'Budget by Task'!G$7:H$7, 'Base Period'!$32:$32, 'Budget by Task'!G$12)+SUMIFS('Option Period 1'!48:48,'Option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8" s="16" t="e">
        <f>SUMIFS('Base Period'!48:48,'Base Period'!$28:$28,'Budget by Task'!H$6, 'Base Period'!$32:$32, 'Budget by Task'!H$12)+SUMIFS('Option Period 1'!48:48,'Option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8" s="15" t="e">
        <f>SUMIFS('Base Period'!48:48,'Base Period'!$29:$29,'Budget by Task'!I$7:J$7, 'Base Period'!$32:$32, 'Budget by Task'!I$12)+SUMIFS('Option Period 1'!48:48,'Option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8" s="16" t="e">
        <f>SUMIFS('Base Period'!48:48,'Base Period'!$28:$28,'Budget by Task'!J$6, 'Base Period'!$32:$32, 'Budget by Task'!J$12)+SUMIFS('Option Period 1'!48:48,'Option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8" s="15" t="e">
        <f>SUMIFS('Base Period'!48:48,'Base Period'!$29:$29,'Budget by Task'!K$7:L$7, 'Base Period'!$32:$32, 'Budget by Task'!K$12)+SUMIFS('Option Period 1'!48:48,'Option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8" s="16" t="e">
        <f>SUMIFS('Base Period'!48:48,'Base Period'!$28:$28,'Budget by Task'!L$6, 'Base Period'!$32:$32, 'Budget by Task'!L$12)+SUMIFS('Option Period 1'!48:48,'Option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8" s="15" t="e">
        <f>SUMIFS('Base Period'!48:48,'Base Period'!$29:$29,'Budget by Task'!M$7:N$7, 'Base Period'!$32:$32, 'Budget by Task'!M$12)+SUMIFS('Option Period 1'!48:48,'Option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8" s="16" t="e">
        <f>SUMIFS('Base Period'!48:48,'Base Period'!$28:$28,'Budget by Task'!N$6, 'Base Period'!$32:$32, 'Budget by Task'!N$12)+SUMIFS('Option Period 1'!48:48,'Option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8" s="15" t="e">
        <f>SUMIFS('Base Period'!48:48,'Base Period'!$29:$29,'Budget by Task'!O$7:P$7, 'Base Period'!$32:$32, 'Budget by Task'!O$12)+SUMIFS('Option Period 1'!48:48,'Option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8" s="16" t="e">
        <f>SUMIFS('Base Period'!48:48,'Base Period'!$28:$28,'Budget by Task'!P$6, 'Base Period'!$32:$32, 'Budget by Task'!P$12)+SUMIFS('Option Period 1'!48:48,'Option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8" s="15" t="e">
        <f>SUMIFS('Base Period'!48:48,'Base Period'!$29:$29,'Budget by Task'!Q$7:R$7, 'Base Period'!$32:$32, 'Budget by Task'!Q$12)+SUMIFS('Option Period 1'!48:48,'Option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8" s="16" t="e">
        <f>SUMIFS('Base Period'!48:48,'Base Period'!$28:$28,'Budget by Task'!R$6, 'Base Period'!$32:$32, 'Budget by Task'!R$12)+SUMIFS('Option Period 1'!48:48,'Option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8" s="15" t="e">
        <f>SUMIFS('Base Period'!48:48,'Base Period'!$29:$29,'Budget by Task'!S$7:T$7, 'Base Period'!$32:$32, 'Budget by Task'!S$12)+SUMIFS('Option Period 1'!48:48,'Option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8" s="16" t="e">
        <f>SUMIFS('Base Period'!48:48,'Base Period'!$28:$28,'Budget by Task'!T$6, 'Base Period'!$32:$32, 'Budget by Task'!T$12)+SUMIFS('Option Period 1'!48:48,'Option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8" s="15" t="e">
        <f>SUMIFS('Base Period'!48:48,'Base Period'!$29:$29,'Budget by Task'!U$7:V$7, 'Base Period'!$32:$32, 'Budget by Task'!U$12)+SUMIFS('Option Period 1'!48:48,'Option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8" s="16" t="e">
        <f>SUMIFS('Base Period'!48:48,'Base Period'!$28:$28,'Budget by Task'!V$6, 'Base Period'!$32:$32, 'Budget by Task'!V$12)+SUMIFS('Option Period 1'!48:48,'Option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8" s="15" t="e">
        <f>SUMIFS('Base Period'!48:48,'Base Period'!$29:$29,'Budget by Task'!W$7:X$7, 'Base Period'!$32:$32, 'Budget by Task'!W$12)+SUMIFS('Option Period 1'!48:48,'Option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8" s="16" t="e">
        <f>SUMIFS('Base Period'!48:48,'Base Period'!$28:$28,'Budget by Task'!X$6, 'Base Period'!$32:$32, 'Budget by Task'!X$12)+SUMIFS('Option Period 1'!48:48,'Option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8" s="15" t="e">
        <f>SUMIFS('Base Period'!48:48,'Base Period'!$29:$29,'Budget by Task'!Y$7:Z$7, 'Base Period'!$32:$32, 'Budget by Task'!Y$12)+SUMIFS('Option Period 1'!48:48,'Option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8" s="16" t="e">
        <f>SUMIFS('Base Period'!48:48,'Base Period'!$28:$28,'Budget by Task'!Z$6, 'Base Period'!$32:$32, 'Budget by Task'!Z$12)+SUMIFS('Option Period 1'!48:48,'Option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8" s="15" t="e">
        <f>SUMIFS('Base Period'!48:48,'Base Period'!$29:$29,'Budget by Task'!AA$7:AB$7, 'Base Period'!$32:$32, 'Budget by Task'!AA$12)+SUMIFS('Option Period 1'!48:48,'Option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8" s="16" t="e">
        <f>SUMIFS('Base Period'!48:48,'Base Period'!$28:$28,'Budget by Task'!AB$6, 'Base Period'!$32:$32, 'Budget by Task'!AB$12)+SUMIFS('Option Period 1'!48:48,'Option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8" s="15" t="e">
        <f>SUMIFS('Base Period'!48:48,'Base Period'!$29:$29,'Budget by Task'!AC$7:AD$7, 'Base Period'!$32:$32, 'Budget by Task'!AC$12)+SUMIFS('Option Period 1'!48:48,'Option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8" s="16" t="e">
        <f>SUMIFS('Base Period'!48:48,'Base Period'!$28:$28,'Budget by Task'!AD$6, 'Base Period'!$32:$32, 'Budget by Task'!AD$12)+SUMIFS('Option Period 1'!48:48,'Option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8" s="15" t="e">
        <f>SUMIFS('Base Period'!48:48,'Base Period'!$29:$29,'Budget by Task'!AE$7:AF$7, 'Base Period'!$32:$32, 'Budget by Task'!AE$12)+SUMIFS('Option Period 1'!48:48,'Option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8" s="16" t="e">
        <f>SUMIFS('Base Period'!48:48,'Base Period'!$28:$28,'Budget by Task'!AF$6, 'Base Period'!$32:$32, 'Budget by Task'!AF$12)+SUMIFS('Option Period 1'!48:48,'Option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8" s="15" t="e">
        <f>SUMIFS('Base Period'!48:48,'Base Period'!$29:$29,'Budget by Task'!AG$7:AH$7, 'Base Period'!$32:$32, 'Budget by Task'!AG$12)+SUMIFS('Option Period 1'!48:48,'Option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8" s="16" t="e">
        <f>SUMIFS('Base Period'!48:48,'Base Period'!$28:$28,'Budget by Task'!AH$6, 'Base Period'!$32:$32, 'Budget by Task'!AH$12)+SUMIFS('Option Period 1'!48:48,'Option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8" s="1" t="e">
        <f>SUMIFS('Base Period'!48:48,'Base Period'!$29:$29,'Budget by Task'!AI$7)+SUMIFS('Option Period 1'!48:48,'Option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8" s="11" t="e">
        <f>SUMIFS('Base Period'!48:48,'Base Period'!$29:$29,'Budget by Task'!AJ$7)+SUMIFS('Option Period 1'!48:48,'Option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8" s="151" t="e">
        <f>ROUND(AJ28-'Base Period'!BN48-'Option Period 1'!BN48-#REF!-#REF!-#REF!-#REF!-#REF!-#REF!-#REF!-#REF!,0)</f>
        <v>#REF!</v>
      </c>
    </row>
    <row r="29" spans="2:39" ht="15.75" x14ac:dyDescent="0.25">
      <c r="B29" s="6" t="str">
        <f>'Base Period'!B49</f>
        <v>Name</v>
      </c>
      <c r="C29" s="15" t="e">
        <f>SUMIFS('Base Period'!49:49,'Base Period'!$29:$29,'Budget by Task'!C$7:D$7, 'Base Period'!$32:$32, 'Budget by Task'!C$12)+SUMIFS('Option Period 1'!49:49,'Option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29" s="16" t="e">
        <f>SUMIFS('Base Period'!49:49,'Base Period'!$28:$28,'Budget by Task'!D$6, 'Base Period'!$32:$32, 'Budget by Task'!D$12)+SUMIFS('Option Period 1'!49:49,'Option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29" s="15" t="e">
        <f>SUMIFS('Base Period'!49:49,'Base Period'!$29:$29,'Budget by Task'!E$7:F$7, 'Base Period'!$32:$32, 'Budget by Task'!E$12)+SUMIFS('Option Period 1'!49:49,'Option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29" s="16" t="e">
        <f>SUMIFS('Base Period'!49:49,'Base Period'!$28:$28,'Budget by Task'!F$6, 'Base Period'!$32:$32, 'Budget by Task'!F$12)+SUMIFS('Option Period 1'!49:49,'Option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29" s="15" t="e">
        <f>SUMIFS('Base Period'!49:49,'Base Period'!$29:$29,'Budget by Task'!G$7:H$7, 'Base Period'!$32:$32, 'Budget by Task'!G$12)+SUMIFS('Option Period 1'!49:49,'Option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29" s="16" t="e">
        <f>SUMIFS('Base Period'!49:49,'Base Period'!$28:$28,'Budget by Task'!H$6, 'Base Period'!$32:$32, 'Budget by Task'!H$12)+SUMIFS('Option Period 1'!49:49,'Option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29" s="15" t="e">
        <f>SUMIFS('Base Period'!49:49,'Base Period'!$29:$29,'Budget by Task'!I$7:J$7, 'Base Period'!$32:$32, 'Budget by Task'!I$12)+SUMIFS('Option Period 1'!49:49,'Option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29" s="16" t="e">
        <f>SUMIFS('Base Period'!49:49,'Base Period'!$28:$28,'Budget by Task'!J$6, 'Base Period'!$32:$32, 'Budget by Task'!J$12)+SUMIFS('Option Period 1'!49:49,'Option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29" s="15" t="e">
        <f>SUMIFS('Base Period'!49:49,'Base Period'!$29:$29,'Budget by Task'!K$7:L$7, 'Base Period'!$32:$32, 'Budget by Task'!K$12)+SUMIFS('Option Period 1'!49:49,'Option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29" s="16" t="e">
        <f>SUMIFS('Base Period'!49:49,'Base Period'!$28:$28,'Budget by Task'!L$6, 'Base Period'!$32:$32, 'Budget by Task'!L$12)+SUMIFS('Option Period 1'!49:49,'Option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29" s="15" t="e">
        <f>SUMIFS('Base Period'!49:49,'Base Period'!$29:$29,'Budget by Task'!M$7:N$7, 'Base Period'!$32:$32, 'Budget by Task'!M$12)+SUMIFS('Option Period 1'!49:49,'Option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29" s="16" t="e">
        <f>SUMIFS('Base Period'!49:49,'Base Period'!$28:$28,'Budget by Task'!N$6, 'Base Period'!$32:$32, 'Budget by Task'!N$12)+SUMIFS('Option Period 1'!49:49,'Option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29" s="15" t="e">
        <f>SUMIFS('Base Period'!49:49,'Base Period'!$29:$29,'Budget by Task'!O$7:P$7, 'Base Period'!$32:$32, 'Budget by Task'!O$12)+SUMIFS('Option Period 1'!49:49,'Option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29" s="16" t="e">
        <f>SUMIFS('Base Period'!49:49,'Base Period'!$28:$28,'Budget by Task'!P$6, 'Base Period'!$32:$32, 'Budget by Task'!P$12)+SUMIFS('Option Period 1'!49:49,'Option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29" s="15" t="e">
        <f>SUMIFS('Base Period'!49:49,'Base Period'!$29:$29,'Budget by Task'!Q$7:R$7, 'Base Period'!$32:$32, 'Budget by Task'!Q$12)+SUMIFS('Option Period 1'!49:49,'Option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29" s="16" t="e">
        <f>SUMIFS('Base Period'!49:49,'Base Period'!$28:$28,'Budget by Task'!R$6, 'Base Period'!$32:$32, 'Budget by Task'!R$12)+SUMIFS('Option Period 1'!49:49,'Option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29" s="15" t="e">
        <f>SUMIFS('Base Period'!49:49,'Base Period'!$29:$29,'Budget by Task'!S$7:T$7, 'Base Period'!$32:$32, 'Budget by Task'!S$12)+SUMIFS('Option Period 1'!49:49,'Option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29" s="16" t="e">
        <f>SUMIFS('Base Period'!49:49,'Base Period'!$28:$28,'Budget by Task'!T$6, 'Base Period'!$32:$32, 'Budget by Task'!T$12)+SUMIFS('Option Period 1'!49:49,'Option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29" s="15" t="e">
        <f>SUMIFS('Base Period'!49:49,'Base Period'!$29:$29,'Budget by Task'!U$7:V$7, 'Base Period'!$32:$32, 'Budget by Task'!U$12)+SUMIFS('Option Period 1'!49:49,'Option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29" s="16" t="e">
        <f>SUMIFS('Base Period'!49:49,'Base Period'!$28:$28,'Budget by Task'!V$6, 'Base Period'!$32:$32, 'Budget by Task'!V$12)+SUMIFS('Option Period 1'!49:49,'Option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29" s="15" t="e">
        <f>SUMIFS('Base Period'!49:49,'Base Period'!$29:$29,'Budget by Task'!W$7:X$7, 'Base Period'!$32:$32, 'Budget by Task'!W$12)+SUMIFS('Option Period 1'!49:49,'Option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29" s="16" t="e">
        <f>SUMIFS('Base Period'!49:49,'Base Period'!$28:$28,'Budget by Task'!X$6, 'Base Period'!$32:$32, 'Budget by Task'!X$12)+SUMIFS('Option Period 1'!49:49,'Option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29" s="15" t="e">
        <f>SUMIFS('Base Period'!49:49,'Base Period'!$29:$29,'Budget by Task'!Y$7:Z$7, 'Base Period'!$32:$32, 'Budget by Task'!Y$12)+SUMIFS('Option Period 1'!49:49,'Option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29" s="16" t="e">
        <f>SUMIFS('Base Period'!49:49,'Base Period'!$28:$28,'Budget by Task'!Z$6, 'Base Period'!$32:$32, 'Budget by Task'!Z$12)+SUMIFS('Option Period 1'!49:49,'Option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29" s="15" t="e">
        <f>SUMIFS('Base Period'!49:49,'Base Period'!$29:$29,'Budget by Task'!AA$7:AB$7, 'Base Period'!$32:$32, 'Budget by Task'!AA$12)+SUMIFS('Option Period 1'!49:49,'Option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29" s="16" t="e">
        <f>SUMIFS('Base Period'!49:49,'Base Period'!$28:$28,'Budget by Task'!AB$6, 'Base Period'!$32:$32, 'Budget by Task'!AB$12)+SUMIFS('Option Period 1'!49:49,'Option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29" s="15" t="e">
        <f>SUMIFS('Base Period'!49:49,'Base Period'!$29:$29,'Budget by Task'!AC$7:AD$7, 'Base Period'!$32:$32, 'Budget by Task'!AC$12)+SUMIFS('Option Period 1'!49:49,'Option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29" s="16" t="e">
        <f>SUMIFS('Base Period'!49:49,'Base Period'!$28:$28,'Budget by Task'!AD$6, 'Base Period'!$32:$32, 'Budget by Task'!AD$12)+SUMIFS('Option Period 1'!49:49,'Option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29" s="15" t="e">
        <f>SUMIFS('Base Period'!49:49,'Base Period'!$29:$29,'Budget by Task'!AE$7:AF$7, 'Base Period'!$32:$32, 'Budget by Task'!AE$12)+SUMIFS('Option Period 1'!49:49,'Option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29" s="16" t="e">
        <f>SUMIFS('Base Period'!49:49,'Base Period'!$28:$28,'Budget by Task'!AF$6, 'Base Period'!$32:$32, 'Budget by Task'!AF$12)+SUMIFS('Option Period 1'!49:49,'Option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29" s="15" t="e">
        <f>SUMIFS('Base Period'!49:49,'Base Period'!$29:$29,'Budget by Task'!AG$7:AH$7, 'Base Period'!$32:$32, 'Budget by Task'!AG$12)+SUMIFS('Option Period 1'!49:49,'Option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29" s="16" t="e">
        <f>SUMIFS('Base Period'!49:49,'Base Period'!$28:$28,'Budget by Task'!AH$6, 'Base Period'!$32:$32, 'Budget by Task'!AH$12)+SUMIFS('Option Period 1'!49:49,'Option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29" s="1" t="e">
        <f>SUMIFS('Base Period'!49:49,'Base Period'!$29:$29,'Budget by Task'!AI$7)+SUMIFS('Option Period 1'!49:49,'Option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29" s="11" t="e">
        <f>SUMIFS('Base Period'!49:49,'Base Period'!$29:$29,'Budget by Task'!AJ$7)+SUMIFS('Option Period 1'!49:49,'Option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29" s="151" t="e">
        <f>ROUND(AJ29-'Base Period'!BN49-'Option Period 1'!BN49-#REF!-#REF!-#REF!-#REF!-#REF!-#REF!-#REF!-#REF!,0)</f>
        <v>#REF!</v>
      </c>
    </row>
    <row r="30" spans="2:39" ht="15.75" x14ac:dyDescent="0.25">
      <c r="B30" s="6" t="str">
        <f>'Base Period'!B50</f>
        <v>Name</v>
      </c>
      <c r="C30" s="15" t="e">
        <f>SUMIFS('Base Period'!50:50,'Base Period'!$29:$29,'Budget by Task'!C$7:D$7, 'Base Period'!$32:$32, 'Budget by Task'!C$12)+SUMIFS('Option Period 1'!50:50,'Option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0" s="16" t="e">
        <f>SUMIFS('Base Period'!50:50,'Base Period'!$28:$28,'Budget by Task'!D$6, 'Base Period'!$32:$32, 'Budget by Task'!D$12)+SUMIFS('Option Period 1'!50:50,'Option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0" s="15" t="e">
        <f>SUMIFS('Base Period'!50:50,'Base Period'!$29:$29,'Budget by Task'!E$7:F$7, 'Base Period'!$32:$32, 'Budget by Task'!E$12)+SUMIFS('Option Period 1'!50:50,'Option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0" s="16" t="e">
        <f>SUMIFS('Base Period'!50:50,'Base Period'!$28:$28,'Budget by Task'!F$6, 'Base Period'!$32:$32, 'Budget by Task'!F$12)+SUMIFS('Option Period 1'!50:50,'Option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0" s="15" t="e">
        <f>SUMIFS('Base Period'!50:50,'Base Period'!$29:$29,'Budget by Task'!G$7:H$7, 'Base Period'!$32:$32, 'Budget by Task'!G$12)+SUMIFS('Option Period 1'!50:50,'Option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0" s="16" t="e">
        <f>SUMIFS('Base Period'!50:50,'Base Period'!$28:$28,'Budget by Task'!H$6, 'Base Period'!$32:$32, 'Budget by Task'!H$12)+SUMIFS('Option Period 1'!50:50,'Option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0" s="15" t="e">
        <f>SUMIFS('Base Period'!50:50,'Base Period'!$29:$29,'Budget by Task'!I$7:J$7, 'Base Period'!$32:$32, 'Budget by Task'!I$12)+SUMIFS('Option Period 1'!50:50,'Option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0" s="16" t="e">
        <f>SUMIFS('Base Period'!50:50,'Base Period'!$28:$28,'Budget by Task'!J$6, 'Base Period'!$32:$32, 'Budget by Task'!J$12)+SUMIFS('Option Period 1'!50:50,'Option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0" s="15" t="e">
        <f>SUMIFS('Base Period'!50:50,'Base Period'!$29:$29,'Budget by Task'!K$7:L$7, 'Base Period'!$32:$32, 'Budget by Task'!K$12)+SUMIFS('Option Period 1'!50:50,'Option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0" s="16" t="e">
        <f>SUMIFS('Base Period'!50:50,'Base Period'!$28:$28,'Budget by Task'!L$6, 'Base Period'!$32:$32, 'Budget by Task'!L$12)+SUMIFS('Option Period 1'!50:50,'Option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0" s="15" t="e">
        <f>SUMIFS('Base Period'!50:50,'Base Period'!$29:$29,'Budget by Task'!M$7:N$7, 'Base Period'!$32:$32, 'Budget by Task'!M$12)+SUMIFS('Option Period 1'!50:50,'Option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0" s="16" t="e">
        <f>SUMIFS('Base Period'!50:50,'Base Period'!$28:$28,'Budget by Task'!N$6, 'Base Period'!$32:$32, 'Budget by Task'!N$12)+SUMIFS('Option Period 1'!50:50,'Option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0" s="15" t="e">
        <f>SUMIFS('Base Period'!50:50,'Base Period'!$29:$29,'Budget by Task'!O$7:P$7, 'Base Period'!$32:$32, 'Budget by Task'!O$12)+SUMIFS('Option Period 1'!50:50,'Option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0" s="16" t="e">
        <f>SUMIFS('Base Period'!50:50,'Base Period'!$28:$28,'Budget by Task'!P$6, 'Base Period'!$32:$32, 'Budget by Task'!P$12)+SUMIFS('Option Period 1'!50:50,'Option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0" s="15" t="e">
        <f>SUMIFS('Base Period'!50:50,'Base Period'!$29:$29,'Budget by Task'!Q$7:R$7, 'Base Period'!$32:$32, 'Budget by Task'!Q$12)+SUMIFS('Option Period 1'!50:50,'Option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0" s="16" t="e">
        <f>SUMIFS('Base Period'!50:50,'Base Period'!$28:$28,'Budget by Task'!R$6, 'Base Period'!$32:$32, 'Budget by Task'!R$12)+SUMIFS('Option Period 1'!50:50,'Option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0" s="15" t="e">
        <f>SUMIFS('Base Period'!50:50,'Base Period'!$29:$29,'Budget by Task'!S$7:T$7, 'Base Period'!$32:$32, 'Budget by Task'!S$12)+SUMIFS('Option Period 1'!50:50,'Option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0" s="16" t="e">
        <f>SUMIFS('Base Period'!50:50,'Base Period'!$28:$28,'Budget by Task'!T$6, 'Base Period'!$32:$32, 'Budget by Task'!T$12)+SUMIFS('Option Period 1'!50:50,'Option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0" s="15" t="e">
        <f>SUMIFS('Base Period'!50:50,'Base Period'!$29:$29,'Budget by Task'!U$7:V$7, 'Base Period'!$32:$32, 'Budget by Task'!U$12)+SUMIFS('Option Period 1'!50:50,'Option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0" s="16" t="e">
        <f>SUMIFS('Base Period'!50:50,'Base Period'!$28:$28,'Budget by Task'!V$6, 'Base Period'!$32:$32, 'Budget by Task'!V$12)+SUMIFS('Option Period 1'!50:50,'Option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0" s="15" t="e">
        <f>SUMIFS('Base Period'!50:50,'Base Period'!$29:$29,'Budget by Task'!W$7:X$7, 'Base Period'!$32:$32, 'Budget by Task'!W$12)+SUMIFS('Option Period 1'!50:50,'Option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0" s="16" t="e">
        <f>SUMIFS('Base Period'!50:50,'Base Period'!$28:$28,'Budget by Task'!X$6, 'Base Period'!$32:$32, 'Budget by Task'!X$12)+SUMIFS('Option Period 1'!50:50,'Option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0" s="15" t="e">
        <f>SUMIFS('Base Period'!50:50,'Base Period'!$29:$29,'Budget by Task'!Y$7:Z$7, 'Base Period'!$32:$32, 'Budget by Task'!Y$12)+SUMIFS('Option Period 1'!50:50,'Option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0" s="16" t="e">
        <f>SUMIFS('Base Period'!50:50,'Base Period'!$28:$28,'Budget by Task'!Z$6, 'Base Period'!$32:$32, 'Budget by Task'!Z$12)+SUMIFS('Option Period 1'!50:50,'Option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0" s="15" t="e">
        <f>SUMIFS('Base Period'!50:50,'Base Period'!$29:$29,'Budget by Task'!AA$7:AB$7, 'Base Period'!$32:$32, 'Budget by Task'!AA$12)+SUMIFS('Option Period 1'!50:50,'Option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0" s="16" t="e">
        <f>SUMIFS('Base Period'!50:50,'Base Period'!$28:$28,'Budget by Task'!AB$6, 'Base Period'!$32:$32, 'Budget by Task'!AB$12)+SUMIFS('Option Period 1'!50:50,'Option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0" s="15" t="e">
        <f>SUMIFS('Base Period'!50:50,'Base Period'!$29:$29,'Budget by Task'!AC$7:AD$7, 'Base Period'!$32:$32, 'Budget by Task'!AC$12)+SUMIFS('Option Period 1'!50:50,'Option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0" s="16" t="e">
        <f>SUMIFS('Base Period'!50:50,'Base Period'!$28:$28,'Budget by Task'!AD$6, 'Base Period'!$32:$32, 'Budget by Task'!AD$12)+SUMIFS('Option Period 1'!50:50,'Option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0" s="15" t="e">
        <f>SUMIFS('Base Period'!50:50,'Base Period'!$29:$29,'Budget by Task'!AE$7:AF$7, 'Base Period'!$32:$32, 'Budget by Task'!AE$12)+SUMIFS('Option Period 1'!50:50,'Option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0" s="16" t="e">
        <f>SUMIFS('Base Period'!50:50,'Base Period'!$28:$28,'Budget by Task'!AF$6, 'Base Period'!$32:$32, 'Budget by Task'!AF$12)+SUMIFS('Option Period 1'!50:50,'Option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0" s="15" t="e">
        <f>SUMIFS('Base Period'!50:50,'Base Period'!$29:$29,'Budget by Task'!AG$7:AH$7, 'Base Period'!$32:$32, 'Budget by Task'!AG$12)+SUMIFS('Option Period 1'!50:50,'Option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0" s="16" t="e">
        <f>SUMIFS('Base Period'!50:50,'Base Period'!$28:$28,'Budget by Task'!AH$6, 'Base Period'!$32:$32, 'Budget by Task'!AH$12)+SUMIFS('Option Period 1'!50:50,'Option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0" s="1" t="e">
        <f>SUMIFS('Base Period'!50:50,'Base Period'!$29:$29,'Budget by Task'!AI$7)+SUMIFS('Option Period 1'!50:50,'Option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0" s="11" t="e">
        <f>SUMIFS('Base Period'!50:50,'Base Period'!$29:$29,'Budget by Task'!AJ$7)+SUMIFS('Option Period 1'!50:50,'Option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0" s="151" t="e">
        <f>ROUND(AJ30-'Base Period'!BN50-'Option Period 1'!BN50-#REF!-#REF!-#REF!-#REF!-#REF!-#REF!-#REF!-#REF!,0)</f>
        <v>#REF!</v>
      </c>
    </row>
    <row r="31" spans="2:39" ht="15.75" x14ac:dyDescent="0.25">
      <c r="B31" s="6" t="str">
        <f>'Base Period'!B51</f>
        <v>Name</v>
      </c>
      <c r="C31" s="15" t="e">
        <f>SUMIFS('Base Period'!51:51,'Base Period'!$29:$29,'Budget by Task'!C$7:D$7, 'Base Period'!$32:$32, 'Budget by Task'!C$12)+SUMIFS('Option Period 1'!51:51,'Option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1" s="16" t="e">
        <f>SUMIFS('Base Period'!51:51,'Base Period'!$28:$28,'Budget by Task'!D$6, 'Base Period'!$32:$32, 'Budget by Task'!D$12)+SUMIFS('Option Period 1'!51:51,'Option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1" s="15" t="e">
        <f>SUMIFS('Base Period'!51:51,'Base Period'!$29:$29,'Budget by Task'!E$7:F$7, 'Base Period'!$32:$32, 'Budget by Task'!E$12)+SUMIFS('Option Period 1'!51:51,'Option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1" s="16" t="e">
        <f>SUMIFS('Base Period'!51:51,'Base Period'!$28:$28,'Budget by Task'!F$6, 'Base Period'!$32:$32, 'Budget by Task'!F$12)+SUMIFS('Option Period 1'!51:51,'Option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1" s="15" t="e">
        <f>SUMIFS('Base Period'!51:51,'Base Period'!$29:$29,'Budget by Task'!G$7:H$7, 'Base Period'!$32:$32, 'Budget by Task'!G$12)+SUMIFS('Option Period 1'!51:51,'Option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1" s="16" t="e">
        <f>SUMIFS('Base Period'!51:51,'Base Period'!$28:$28,'Budget by Task'!H$6, 'Base Period'!$32:$32, 'Budget by Task'!H$12)+SUMIFS('Option Period 1'!51:51,'Option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1" s="15" t="e">
        <f>SUMIFS('Base Period'!51:51,'Base Period'!$29:$29,'Budget by Task'!I$7:J$7, 'Base Period'!$32:$32, 'Budget by Task'!I$12)+SUMIFS('Option Period 1'!51:51,'Option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1" s="16" t="e">
        <f>SUMIFS('Base Period'!51:51,'Base Period'!$28:$28,'Budget by Task'!J$6, 'Base Period'!$32:$32, 'Budget by Task'!J$12)+SUMIFS('Option Period 1'!51:51,'Option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1" s="15" t="e">
        <f>SUMIFS('Base Period'!51:51,'Base Period'!$29:$29,'Budget by Task'!K$7:L$7, 'Base Period'!$32:$32, 'Budget by Task'!K$12)+SUMIFS('Option Period 1'!51:51,'Option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1" s="16" t="e">
        <f>SUMIFS('Base Period'!51:51,'Base Period'!$28:$28,'Budget by Task'!L$6, 'Base Period'!$32:$32, 'Budget by Task'!L$12)+SUMIFS('Option Period 1'!51:51,'Option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1" s="15" t="e">
        <f>SUMIFS('Base Period'!51:51,'Base Period'!$29:$29,'Budget by Task'!M$7:N$7, 'Base Period'!$32:$32, 'Budget by Task'!M$12)+SUMIFS('Option Period 1'!51:51,'Option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1" s="16" t="e">
        <f>SUMIFS('Base Period'!51:51,'Base Period'!$28:$28,'Budget by Task'!N$6, 'Base Period'!$32:$32, 'Budget by Task'!N$12)+SUMIFS('Option Period 1'!51:51,'Option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1" s="15" t="e">
        <f>SUMIFS('Base Period'!51:51,'Base Period'!$29:$29,'Budget by Task'!O$7:P$7, 'Base Period'!$32:$32, 'Budget by Task'!O$12)+SUMIFS('Option Period 1'!51:51,'Option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1" s="16" t="e">
        <f>SUMIFS('Base Period'!51:51,'Base Period'!$28:$28,'Budget by Task'!P$6, 'Base Period'!$32:$32, 'Budget by Task'!P$12)+SUMIFS('Option Period 1'!51:51,'Option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1" s="15" t="e">
        <f>SUMIFS('Base Period'!51:51,'Base Period'!$29:$29,'Budget by Task'!Q$7:R$7, 'Base Period'!$32:$32, 'Budget by Task'!Q$12)+SUMIFS('Option Period 1'!51:51,'Option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1" s="16" t="e">
        <f>SUMIFS('Base Period'!51:51,'Base Period'!$28:$28,'Budget by Task'!R$6, 'Base Period'!$32:$32, 'Budget by Task'!R$12)+SUMIFS('Option Period 1'!51:51,'Option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1" s="15" t="e">
        <f>SUMIFS('Base Period'!51:51,'Base Period'!$29:$29,'Budget by Task'!S$7:T$7, 'Base Period'!$32:$32, 'Budget by Task'!S$12)+SUMIFS('Option Period 1'!51:51,'Option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1" s="16" t="e">
        <f>SUMIFS('Base Period'!51:51,'Base Period'!$28:$28,'Budget by Task'!T$6, 'Base Period'!$32:$32, 'Budget by Task'!T$12)+SUMIFS('Option Period 1'!51:51,'Option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1" s="15" t="e">
        <f>SUMIFS('Base Period'!51:51,'Base Period'!$29:$29,'Budget by Task'!U$7:V$7, 'Base Period'!$32:$32, 'Budget by Task'!U$12)+SUMIFS('Option Period 1'!51:51,'Option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1" s="16" t="e">
        <f>SUMIFS('Base Period'!51:51,'Base Period'!$28:$28,'Budget by Task'!V$6, 'Base Period'!$32:$32, 'Budget by Task'!V$12)+SUMIFS('Option Period 1'!51:51,'Option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1" s="15" t="e">
        <f>SUMIFS('Base Period'!51:51,'Base Period'!$29:$29,'Budget by Task'!W$7:X$7, 'Base Period'!$32:$32, 'Budget by Task'!W$12)+SUMIFS('Option Period 1'!51:51,'Option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1" s="16" t="e">
        <f>SUMIFS('Base Period'!51:51,'Base Period'!$28:$28,'Budget by Task'!X$6, 'Base Period'!$32:$32, 'Budget by Task'!X$12)+SUMIFS('Option Period 1'!51:51,'Option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1" s="15" t="e">
        <f>SUMIFS('Base Period'!51:51,'Base Period'!$29:$29,'Budget by Task'!Y$7:Z$7, 'Base Period'!$32:$32, 'Budget by Task'!Y$12)+SUMIFS('Option Period 1'!51:51,'Option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1" s="16" t="e">
        <f>SUMIFS('Base Period'!51:51,'Base Period'!$28:$28,'Budget by Task'!Z$6, 'Base Period'!$32:$32, 'Budget by Task'!Z$12)+SUMIFS('Option Period 1'!51:51,'Option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1" s="15" t="e">
        <f>SUMIFS('Base Period'!51:51,'Base Period'!$29:$29,'Budget by Task'!AA$7:AB$7, 'Base Period'!$32:$32, 'Budget by Task'!AA$12)+SUMIFS('Option Period 1'!51:51,'Option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1" s="16" t="e">
        <f>SUMIFS('Base Period'!51:51,'Base Period'!$28:$28,'Budget by Task'!AB$6, 'Base Period'!$32:$32, 'Budget by Task'!AB$12)+SUMIFS('Option Period 1'!51:51,'Option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1" s="15" t="e">
        <f>SUMIFS('Base Period'!51:51,'Base Period'!$29:$29,'Budget by Task'!AC$7:AD$7, 'Base Period'!$32:$32, 'Budget by Task'!AC$12)+SUMIFS('Option Period 1'!51:51,'Option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1" s="16" t="e">
        <f>SUMIFS('Base Period'!51:51,'Base Period'!$28:$28,'Budget by Task'!AD$6, 'Base Period'!$32:$32, 'Budget by Task'!AD$12)+SUMIFS('Option Period 1'!51:51,'Option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1" s="15" t="e">
        <f>SUMIFS('Base Period'!51:51,'Base Period'!$29:$29,'Budget by Task'!AE$7:AF$7, 'Base Period'!$32:$32, 'Budget by Task'!AE$12)+SUMIFS('Option Period 1'!51:51,'Option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1" s="16" t="e">
        <f>SUMIFS('Base Period'!51:51,'Base Period'!$28:$28,'Budget by Task'!AF$6, 'Base Period'!$32:$32, 'Budget by Task'!AF$12)+SUMIFS('Option Period 1'!51:51,'Option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1" s="15" t="e">
        <f>SUMIFS('Base Period'!51:51,'Base Period'!$29:$29,'Budget by Task'!AG$7:AH$7, 'Base Period'!$32:$32, 'Budget by Task'!AG$12)+SUMIFS('Option Period 1'!51:51,'Option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1" s="16" t="e">
        <f>SUMIFS('Base Period'!51:51,'Base Period'!$28:$28,'Budget by Task'!AH$6, 'Base Period'!$32:$32, 'Budget by Task'!AH$12)+SUMIFS('Option Period 1'!51:51,'Option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1" s="1" t="e">
        <f>SUMIFS('Base Period'!51:51,'Base Period'!$29:$29,'Budget by Task'!AI$7)+SUMIFS('Option Period 1'!51:51,'Option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1" s="11" t="e">
        <f>SUMIFS('Base Period'!51:51,'Base Period'!$29:$29,'Budget by Task'!AJ$7)+SUMIFS('Option Period 1'!51:51,'Option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1" s="151" t="e">
        <f>ROUND(AJ31-'Base Period'!BN51-'Option Period 1'!BN51-#REF!-#REF!-#REF!-#REF!-#REF!-#REF!-#REF!-#REF!,0)</f>
        <v>#REF!</v>
      </c>
    </row>
    <row r="32" spans="2:39" ht="15.75" x14ac:dyDescent="0.25">
      <c r="B32" s="6" t="str">
        <f>'Base Period'!B52</f>
        <v>Name</v>
      </c>
      <c r="C32" s="15" t="e">
        <f>SUMIFS('Base Period'!52:52,'Base Period'!$29:$29,'Budget by Task'!C$7:D$7, 'Base Period'!$32:$32, 'Budget by Task'!C$12)+SUMIFS('Option Period 1'!52:52,'Option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2" s="16" t="e">
        <f>SUMIFS('Base Period'!52:52,'Base Period'!$28:$28,'Budget by Task'!D$6, 'Base Period'!$32:$32, 'Budget by Task'!D$12)+SUMIFS('Option Period 1'!52:52,'Option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2" s="15" t="e">
        <f>SUMIFS('Base Period'!52:52,'Base Period'!$29:$29,'Budget by Task'!E$7:F$7, 'Base Period'!$32:$32, 'Budget by Task'!E$12)+SUMIFS('Option Period 1'!52:52,'Option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2" s="16" t="e">
        <f>SUMIFS('Base Period'!52:52,'Base Period'!$28:$28,'Budget by Task'!F$6, 'Base Period'!$32:$32, 'Budget by Task'!F$12)+SUMIFS('Option Period 1'!52:52,'Option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2" s="15" t="e">
        <f>SUMIFS('Base Period'!52:52,'Base Period'!$29:$29,'Budget by Task'!G$7:H$7, 'Base Period'!$32:$32, 'Budget by Task'!G$12)+SUMIFS('Option Period 1'!52:52,'Option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2" s="16" t="e">
        <f>SUMIFS('Base Period'!52:52,'Base Period'!$28:$28,'Budget by Task'!H$6, 'Base Period'!$32:$32, 'Budget by Task'!H$12)+SUMIFS('Option Period 1'!52:52,'Option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2" s="15" t="e">
        <f>SUMIFS('Base Period'!52:52,'Base Period'!$29:$29,'Budget by Task'!I$7:J$7, 'Base Period'!$32:$32, 'Budget by Task'!I$12)+SUMIFS('Option Period 1'!52:52,'Option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2" s="16" t="e">
        <f>SUMIFS('Base Period'!52:52,'Base Period'!$28:$28,'Budget by Task'!J$6, 'Base Period'!$32:$32, 'Budget by Task'!J$12)+SUMIFS('Option Period 1'!52:52,'Option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2" s="15" t="e">
        <f>SUMIFS('Base Period'!52:52,'Base Period'!$29:$29,'Budget by Task'!K$7:L$7, 'Base Period'!$32:$32, 'Budget by Task'!K$12)+SUMIFS('Option Period 1'!52:52,'Option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2" s="16" t="e">
        <f>SUMIFS('Base Period'!52:52,'Base Period'!$28:$28,'Budget by Task'!L$6, 'Base Period'!$32:$32, 'Budget by Task'!L$12)+SUMIFS('Option Period 1'!52:52,'Option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2" s="15" t="e">
        <f>SUMIFS('Base Period'!52:52,'Base Period'!$29:$29,'Budget by Task'!M$7:N$7, 'Base Period'!$32:$32, 'Budget by Task'!M$12)+SUMIFS('Option Period 1'!52:52,'Option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2" s="16" t="e">
        <f>SUMIFS('Base Period'!52:52,'Base Period'!$28:$28,'Budget by Task'!N$6, 'Base Period'!$32:$32, 'Budget by Task'!N$12)+SUMIFS('Option Period 1'!52:52,'Option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2" s="15" t="e">
        <f>SUMIFS('Base Period'!52:52,'Base Period'!$29:$29,'Budget by Task'!O$7:P$7, 'Base Period'!$32:$32, 'Budget by Task'!O$12)+SUMIFS('Option Period 1'!52:52,'Option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2" s="16" t="e">
        <f>SUMIFS('Base Period'!52:52,'Base Period'!$28:$28,'Budget by Task'!P$6, 'Base Period'!$32:$32, 'Budget by Task'!P$12)+SUMIFS('Option Period 1'!52:52,'Option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2" s="15" t="e">
        <f>SUMIFS('Base Period'!52:52,'Base Period'!$29:$29,'Budget by Task'!Q$7:R$7, 'Base Period'!$32:$32, 'Budget by Task'!Q$12)+SUMIFS('Option Period 1'!52:52,'Option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2" s="16" t="e">
        <f>SUMIFS('Base Period'!52:52,'Base Period'!$28:$28,'Budget by Task'!R$6, 'Base Period'!$32:$32, 'Budget by Task'!R$12)+SUMIFS('Option Period 1'!52:52,'Option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2" s="15" t="e">
        <f>SUMIFS('Base Period'!52:52,'Base Period'!$29:$29,'Budget by Task'!S$7:T$7, 'Base Period'!$32:$32, 'Budget by Task'!S$12)+SUMIFS('Option Period 1'!52:52,'Option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2" s="16" t="e">
        <f>SUMIFS('Base Period'!52:52,'Base Period'!$28:$28,'Budget by Task'!T$6, 'Base Period'!$32:$32, 'Budget by Task'!T$12)+SUMIFS('Option Period 1'!52:52,'Option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2" s="15" t="e">
        <f>SUMIFS('Base Period'!52:52,'Base Period'!$29:$29,'Budget by Task'!U$7:V$7, 'Base Period'!$32:$32, 'Budget by Task'!U$12)+SUMIFS('Option Period 1'!52:52,'Option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2" s="16" t="e">
        <f>SUMIFS('Base Period'!52:52,'Base Period'!$28:$28,'Budget by Task'!V$6, 'Base Period'!$32:$32, 'Budget by Task'!V$12)+SUMIFS('Option Period 1'!52:52,'Option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2" s="15" t="e">
        <f>SUMIFS('Base Period'!52:52,'Base Period'!$29:$29,'Budget by Task'!W$7:X$7, 'Base Period'!$32:$32, 'Budget by Task'!W$12)+SUMIFS('Option Period 1'!52:52,'Option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2" s="16" t="e">
        <f>SUMIFS('Base Period'!52:52,'Base Period'!$28:$28,'Budget by Task'!X$6, 'Base Period'!$32:$32, 'Budget by Task'!X$12)+SUMIFS('Option Period 1'!52:52,'Option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2" s="15" t="e">
        <f>SUMIFS('Base Period'!52:52,'Base Period'!$29:$29,'Budget by Task'!Y$7:Z$7, 'Base Period'!$32:$32, 'Budget by Task'!Y$12)+SUMIFS('Option Period 1'!52:52,'Option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2" s="16" t="e">
        <f>SUMIFS('Base Period'!52:52,'Base Period'!$28:$28,'Budget by Task'!Z$6, 'Base Period'!$32:$32, 'Budget by Task'!Z$12)+SUMIFS('Option Period 1'!52:52,'Option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2" s="15" t="e">
        <f>SUMIFS('Base Period'!52:52,'Base Period'!$29:$29,'Budget by Task'!AA$7:AB$7, 'Base Period'!$32:$32, 'Budget by Task'!AA$12)+SUMIFS('Option Period 1'!52:52,'Option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2" s="16" t="e">
        <f>SUMIFS('Base Period'!52:52,'Base Period'!$28:$28,'Budget by Task'!AB$6, 'Base Period'!$32:$32, 'Budget by Task'!AB$12)+SUMIFS('Option Period 1'!52:52,'Option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2" s="15" t="e">
        <f>SUMIFS('Base Period'!52:52,'Base Period'!$29:$29,'Budget by Task'!AC$7:AD$7, 'Base Period'!$32:$32, 'Budget by Task'!AC$12)+SUMIFS('Option Period 1'!52:52,'Option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2" s="16" t="e">
        <f>SUMIFS('Base Period'!52:52,'Base Period'!$28:$28,'Budget by Task'!AD$6, 'Base Period'!$32:$32, 'Budget by Task'!AD$12)+SUMIFS('Option Period 1'!52:52,'Option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2" s="15" t="e">
        <f>SUMIFS('Base Period'!52:52,'Base Period'!$29:$29,'Budget by Task'!AE$7:AF$7, 'Base Period'!$32:$32, 'Budget by Task'!AE$12)+SUMIFS('Option Period 1'!52:52,'Option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2" s="16" t="e">
        <f>SUMIFS('Base Period'!52:52,'Base Period'!$28:$28,'Budget by Task'!AF$6, 'Base Period'!$32:$32, 'Budget by Task'!AF$12)+SUMIFS('Option Period 1'!52:52,'Option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2" s="15" t="e">
        <f>SUMIFS('Base Period'!52:52,'Base Period'!$29:$29,'Budget by Task'!AG$7:AH$7, 'Base Period'!$32:$32, 'Budget by Task'!AG$12)+SUMIFS('Option Period 1'!52:52,'Option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2" s="16" t="e">
        <f>SUMIFS('Base Period'!52:52,'Base Period'!$28:$28,'Budget by Task'!AH$6, 'Base Period'!$32:$32, 'Budget by Task'!AH$12)+SUMIFS('Option Period 1'!52:52,'Option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2" s="1" t="e">
        <f>SUMIFS('Base Period'!52:52,'Base Period'!$29:$29,'Budget by Task'!AI$7)+SUMIFS('Option Period 1'!52:52,'Option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2" s="11" t="e">
        <f>SUMIFS('Base Period'!52:52,'Base Period'!$29:$29,'Budget by Task'!AJ$7)+SUMIFS('Option Period 1'!52:52,'Option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2" s="151" t="e">
        <f>ROUND(AJ32-'Base Period'!BN52-'Option Period 1'!BN52-#REF!-#REF!-#REF!-#REF!-#REF!-#REF!-#REF!-#REF!,0)</f>
        <v>#REF!</v>
      </c>
    </row>
    <row r="33" spans="2:39" ht="15.75" x14ac:dyDescent="0.25">
      <c r="B33" s="6" t="str">
        <f>'Base Period'!B53</f>
        <v>Name</v>
      </c>
      <c r="C33" s="15" t="e">
        <f>SUMIFS('Base Period'!53:53,'Base Period'!$29:$29,'Budget by Task'!C$7:D$7, 'Base Period'!$32:$32, 'Budget by Task'!C$12)+SUMIFS('Option Period 1'!53:53,'Option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3" s="16" t="e">
        <f>SUMIFS('Base Period'!53:53,'Base Period'!$28:$28,'Budget by Task'!D$6, 'Base Period'!$32:$32, 'Budget by Task'!D$12)+SUMIFS('Option Period 1'!53:53,'Option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3" s="15" t="e">
        <f>SUMIFS('Base Period'!53:53,'Base Period'!$29:$29,'Budget by Task'!E$7:F$7, 'Base Period'!$32:$32, 'Budget by Task'!E$12)+SUMIFS('Option Period 1'!53:53,'Option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3" s="16" t="e">
        <f>SUMIFS('Base Period'!53:53,'Base Period'!$28:$28,'Budget by Task'!F$6, 'Base Period'!$32:$32, 'Budget by Task'!F$12)+SUMIFS('Option Period 1'!53:53,'Option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3" s="15" t="e">
        <f>SUMIFS('Base Period'!53:53,'Base Period'!$29:$29,'Budget by Task'!G$7:H$7, 'Base Period'!$32:$32, 'Budget by Task'!G$12)+SUMIFS('Option Period 1'!53:53,'Option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3" s="16" t="e">
        <f>SUMIFS('Base Period'!53:53,'Base Period'!$28:$28,'Budget by Task'!H$6, 'Base Period'!$32:$32, 'Budget by Task'!H$12)+SUMIFS('Option Period 1'!53:53,'Option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3" s="15" t="e">
        <f>SUMIFS('Base Period'!53:53,'Base Period'!$29:$29,'Budget by Task'!I$7:J$7, 'Base Period'!$32:$32, 'Budget by Task'!I$12)+SUMIFS('Option Period 1'!53:53,'Option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3" s="16" t="e">
        <f>SUMIFS('Base Period'!53:53,'Base Period'!$28:$28,'Budget by Task'!J$6, 'Base Period'!$32:$32, 'Budget by Task'!J$12)+SUMIFS('Option Period 1'!53:53,'Option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3" s="15" t="e">
        <f>SUMIFS('Base Period'!53:53,'Base Period'!$29:$29,'Budget by Task'!K$7:L$7, 'Base Period'!$32:$32, 'Budget by Task'!K$12)+SUMIFS('Option Period 1'!53:53,'Option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3" s="16" t="e">
        <f>SUMIFS('Base Period'!53:53,'Base Period'!$28:$28,'Budget by Task'!L$6, 'Base Period'!$32:$32, 'Budget by Task'!L$12)+SUMIFS('Option Period 1'!53:53,'Option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3" s="15" t="e">
        <f>SUMIFS('Base Period'!53:53,'Base Period'!$29:$29,'Budget by Task'!M$7:N$7, 'Base Period'!$32:$32, 'Budget by Task'!M$12)+SUMIFS('Option Period 1'!53:53,'Option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3" s="16" t="e">
        <f>SUMIFS('Base Period'!53:53,'Base Period'!$28:$28,'Budget by Task'!N$6, 'Base Period'!$32:$32, 'Budget by Task'!N$12)+SUMIFS('Option Period 1'!53:53,'Option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3" s="15" t="e">
        <f>SUMIFS('Base Period'!53:53,'Base Period'!$29:$29,'Budget by Task'!O$7:P$7, 'Base Period'!$32:$32, 'Budget by Task'!O$12)+SUMIFS('Option Period 1'!53:53,'Option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3" s="16" t="e">
        <f>SUMIFS('Base Period'!53:53,'Base Period'!$28:$28,'Budget by Task'!P$6, 'Base Period'!$32:$32, 'Budget by Task'!P$12)+SUMIFS('Option Period 1'!53:53,'Option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3" s="15" t="e">
        <f>SUMIFS('Base Period'!53:53,'Base Period'!$29:$29,'Budget by Task'!Q$7:R$7, 'Base Period'!$32:$32, 'Budget by Task'!Q$12)+SUMIFS('Option Period 1'!53:53,'Option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3" s="16" t="e">
        <f>SUMIFS('Base Period'!53:53,'Base Period'!$28:$28,'Budget by Task'!R$6, 'Base Period'!$32:$32, 'Budget by Task'!R$12)+SUMIFS('Option Period 1'!53:53,'Option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3" s="15" t="e">
        <f>SUMIFS('Base Period'!53:53,'Base Period'!$29:$29,'Budget by Task'!S$7:T$7, 'Base Period'!$32:$32, 'Budget by Task'!S$12)+SUMIFS('Option Period 1'!53:53,'Option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3" s="16" t="e">
        <f>SUMIFS('Base Period'!53:53,'Base Period'!$28:$28,'Budget by Task'!T$6, 'Base Period'!$32:$32, 'Budget by Task'!T$12)+SUMIFS('Option Period 1'!53:53,'Option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3" s="15" t="e">
        <f>SUMIFS('Base Period'!53:53,'Base Period'!$29:$29,'Budget by Task'!U$7:V$7, 'Base Period'!$32:$32, 'Budget by Task'!U$12)+SUMIFS('Option Period 1'!53:53,'Option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3" s="16" t="e">
        <f>SUMIFS('Base Period'!53:53,'Base Period'!$28:$28,'Budget by Task'!V$6, 'Base Period'!$32:$32, 'Budget by Task'!V$12)+SUMIFS('Option Period 1'!53:53,'Option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3" s="15" t="e">
        <f>SUMIFS('Base Period'!53:53,'Base Period'!$29:$29,'Budget by Task'!W$7:X$7, 'Base Period'!$32:$32, 'Budget by Task'!W$12)+SUMIFS('Option Period 1'!53:53,'Option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3" s="16" t="e">
        <f>SUMIFS('Base Period'!53:53,'Base Period'!$28:$28,'Budget by Task'!X$6, 'Base Period'!$32:$32, 'Budget by Task'!X$12)+SUMIFS('Option Period 1'!53:53,'Option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3" s="15" t="e">
        <f>SUMIFS('Base Period'!53:53,'Base Period'!$29:$29,'Budget by Task'!Y$7:Z$7, 'Base Period'!$32:$32, 'Budget by Task'!Y$12)+SUMIFS('Option Period 1'!53:53,'Option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3" s="16" t="e">
        <f>SUMIFS('Base Period'!53:53,'Base Period'!$28:$28,'Budget by Task'!Z$6, 'Base Period'!$32:$32, 'Budget by Task'!Z$12)+SUMIFS('Option Period 1'!53:53,'Option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3" s="15" t="e">
        <f>SUMIFS('Base Period'!53:53,'Base Period'!$29:$29,'Budget by Task'!AA$7:AB$7, 'Base Period'!$32:$32, 'Budget by Task'!AA$12)+SUMIFS('Option Period 1'!53:53,'Option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3" s="16" t="e">
        <f>SUMIFS('Base Period'!53:53,'Base Period'!$28:$28,'Budget by Task'!AB$6, 'Base Period'!$32:$32, 'Budget by Task'!AB$12)+SUMIFS('Option Period 1'!53:53,'Option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3" s="15" t="e">
        <f>SUMIFS('Base Period'!53:53,'Base Period'!$29:$29,'Budget by Task'!AC$7:AD$7, 'Base Period'!$32:$32, 'Budget by Task'!AC$12)+SUMIFS('Option Period 1'!53:53,'Option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3" s="16" t="e">
        <f>SUMIFS('Base Period'!53:53,'Base Period'!$28:$28,'Budget by Task'!AD$6, 'Base Period'!$32:$32, 'Budget by Task'!AD$12)+SUMIFS('Option Period 1'!53:53,'Option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3" s="15" t="e">
        <f>SUMIFS('Base Period'!53:53,'Base Period'!$29:$29,'Budget by Task'!AE$7:AF$7, 'Base Period'!$32:$32, 'Budget by Task'!AE$12)+SUMIFS('Option Period 1'!53:53,'Option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3" s="16" t="e">
        <f>SUMIFS('Base Period'!53:53,'Base Period'!$28:$28,'Budget by Task'!AF$6, 'Base Period'!$32:$32, 'Budget by Task'!AF$12)+SUMIFS('Option Period 1'!53:53,'Option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3" s="15" t="e">
        <f>SUMIFS('Base Period'!53:53,'Base Period'!$29:$29,'Budget by Task'!AG$7:AH$7, 'Base Period'!$32:$32, 'Budget by Task'!AG$12)+SUMIFS('Option Period 1'!53:53,'Option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3" s="16" t="e">
        <f>SUMIFS('Base Period'!53:53,'Base Period'!$28:$28,'Budget by Task'!AH$6, 'Base Period'!$32:$32, 'Budget by Task'!AH$12)+SUMIFS('Option Period 1'!53:53,'Option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3" s="1" t="e">
        <f>SUMIFS('Base Period'!53:53,'Base Period'!$29:$29,'Budget by Task'!AI$7)+SUMIFS('Option Period 1'!53:53,'Option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3" s="11" t="e">
        <f>SUMIFS('Base Period'!53:53,'Base Period'!$29:$29,'Budget by Task'!AJ$7)+SUMIFS('Option Period 1'!53:53,'Option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3" s="151" t="e">
        <f>ROUND(AJ33-'Base Period'!BN53-'Option Period 1'!BN53-#REF!-#REF!-#REF!-#REF!-#REF!-#REF!-#REF!-#REF!,0)</f>
        <v>#REF!</v>
      </c>
    </row>
    <row r="34" spans="2:39" ht="15.75" x14ac:dyDescent="0.25">
      <c r="B34" s="6" t="str">
        <f>'Base Period'!B54</f>
        <v>Name</v>
      </c>
      <c r="C34" s="15" t="e">
        <f>SUMIFS('Base Period'!54:54,'Base Period'!$29:$29,'Budget by Task'!C$7:D$7, 'Base Period'!$32:$32, 'Budget by Task'!C$12)+SUMIFS('Option Period 1'!54:54,'Option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4" s="16" t="e">
        <f>SUMIFS('Base Period'!54:54,'Base Period'!$28:$28,'Budget by Task'!D$6, 'Base Period'!$32:$32, 'Budget by Task'!D$12)+SUMIFS('Option Period 1'!54:54,'Option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4" s="15" t="e">
        <f>SUMIFS('Base Period'!54:54,'Base Period'!$29:$29,'Budget by Task'!E$7:F$7, 'Base Period'!$32:$32, 'Budget by Task'!E$12)+SUMIFS('Option Period 1'!54:54,'Option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4" s="16" t="e">
        <f>SUMIFS('Base Period'!54:54,'Base Period'!$28:$28,'Budget by Task'!F$6, 'Base Period'!$32:$32, 'Budget by Task'!F$12)+SUMIFS('Option Period 1'!54:54,'Option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4" s="15" t="e">
        <f>SUMIFS('Base Period'!54:54,'Base Period'!$29:$29,'Budget by Task'!G$7:H$7, 'Base Period'!$32:$32, 'Budget by Task'!G$12)+SUMIFS('Option Period 1'!54:54,'Option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4" s="16" t="e">
        <f>SUMIFS('Base Period'!54:54,'Base Period'!$28:$28,'Budget by Task'!H$6, 'Base Period'!$32:$32, 'Budget by Task'!H$12)+SUMIFS('Option Period 1'!54:54,'Option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4" s="15" t="e">
        <f>SUMIFS('Base Period'!54:54,'Base Period'!$29:$29,'Budget by Task'!I$7:J$7, 'Base Period'!$32:$32, 'Budget by Task'!I$12)+SUMIFS('Option Period 1'!54:54,'Option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4" s="16" t="e">
        <f>SUMIFS('Base Period'!54:54,'Base Period'!$28:$28,'Budget by Task'!J$6, 'Base Period'!$32:$32, 'Budget by Task'!J$12)+SUMIFS('Option Period 1'!54:54,'Option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4" s="15" t="e">
        <f>SUMIFS('Base Period'!54:54,'Base Period'!$29:$29,'Budget by Task'!K$7:L$7, 'Base Period'!$32:$32, 'Budget by Task'!K$12)+SUMIFS('Option Period 1'!54:54,'Option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4" s="16" t="e">
        <f>SUMIFS('Base Period'!54:54,'Base Period'!$28:$28,'Budget by Task'!L$6, 'Base Period'!$32:$32, 'Budget by Task'!L$12)+SUMIFS('Option Period 1'!54:54,'Option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4" s="15" t="e">
        <f>SUMIFS('Base Period'!54:54,'Base Period'!$29:$29,'Budget by Task'!M$7:N$7, 'Base Period'!$32:$32, 'Budget by Task'!M$12)+SUMIFS('Option Period 1'!54:54,'Option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4" s="16" t="e">
        <f>SUMIFS('Base Period'!54:54,'Base Period'!$28:$28,'Budget by Task'!N$6, 'Base Period'!$32:$32, 'Budget by Task'!N$12)+SUMIFS('Option Period 1'!54:54,'Option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4" s="15" t="e">
        <f>SUMIFS('Base Period'!54:54,'Base Period'!$29:$29,'Budget by Task'!O$7:P$7, 'Base Period'!$32:$32, 'Budget by Task'!O$12)+SUMIFS('Option Period 1'!54:54,'Option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4" s="16" t="e">
        <f>SUMIFS('Base Period'!54:54,'Base Period'!$28:$28,'Budget by Task'!P$6, 'Base Period'!$32:$32, 'Budget by Task'!P$12)+SUMIFS('Option Period 1'!54:54,'Option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4" s="15" t="e">
        <f>SUMIFS('Base Period'!54:54,'Base Period'!$29:$29,'Budget by Task'!Q$7:R$7, 'Base Period'!$32:$32, 'Budget by Task'!Q$12)+SUMIFS('Option Period 1'!54:54,'Option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4" s="16" t="e">
        <f>SUMIFS('Base Period'!54:54,'Base Period'!$28:$28,'Budget by Task'!R$6, 'Base Period'!$32:$32, 'Budget by Task'!R$12)+SUMIFS('Option Period 1'!54:54,'Option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4" s="15" t="e">
        <f>SUMIFS('Base Period'!54:54,'Base Period'!$29:$29,'Budget by Task'!S$7:T$7, 'Base Period'!$32:$32, 'Budget by Task'!S$12)+SUMIFS('Option Period 1'!54:54,'Option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4" s="16" t="e">
        <f>SUMIFS('Base Period'!54:54,'Base Period'!$28:$28,'Budget by Task'!T$6, 'Base Period'!$32:$32, 'Budget by Task'!T$12)+SUMIFS('Option Period 1'!54:54,'Option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4" s="15" t="e">
        <f>SUMIFS('Base Period'!54:54,'Base Period'!$29:$29,'Budget by Task'!U$7:V$7, 'Base Period'!$32:$32, 'Budget by Task'!U$12)+SUMIFS('Option Period 1'!54:54,'Option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4" s="16" t="e">
        <f>SUMIFS('Base Period'!54:54,'Base Period'!$28:$28,'Budget by Task'!V$6, 'Base Period'!$32:$32, 'Budget by Task'!V$12)+SUMIFS('Option Period 1'!54:54,'Option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4" s="15" t="e">
        <f>SUMIFS('Base Period'!54:54,'Base Period'!$29:$29,'Budget by Task'!W$7:X$7, 'Base Period'!$32:$32, 'Budget by Task'!W$12)+SUMIFS('Option Period 1'!54:54,'Option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4" s="16" t="e">
        <f>SUMIFS('Base Period'!54:54,'Base Period'!$28:$28,'Budget by Task'!X$6, 'Base Period'!$32:$32, 'Budget by Task'!X$12)+SUMIFS('Option Period 1'!54:54,'Option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4" s="15" t="e">
        <f>SUMIFS('Base Period'!54:54,'Base Period'!$29:$29,'Budget by Task'!Y$7:Z$7, 'Base Period'!$32:$32, 'Budget by Task'!Y$12)+SUMIFS('Option Period 1'!54:54,'Option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4" s="16" t="e">
        <f>SUMIFS('Base Period'!54:54,'Base Period'!$28:$28,'Budget by Task'!Z$6, 'Base Period'!$32:$32, 'Budget by Task'!Z$12)+SUMIFS('Option Period 1'!54:54,'Option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4" s="15" t="e">
        <f>SUMIFS('Base Period'!54:54,'Base Period'!$29:$29,'Budget by Task'!AA$7:AB$7, 'Base Period'!$32:$32, 'Budget by Task'!AA$12)+SUMIFS('Option Period 1'!54:54,'Option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4" s="16" t="e">
        <f>SUMIFS('Base Period'!54:54,'Base Period'!$28:$28,'Budget by Task'!AB$6, 'Base Period'!$32:$32, 'Budget by Task'!AB$12)+SUMIFS('Option Period 1'!54:54,'Option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4" s="15" t="e">
        <f>SUMIFS('Base Period'!54:54,'Base Period'!$29:$29,'Budget by Task'!AC$7:AD$7, 'Base Period'!$32:$32, 'Budget by Task'!AC$12)+SUMIFS('Option Period 1'!54:54,'Option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4" s="16" t="e">
        <f>SUMIFS('Base Period'!54:54,'Base Period'!$28:$28,'Budget by Task'!AD$6, 'Base Period'!$32:$32, 'Budget by Task'!AD$12)+SUMIFS('Option Period 1'!54:54,'Option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4" s="15" t="e">
        <f>SUMIFS('Base Period'!54:54,'Base Period'!$29:$29,'Budget by Task'!AE$7:AF$7, 'Base Period'!$32:$32, 'Budget by Task'!AE$12)+SUMIFS('Option Period 1'!54:54,'Option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4" s="16" t="e">
        <f>SUMIFS('Base Period'!54:54,'Base Period'!$28:$28,'Budget by Task'!AF$6, 'Base Period'!$32:$32, 'Budget by Task'!AF$12)+SUMIFS('Option Period 1'!54:54,'Option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4" s="15" t="e">
        <f>SUMIFS('Base Period'!54:54,'Base Period'!$29:$29,'Budget by Task'!AG$7:AH$7, 'Base Period'!$32:$32, 'Budget by Task'!AG$12)+SUMIFS('Option Period 1'!54:54,'Option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4" s="16" t="e">
        <f>SUMIFS('Base Period'!54:54,'Base Period'!$28:$28,'Budget by Task'!AH$6, 'Base Period'!$32:$32, 'Budget by Task'!AH$12)+SUMIFS('Option Period 1'!54:54,'Option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4" s="1" t="e">
        <f>SUMIFS('Base Period'!54:54,'Base Period'!$29:$29,'Budget by Task'!AI$7)+SUMIFS('Option Period 1'!54:54,'Option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4" s="11" t="e">
        <f>SUMIFS('Base Period'!54:54,'Base Period'!$29:$29,'Budget by Task'!AJ$7)+SUMIFS('Option Period 1'!54:54,'Option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4" s="151" t="e">
        <f>ROUND(AJ34-'Base Period'!BN54-'Option Period 1'!BN54-#REF!-#REF!-#REF!-#REF!-#REF!-#REF!-#REF!-#REF!,0)</f>
        <v>#REF!</v>
      </c>
    </row>
    <row r="35" spans="2:39" ht="15.75" x14ac:dyDescent="0.25">
      <c r="B35" s="6" t="str">
        <f>'Base Period'!B55</f>
        <v>Name</v>
      </c>
      <c r="C35" s="15" t="e">
        <f>SUMIFS('Base Period'!55:55,'Base Period'!$29:$29,'Budget by Task'!C$7:D$7, 'Base Period'!$32:$32, 'Budget by Task'!C$12)+SUMIFS('Option Period 1'!55:55,'Option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5" s="16" t="e">
        <f>SUMIFS('Base Period'!55:55,'Base Period'!$28:$28,'Budget by Task'!D$6, 'Base Period'!$32:$32, 'Budget by Task'!D$12)+SUMIFS('Option Period 1'!55:55,'Option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5" s="15" t="e">
        <f>SUMIFS('Base Period'!55:55,'Base Period'!$29:$29,'Budget by Task'!E$7:F$7, 'Base Period'!$32:$32, 'Budget by Task'!E$12)+SUMIFS('Option Period 1'!55:55,'Option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5" s="16" t="e">
        <f>SUMIFS('Base Period'!55:55,'Base Period'!$28:$28,'Budget by Task'!F$6, 'Base Period'!$32:$32, 'Budget by Task'!F$12)+SUMIFS('Option Period 1'!55:55,'Option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5" s="15" t="e">
        <f>SUMIFS('Base Period'!55:55,'Base Period'!$29:$29,'Budget by Task'!G$7:H$7, 'Base Period'!$32:$32, 'Budget by Task'!G$12)+SUMIFS('Option Period 1'!55:55,'Option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5" s="16" t="e">
        <f>SUMIFS('Base Period'!55:55,'Base Period'!$28:$28,'Budget by Task'!H$6, 'Base Period'!$32:$32, 'Budget by Task'!H$12)+SUMIFS('Option Period 1'!55:55,'Option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5" s="15" t="e">
        <f>SUMIFS('Base Period'!55:55,'Base Period'!$29:$29,'Budget by Task'!I$7:J$7, 'Base Period'!$32:$32, 'Budget by Task'!I$12)+SUMIFS('Option Period 1'!55:55,'Option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5" s="16" t="e">
        <f>SUMIFS('Base Period'!55:55,'Base Period'!$28:$28,'Budget by Task'!J$6, 'Base Period'!$32:$32, 'Budget by Task'!J$12)+SUMIFS('Option Period 1'!55:55,'Option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5" s="15" t="e">
        <f>SUMIFS('Base Period'!55:55,'Base Period'!$29:$29,'Budget by Task'!K$7:L$7, 'Base Period'!$32:$32, 'Budget by Task'!K$12)+SUMIFS('Option Period 1'!55:55,'Option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5" s="16" t="e">
        <f>SUMIFS('Base Period'!55:55,'Base Period'!$28:$28,'Budget by Task'!L$6, 'Base Period'!$32:$32, 'Budget by Task'!L$12)+SUMIFS('Option Period 1'!55:55,'Option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5" s="15" t="e">
        <f>SUMIFS('Base Period'!55:55,'Base Period'!$29:$29,'Budget by Task'!M$7:N$7, 'Base Period'!$32:$32, 'Budget by Task'!M$12)+SUMIFS('Option Period 1'!55:55,'Option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5" s="16" t="e">
        <f>SUMIFS('Base Period'!55:55,'Base Period'!$28:$28,'Budget by Task'!N$6, 'Base Period'!$32:$32, 'Budget by Task'!N$12)+SUMIFS('Option Period 1'!55:55,'Option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5" s="15" t="e">
        <f>SUMIFS('Base Period'!55:55,'Base Period'!$29:$29,'Budget by Task'!O$7:P$7, 'Base Period'!$32:$32, 'Budget by Task'!O$12)+SUMIFS('Option Period 1'!55:55,'Option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5" s="16" t="e">
        <f>SUMIFS('Base Period'!55:55,'Base Period'!$28:$28,'Budget by Task'!P$6, 'Base Period'!$32:$32, 'Budget by Task'!P$12)+SUMIFS('Option Period 1'!55:55,'Option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5" s="15" t="e">
        <f>SUMIFS('Base Period'!55:55,'Base Period'!$29:$29,'Budget by Task'!Q$7:R$7, 'Base Period'!$32:$32, 'Budget by Task'!Q$12)+SUMIFS('Option Period 1'!55:55,'Option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5" s="16" t="e">
        <f>SUMIFS('Base Period'!55:55,'Base Period'!$28:$28,'Budget by Task'!R$6, 'Base Period'!$32:$32, 'Budget by Task'!R$12)+SUMIFS('Option Period 1'!55:55,'Option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5" s="15" t="e">
        <f>SUMIFS('Base Period'!55:55,'Base Period'!$29:$29,'Budget by Task'!S$7:T$7, 'Base Period'!$32:$32, 'Budget by Task'!S$12)+SUMIFS('Option Period 1'!55:55,'Option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5" s="16" t="e">
        <f>SUMIFS('Base Period'!55:55,'Base Period'!$28:$28,'Budget by Task'!T$6, 'Base Period'!$32:$32, 'Budget by Task'!T$12)+SUMIFS('Option Period 1'!55:55,'Option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5" s="15" t="e">
        <f>SUMIFS('Base Period'!55:55,'Base Period'!$29:$29,'Budget by Task'!U$7:V$7, 'Base Period'!$32:$32, 'Budget by Task'!U$12)+SUMIFS('Option Period 1'!55:55,'Option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5" s="16" t="e">
        <f>SUMIFS('Base Period'!55:55,'Base Period'!$28:$28,'Budget by Task'!V$6, 'Base Period'!$32:$32, 'Budget by Task'!V$12)+SUMIFS('Option Period 1'!55:55,'Option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5" s="15" t="e">
        <f>SUMIFS('Base Period'!55:55,'Base Period'!$29:$29,'Budget by Task'!W$7:X$7, 'Base Period'!$32:$32, 'Budget by Task'!W$12)+SUMIFS('Option Period 1'!55:55,'Option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5" s="16" t="e">
        <f>SUMIFS('Base Period'!55:55,'Base Period'!$28:$28,'Budget by Task'!X$6, 'Base Period'!$32:$32, 'Budget by Task'!X$12)+SUMIFS('Option Period 1'!55:55,'Option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5" s="15" t="e">
        <f>SUMIFS('Base Period'!55:55,'Base Period'!$29:$29,'Budget by Task'!Y$7:Z$7, 'Base Period'!$32:$32, 'Budget by Task'!Y$12)+SUMIFS('Option Period 1'!55:55,'Option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5" s="16" t="e">
        <f>SUMIFS('Base Period'!55:55,'Base Period'!$28:$28,'Budget by Task'!Z$6, 'Base Period'!$32:$32, 'Budget by Task'!Z$12)+SUMIFS('Option Period 1'!55:55,'Option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5" s="15" t="e">
        <f>SUMIFS('Base Period'!55:55,'Base Period'!$29:$29,'Budget by Task'!AA$7:AB$7, 'Base Period'!$32:$32, 'Budget by Task'!AA$12)+SUMIFS('Option Period 1'!55:55,'Option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5" s="16" t="e">
        <f>SUMIFS('Base Period'!55:55,'Base Period'!$28:$28,'Budget by Task'!AB$6, 'Base Period'!$32:$32, 'Budget by Task'!AB$12)+SUMIFS('Option Period 1'!55:55,'Option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5" s="15" t="e">
        <f>SUMIFS('Base Period'!55:55,'Base Period'!$29:$29,'Budget by Task'!AC$7:AD$7, 'Base Period'!$32:$32, 'Budget by Task'!AC$12)+SUMIFS('Option Period 1'!55:55,'Option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5" s="16" t="e">
        <f>SUMIFS('Base Period'!55:55,'Base Period'!$28:$28,'Budget by Task'!AD$6, 'Base Period'!$32:$32, 'Budget by Task'!AD$12)+SUMIFS('Option Period 1'!55:55,'Option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5" s="15" t="e">
        <f>SUMIFS('Base Period'!55:55,'Base Period'!$29:$29,'Budget by Task'!AE$7:AF$7, 'Base Period'!$32:$32, 'Budget by Task'!AE$12)+SUMIFS('Option Period 1'!55:55,'Option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5" s="16" t="e">
        <f>SUMIFS('Base Period'!55:55,'Base Period'!$28:$28,'Budget by Task'!AF$6, 'Base Period'!$32:$32, 'Budget by Task'!AF$12)+SUMIFS('Option Period 1'!55:55,'Option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5" s="15" t="e">
        <f>SUMIFS('Base Period'!55:55,'Base Period'!$29:$29,'Budget by Task'!AG$7:AH$7, 'Base Period'!$32:$32, 'Budget by Task'!AG$12)+SUMIFS('Option Period 1'!55:55,'Option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5" s="16" t="e">
        <f>SUMIFS('Base Period'!55:55,'Base Period'!$28:$28,'Budget by Task'!AH$6, 'Base Period'!$32:$32, 'Budget by Task'!AH$12)+SUMIFS('Option Period 1'!55:55,'Option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5" s="1" t="e">
        <f>SUMIFS('Base Period'!55:55,'Base Period'!$29:$29,'Budget by Task'!AI$7)+SUMIFS('Option Period 1'!55:55,'Option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5" s="11" t="e">
        <f>SUMIFS('Base Period'!55:55,'Base Period'!$29:$29,'Budget by Task'!AJ$7)+SUMIFS('Option Period 1'!55:55,'Option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5" s="151" t="e">
        <f>ROUND(AJ35-'Base Period'!BN55-'Option Period 1'!BN55-#REF!-#REF!-#REF!-#REF!-#REF!-#REF!-#REF!-#REF!,0)</f>
        <v>#REF!</v>
      </c>
    </row>
    <row r="36" spans="2:39" ht="15.75" x14ac:dyDescent="0.25">
      <c r="B36" s="6" t="str">
        <f>'Base Period'!B56</f>
        <v>Name</v>
      </c>
      <c r="C36" s="15" t="e">
        <f>SUMIFS('Base Period'!56:56,'Base Period'!$29:$29,'Budget by Task'!C$7:D$7, 'Base Period'!$32:$32, 'Budget by Task'!C$12)+SUMIFS('Option Period 1'!56:56,'Option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6" s="16" t="e">
        <f>SUMIFS('Base Period'!56:56,'Base Period'!$28:$28,'Budget by Task'!D$6, 'Base Period'!$32:$32, 'Budget by Task'!D$12)+SUMIFS('Option Period 1'!56:56,'Option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6" s="15" t="e">
        <f>SUMIFS('Base Period'!56:56,'Base Period'!$29:$29,'Budget by Task'!E$7:F$7, 'Base Period'!$32:$32, 'Budget by Task'!E$12)+SUMIFS('Option Period 1'!56:56,'Option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6" s="16" t="e">
        <f>SUMIFS('Base Period'!56:56,'Base Period'!$28:$28,'Budget by Task'!F$6, 'Base Period'!$32:$32, 'Budget by Task'!F$12)+SUMIFS('Option Period 1'!56:56,'Option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6" s="15" t="e">
        <f>SUMIFS('Base Period'!56:56,'Base Period'!$29:$29,'Budget by Task'!G$7:H$7, 'Base Period'!$32:$32, 'Budget by Task'!G$12)+SUMIFS('Option Period 1'!56:56,'Option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6" s="16" t="e">
        <f>SUMIFS('Base Period'!56:56,'Base Period'!$28:$28,'Budget by Task'!H$6, 'Base Period'!$32:$32, 'Budget by Task'!H$12)+SUMIFS('Option Period 1'!56:56,'Option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6" s="15" t="e">
        <f>SUMIFS('Base Period'!56:56,'Base Period'!$29:$29,'Budget by Task'!I$7:J$7, 'Base Period'!$32:$32, 'Budget by Task'!I$12)+SUMIFS('Option Period 1'!56:56,'Option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6" s="16" t="e">
        <f>SUMIFS('Base Period'!56:56,'Base Period'!$28:$28,'Budget by Task'!J$6, 'Base Period'!$32:$32, 'Budget by Task'!J$12)+SUMIFS('Option Period 1'!56:56,'Option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6" s="15" t="e">
        <f>SUMIFS('Base Period'!56:56,'Base Period'!$29:$29,'Budget by Task'!K$7:L$7, 'Base Period'!$32:$32, 'Budget by Task'!K$12)+SUMIFS('Option Period 1'!56:56,'Option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6" s="16" t="e">
        <f>SUMIFS('Base Period'!56:56,'Base Period'!$28:$28,'Budget by Task'!L$6, 'Base Period'!$32:$32, 'Budget by Task'!L$12)+SUMIFS('Option Period 1'!56:56,'Option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6" s="15" t="e">
        <f>SUMIFS('Base Period'!56:56,'Base Period'!$29:$29,'Budget by Task'!M$7:N$7, 'Base Period'!$32:$32, 'Budget by Task'!M$12)+SUMIFS('Option Period 1'!56:56,'Option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6" s="16" t="e">
        <f>SUMIFS('Base Period'!56:56,'Base Period'!$28:$28,'Budget by Task'!N$6, 'Base Period'!$32:$32, 'Budget by Task'!N$12)+SUMIFS('Option Period 1'!56:56,'Option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6" s="15" t="e">
        <f>SUMIFS('Base Period'!56:56,'Base Period'!$29:$29,'Budget by Task'!O$7:P$7, 'Base Period'!$32:$32, 'Budget by Task'!O$12)+SUMIFS('Option Period 1'!56:56,'Option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6" s="16" t="e">
        <f>SUMIFS('Base Period'!56:56,'Base Period'!$28:$28,'Budget by Task'!P$6, 'Base Period'!$32:$32, 'Budget by Task'!P$12)+SUMIFS('Option Period 1'!56:56,'Option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6" s="15" t="e">
        <f>SUMIFS('Base Period'!56:56,'Base Period'!$29:$29,'Budget by Task'!Q$7:R$7, 'Base Period'!$32:$32, 'Budget by Task'!Q$12)+SUMIFS('Option Period 1'!56:56,'Option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6" s="16" t="e">
        <f>SUMIFS('Base Period'!56:56,'Base Period'!$28:$28,'Budget by Task'!R$6, 'Base Period'!$32:$32, 'Budget by Task'!R$12)+SUMIFS('Option Period 1'!56:56,'Option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6" s="15" t="e">
        <f>SUMIFS('Base Period'!56:56,'Base Period'!$29:$29,'Budget by Task'!S$7:T$7, 'Base Period'!$32:$32, 'Budget by Task'!S$12)+SUMIFS('Option Period 1'!56:56,'Option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6" s="16" t="e">
        <f>SUMIFS('Base Period'!56:56,'Base Period'!$28:$28,'Budget by Task'!T$6, 'Base Period'!$32:$32, 'Budget by Task'!T$12)+SUMIFS('Option Period 1'!56:56,'Option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6" s="15" t="e">
        <f>SUMIFS('Base Period'!56:56,'Base Period'!$29:$29,'Budget by Task'!U$7:V$7, 'Base Period'!$32:$32, 'Budget by Task'!U$12)+SUMIFS('Option Period 1'!56:56,'Option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6" s="16" t="e">
        <f>SUMIFS('Base Period'!56:56,'Base Period'!$28:$28,'Budget by Task'!V$6, 'Base Period'!$32:$32, 'Budget by Task'!V$12)+SUMIFS('Option Period 1'!56:56,'Option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6" s="15" t="e">
        <f>SUMIFS('Base Period'!56:56,'Base Period'!$29:$29,'Budget by Task'!W$7:X$7, 'Base Period'!$32:$32, 'Budget by Task'!W$12)+SUMIFS('Option Period 1'!56:56,'Option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6" s="16" t="e">
        <f>SUMIFS('Base Period'!56:56,'Base Period'!$28:$28,'Budget by Task'!X$6, 'Base Period'!$32:$32, 'Budget by Task'!X$12)+SUMIFS('Option Period 1'!56:56,'Option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6" s="15" t="e">
        <f>SUMIFS('Base Period'!56:56,'Base Period'!$29:$29,'Budget by Task'!Y$7:Z$7, 'Base Period'!$32:$32, 'Budget by Task'!Y$12)+SUMIFS('Option Period 1'!56:56,'Option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6" s="16" t="e">
        <f>SUMIFS('Base Period'!56:56,'Base Period'!$28:$28,'Budget by Task'!Z$6, 'Base Period'!$32:$32, 'Budget by Task'!Z$12)+SUMIFS('Option Period 1'!56:56,'Option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6" s="15" t="e">
        <f>SUMIFS('Base Period'!56:56,'Base Period'!$29:$29,'Budget by Task'!AA$7:AB$7, 'Base Period'!$32:$32, 'Budget by Task'!AA$12)+SUMIFS('Option Period 1'!56:56,'Option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6" s="16" t="e">
        <f>SUMIFS('Base Period'!56:56,'Base Period'!$28:$28,'Budget by Task'!AB$6, 'Base Period'!$32:$32, 'Budget by Task'!AB$12)+SUMIFS('Option Period 1'!56:56,'Option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6" s="15" t="e">
        <f>SUMIFS('Base Period'!56:56,'Base Period'!$29:$29,'Budget by Task'!AC$7:AD$7, 'Base Period'!$32:$32, 'Budget by Task'!AC$12)+SUMIFS('Option Period 1'!56:56,'Option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6" s="16" t="e">
        <f>SUMIFS('Base Period'!56:56,'Base Period'!$28:$28,'Budget by Task'!AD$6, 'Base Period'!$32:$32, 'Budget by Task'!AD$12)+SUMIFS('Option Period 1'!56:56,'Option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6" s="15" t="e">
        <f>SUMIFS('Base Period'!56:56,'Base Period'!$29:$29,'Budget by Task'!AE$7:AF$7, 'Base Period'!$32:$32, 'Budget by Task'!AE$12)+SUMIFS('Option Period 1'!56:56,'Option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6" s="16" t="e">
        <f>SUMIFS('Base Period'!56:56,'Base Period'!$28:$28,'Budget by Task'!AF$6, 'Base Period'!$32:$32, 'Budget by Task'!AF$12)+SUMIFS('Option Period 1'!56:56,'Option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6" s="15" t="e">
        <f>SUMIFS('Base Period'!56:56,'Base Period'!$29:$29,'Budget by Task'!AG$7:AH$7, 'Base Period'!$32:$32, 'Budget by Task'!AG$12)+SUMIFS('Option Period 1'!56:56,'Option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6" s="16" t="e">
        <f>SUMIFS('Base Period'!56:56,'Base Period'!$28:$28,'Budget by Task'!AH$6, 'Base Period'!$32:$32, 'Budget by Task'!AH$12)+SUMIFS('Option Period 1'!56:56,'Option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6" s="1" t="e">
        <f>SUMIFS('Base Period'!56:56,'Base Period'!$29:$29,'Budget by Task'!AI$7)+SUMIFS('Option Period 1'!56:56,'Option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6" s="11" t="e">
        <f>SUMIFS('Base Period'!56:56,'Base Period'!$29:$29,'Budget by Task'!AJ$7)+SUMIFS('Option Period 1'!56:56,'Option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6" s="151" t="e">
        <f>ROUND(AJ36-'Base Period'!BN56-'Option Period 1'!BN56-#REF!-#REF!-#REF!-#REF!-#REF!-#REF!-#REF!-#REF!,0)</f>
        <v>#REF!</v>
      </c>
    </row>
    <row r="37" spans="2:39" ht="15.75" x14ac:dyDescent="0.25">
      <c r="B37" s="6" t="str">
        <f>'Base Period'!B57</f>
        <v>Name</v>
      </c>
      <c r="C37" s="15" t="e">
        <f>SUMIFS('Base Period'!57:57,'Base Period'!$29:$29,'Budget by Task'!C$7:D$7, 'Base Period'!$32:$32, 'Budget by Task'!C$12)+SUMIFS('Option Period 1'!57:57,'Option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7" s="16" t="e">
        <f>SUMIFS('Base Period'!57:57,'Base Period'!$28:$28,'Budget by Task'!D$6, 'Base Period'!$32:$32, 'Budget by Task'!D$12)+SUMIFS('Option Period 1'!57:57,'Option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7" s="15" t="e">
        <f>SUMIFS('Base Period'!57:57,'Base Period'!$29:$29,'Budget by Task'!E$7:F$7, 'Base Period'!$32:$32, 'Budget by Task'!E$12)+SUMIFS('Option Period 1'!57:57,'Option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7" s="16" t="e">
        <f>SUMIFS('Base Period'!57:57,'Base Period'!$28:$28,'Budget by Task'!F$6, 'Base Period'!$32:$32, 'Budget by Task'!F$12)+SUMIFS('Option Period 1'!57:57,'Option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7" s="15" t="e">
        <f>SUMIFS('Base Period'!57:57,'Base Period'!$29:$29,'Budget by Task'!G$7:H$7, 'Base Period'!$32:$32, 'Budget by Task'!G$12)+SUMIFS('Option Period 1'!57:57,'Option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7" s="16" t="e">
        <f>SUMIFS('Base Period'!57:57,'Base Period'!$28:$28,'Budget by Task'!H$6, 'Base Period'!$32:$32, 'Budget by Task'!H$12)+SUMIFS('Option Period 1'!57:57,'Option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7" s="15" t="e">
        <f>SUMIFS('Base Period'!57:57,'Base Period'!$29:$29,'Budget by Task'!I$7:J$7, 'Base Period'!$32:$32, 'Budget by Task'!I$12)+SUMIFS('Option Period 1'!57:57,'Option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7" s="16" t="e">
        <f>SUMIFS('Base Period'!57:57,'Base Period'!$28:$28,'Budget by Task'!J$6, 'Base Period'!$32:$32, 'Budget by Task'!J$12)+SUMIFS('Option Period 1'!57:57,'Option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7" s="15" t="e">
        <f>SUMIFS('Base Period'!57:57,'Base Period'!$29:$29,'Budget by Task'!K$7:L$7, 'Base Period'!$32:$32, 'Budget by Task'!K$12)+SUMIFS('Option Period 1'!57:57,'Option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7" s="16" t="e">
        <f>SUMIFS('Base Period'!57:57,'Base Period'!$28:$28,'Budget by Task'!L$6, 'Base Period'!$32:$32, 'Budget by Task'!L$12)+SUMIFS('Option Period 1'!57:57,'Option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7" s="15" t="e">
        <f>SUMIFS('Base Period'!57:57,'Base Period'!$29:$29,'Budget by Task'!M$7:N$7, 'Base Period'!$32:$32, 'Budget by Task'!M$12)+SUMIFS('Option Period 1'!57:57,'Option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7" s="16" t="e">
        <f>SUMIFS('Base Period'!57:57,'Base Period'!$28:$28,'Budget by Task'!N$6, 'Base Period'!$32:$32, 'Budget by Task'!N$12)+SUMIFS('Option Period 1'!57:57,'Option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7" s="15" t="e">
        <f>SUMIFS('Base Period'!57:57,'Base Period'!$29:$29,'Budget by Task'!O$7:P$7, 'Base Period'!$32:$32, 'Budget by Task'!O$12)+SUMIFS('Option Period 1'!57:57,'Option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7" s="16" t="e">
        <f>SUMIFS('Base Period'!57:57,'Base Period'!$28:$28,'Budget by Task'!P$6, 'Base Period'!$32:$32, 'Budget by Task'!P$12)+SUMIFS('Option Period 1'!57:57,'Option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7" s="15" t="e">
        <f>SUMIFS('Base Period'!57:57,'Base Period'!$29:$29,'Budget by Task'!Q$7:R$7, 'Base Period'!$32:$32, 'Budget by Task'!Q$12)+SUMIFS('Option Period 1'!57:57,'Option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7" s="16" t="e">
        <f>SUMIFS('Base Period'!57:57,'Base Period'!$28:$28,'Budget by Task'!R$6, 'Base Period'!$32:$32, 'Budget by Task'!R$12)+SUMIFS('Option Period 1'!57:57,'Option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7" s="15" t="e">
        <f>SUMIFS('Base Period'!57:57,'Base Period'!$29:$29,'Budget by Task'!S$7:T$7, 'Base Period'!$32:$32, 'Budget by Task'!S$12)+SUMIFS('Option Period 1'!57:57,'Option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7" s="16" t="e">
        <f>SUMIFS('Base Period'!57:57,'Base Period'!$28:$28,'Budget by Task'!T$6, 'Base Period'!$32:$32, 'Budget by Task'!T$12)+SUMIFS('Option Period 1'!57:57,'Option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7" s="15" t="e">
        <f>SUMIFS('Base Period'!57:57,'Base Period'!$29:$29,'Budget by Task'!U$7:V$7, 'Base Period'!$32:$32, 'Budget by Task'!U$12)+SUMIFS('Option Period 1'!57:57,'Option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7" s="16" t="e">
        <f>SUMIFS('Base Period'!57:57,'Base Period'!$28:$28,'Budget by Task'!V$6, 'Base Period'!$32:$32, 'Budget by Task'!V$12)+SUMIFS('Option Period 1'!57:57,'Option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7" s="15" t="e">
        <f>SUMIFS('Base Period'!57:57,'Base Period'!$29:$29,'Budget by Task'!W$7:X$7, 'Base Period'!$32:$32, 'Budget by Task'!W$12)+SUMIFS('Option Period 1'!57:57,'Option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7" s="16" t="e">
        <f>SUMIFS('Base Period'!57:57,'Base Period'!$28:$28,'Budget by Task'!X$6, 'Base Period'!$32:$32, 'Budget by Task'!X$12)+SUMIFS('Option Period 1'!57:57,'Option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7" s="15" t="e">
        <f>SUMIFS('Base Period'!57:57,'Base Period'!$29:$29,'Budget by Task'!Y$7:Z$7, 'Base Period'!$32:$32, 'Budget by Task'!Y$12)+SUMIFS('Option Period 1'!57:57,'Option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7" s="16" t="e">
        <f>SUMIFS('Base Period'!57:57,'Base Period'!$28:$28,'Budget by Task'!Z$6, 'Base Period'!$32:$32, 'Budget by Task'!Z$12)+SUMIFS('Option Period 1'!57:57,'Option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7" s="15" t="e">
        <f>SUMIFS('Base Period'!57:57,'Base Period'!$29:$29,'Budget by Task'!AA$7:AB$7, 'Base Period'!$32:$32, 'Budget by Task'!AA$12)+SUMIFS('Option Period 1'!57:57,'Option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7" s="16" t="e">
        <f>SUMIFS('Base Period'!57:57,'Base Period'!$28:$28,'Budget by Task'!AB$6, 'Base Period'!$32:$32, 'Budget by Task'!AB$12)+SUMIFS('Option Period 1'!57:57,'Option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7" s="15" t="e">
        <f>SUMIFS('Base Period'!57:57,'Base Period'!$29:$29,'Budget by Task'!AC$7:AD$7, 'Base Period'!$32:$32, 'Budget by Task'!AC$12)+SUMIFS('Option Period 1'!57:57,'Option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7" s="16" t="e">
        <f>SUMIFS('Base Period'!57:57,'Base Period'!$28:$28,'Budget by Task'!AD$6, 'Base Period'!$32:$32, 'Budget by Task'!AD$12)+SUMIFS('Option Period 1'!57:57,'Option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7" s="15" t="e">
        <f>SUMIFS('Base Period'!57:57,'Base Period'!$29:$29,'Budget by Task'!AE$7:AF$7, 'Base Period'!$32:$32, 'Budget by Task'!AE$12)+SUMIFS('Option Period 1'!57:57,'Option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7" s="16" t="e">
        <f>SUMIFS('Base Period'!57:57,'Base Period'!$28:$28,'Budget by Task'!AF$6, 'Base Period'!$32:$32, 'Budget by Task'!AF$12)+SUMIFS('Option Period 1'!57:57,'Option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7" s="15" t="e">
        <f>SUMIFS('Base Period'!57:57,'Base Period'!$29:$29,'Budget by Task'!AG$7:AH$7, 'Base Period'!$32:$32, 'Budget by Task'!AG$12)+SUMIFS('Option Period 1'!57:57,'Option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7" s="16" t="e">
        <f>SUMIFS('Base Period'!57:57,'Base Period'!$28:$28,'Budget by Task'!AH$6, 'Base Period'!$32:$32, 'Budget by Task'!AH$12)+SUMIFS('Option Period 1'!57:57,'Option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7" s="1" t="e">
        <f>SUMIFS('Base Period'!57:57,'Base Period'!$29:$29,'Budget by Task'!AI$7)+SUMIFS('Option Period 1'!57:57,'Option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7" s="11" t="e">
        <f>SUMIFS('Base Period'!57:57,'Base Period'!$29:$29,'Budget by Task'!AJ$7)+SUMIFS('Option Period 1'!57:57,'Option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7" s="151" t="e">
        <f>ROUND(AJ37-'Base Period'!BN57-'Option Period 1'!BN57-#REF!-#REF!-#REF!-#REF!-#REF!-#REF!-#REF!-#REF!,0)</f>
        <v>#REF!</v>
      </c>
    </row>
    <row r="38" spans="2:39" ht="15.75" x14ac:dyDescent="0.25">
      <c r="B38" s="6" t="str">
        <f>'Base Period'!B58</f>
        <v>Name</v>
      </c>
      <c r="C38" s="15" t="e">
        <f>SUMIFS('Base Period'!58:58,'Base Period'!$29:$29,'Budget by Task'!C$7:D$7, 'Base Period'!$32:$32, 'Budget by Task'!C$12)+SUMIFS('Option Period 1'!58:58,'Option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8" s="16" t="e">
        <f>SUMIFS('Base Period'!58:58,'Base Period'!$28:$28,'Budget by Task'!D$6, 'Base Period'!$32:$32, 'Budget by Task'!D$12)+SUMIFS('Option Period 1'!58:58,'Option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8" s="15" t="e">
        <f>SUMIFS('Base Period'!58:58,'Base Period'!$29:$29,'Budget by Task'!E$7:F$7, 'Base Period'!$32:$32, 'Budget by Task'!E$12)+SUMIFS('Option Period 1'!58:58,'Option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8" s="16" t="e">
        <f>SUMIFS('Base Period'!58:58,'Base Period'!$28:$28,'Budget by Task'!F$6, 'Base Period'!$32:$32, 'Budget by Task'!F$12)+SUMIFS('Option Period 1'!58:58,'Option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8" s="15" t="e">
        <f>SUMIFS('Base Period'!58:58,'Base Period'!$29:$29,'Budget by Task'!G$7:H$7, 'Base Period'!$32:$32, 'Budget by Task'!G$12)+SUMIFS('Option Period 1'!58:58,'Option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8" s="16" t="e">
        <f>SUMIFS('Base Period'!58:58,'Base Period'!$28:$28,'Budget by Task'!H$6, 'Base Period'!$32:$32, 'Budget by Task'!H$12)+SUMIFS('Option Period 1'!58:58,'Option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8" s="15" t="e">
        <f>SUMIFS('Base Period'!58:58,'Base Period'!$29:$29,'Budget by Task'!I$7:J$7, 'Base Period'!$32:$32, 'Budget by Task'!I$12)+SUMIFS('Option Period 1'!58:58,'Option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8" s="16" t="e">
        <f>SUMIFS('Base Period'!58:58,'Base Period'!$28:$28,'Budget by Task'!J$6, 'Base Period'!$32:$32, 'Budget by Task'!J$12)+SUMIFS('Option Period 1'!58:58,'Option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8" s="15" t="e">
        <f>SUMIFS('Base Period'!58:58,'Base Period'!$29:$29,'Budget by Task'!K$7:L$7, 'Base Period'!$32:$32, 'Budget by Task'!K$12)+SUMIFS('Option Period 1'!58:58,'Option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8" s="16" t="e">
        <f>SUMIFS('Base Period'!58:58,'Base Period'!$28:$28,'Budget by Task'!L$6, 'Base Period'!$32:$32, 'Budget by Task'!L$12)+SUMIFS('Option Period 1'!58:58,'Option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8" s="15" t="e">
        <f>SUMIFS('Base Period'!58:58,'Base Period'!$29:$29,'Budget by Task'!M$7:N$7, 'Base Period'!$32:$32, 'Budget by Task'!M$12)+SUMIFS('Option Period 1'!58:58,'Option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8" s="16" t="e">
        <f>SUMIFS('Base Period'!58:58,'Base Period'!$28:$28,'Budget by Task'!N$6, 'Base Period'!$32:$32, 'Budget by Task'!N$12)+SUMIFS('Option Period 1'!58:58,'Option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8" s="15" t="e">
        <f>SUMIFS('Base Period'!58:58,'Base Period'!$29:$29,'Budget by Task'!O$7:P$7, 'Base Period'!$32:$32, 'Budget by Task'!O$12)+SUMIFS('Option Period 1'!58:58,'Option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8" s="16" t="e">
        <f>SUMIFS('Base Period'!58:58,'Base Period'!$28:$28,'Budget by Task'!P$6, 'Base Period'!$32:$32, 'Budget by Task'!P$12)+SUMIFS('Option Period 1'!58:58,'Option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8" s="15" t="e">
        <f>SUMIFS('Base Period'!58:58,'Base Period'!$29:$29,'Budget by Task'!Q$7:R$7, 'Base Period'!$32:$32, 'Budget by Task'!Q$12)+SUMIFS('Option Period 1'!58:58,'Option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8" s="16" t="e">
        <f>SUMIFS('Base Period'!58:58,'Base Period'!$28:$28,'Budget by Task'!R$6, 'Base Period'!$32:$32, 'Budget by Task'!R$12)+SUMIFS('Option Period 1'!58:58,'Option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8" s="15" t="e">
        <f>SUMIFS('Base Period'!58:58,'Base Period'!$29:$29,'Budget by Task'!S$7:T$7, 'Base Period'!$32:$32, 'Budget by Task'!S$12)+SUMIFS('Option Period 1'!58:58,'Option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8" s="16" t="e">
        <f>SUMIFS('Base Period'!58:58,'Base Period'!$28:$28,'Budget by Task'!T$6, 'Base Period'!$32:$32, 'Budget by Task'!T$12)+SUMIFS('Option Period 1'!58:58,'Option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8" s="15" t="e">
        <f>SUMIFS('Base Period'!58:58,'Base Period'!$29:$29,'Budget by Task'!U$7:V$7, 'Base Period'!$32:$32, 'Budget by Task'!U$12)+SUMIFS('Option Period 1'!58:58,'Option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8" s="16" t="e">
        <f>SUMIFS('Base Period'!58:58,'Base Period'!$28:$28,'Budget by Task'!V$6, 'Base Period'!$32:$32, 'Budget by Task'!V$12)+SUMIFS('Option Period 1'!58:58,'Option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8" s="15" t="e">
        <f>SUMIFS('Base Period'!58:58,'Base Period'!$29:$29,'Budget by Task'!W$7:X$7, 'Base Period'!$32:$32, 'Budget by Task'!W$12)+SUMIFS('Option Period 1'!58:58,'Option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8" s="16" t="e">
        <f>SUMIFS('Base Period'!58:58,'Base Period'!$28:$28,'Budget by Task'!X$6, 'Base Period'!$32:$32, 'Budget by Task'!X$12)+SUMIFS('Option Period 1'!58:58,'Option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8" s="15" t="e">
        <f>SUMIFS('Base Period'!58:58,'Base Period'!$29:$29,'Budget by Task'!Y$7:Z$7, 'Base Period'!$32:$32, 'Budget by Task'!Y$12)+SUMIFS('Option Period 1'!58:58,'Option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8" s="16" t="e">
        <f>SUMIFS('Base Period'!58:58,'Base Period'!$28:$28,'Budget by Task'!Z$6, 'Base Period'!$32:$32, 'Budget by Task'!Z$12)+SUMIFS('Option Period 1'!58:58,'Option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8" s="15" t="e">
        <f>SUMIFS('Base Period'!58:58,'Base Period'!$29:$29,'Budget by Task'!AA$7:AB$7, 'Base Period'!$32:$32, 'Budget by Task'!AA$12)+SUMIFS('Option Period 1'!58:58,'Option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8" s="16" t="e">
        <f>SUMIFS('Base Period'!58:58,'Base Period'!$28:$28,'Budget by Task'!AB$6, 'Base Period'!$32:$32, 'Budget by Task'!AB$12)+SUMIFS('Option Period 1'!58:58,'Option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8" s="15" t="e">
        <f>SUMIFS('Base Period'!58:58,'Base Period'!$29:$29,'Budget by Task'!AC$7:AD$7, 'Base Period'!$32:$32, 'Budget by Task'!AC$12)+SUMIFS('Option Period 1'!58:58,'Option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8" s="16" t="e">
        <f>SUMIFS('Base Period'!58:58,'Base Period'!$28:$28,'Budget by Task'!AD$6, 'Base Period'!$32:$32, 'Budget by Task'!AD$12)+SUMIFS('Option Period 1'!58:58,'Option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8" s="15" t="e">
        <f>SUMIFS('Base Period'!58:58,'Base Period'!$29:$29,'Budget by Task'!AE$7:AF$7, 'Base Period'!$32:$32, 'Budget by Task'!AE$12)+SUMIFS('Option Period 1'!58:58,'Option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8" s="16" t="e">
        <f>SUMIFS('Base Period'!58:58,'Base Period'!$28:$28,'Budget by Task'!AF$6, 'Base Period'!$32:$32, 'Budget by Task'!AF$12)+SUMIFS('Option Period 1'!58:58,'Option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8" s="15" t="e">
        <f>SUMIFS('Base Period'!58:58,'Base Period'!$29:$29,'Budget by Task'!AG$7:AH$7, 'Base Period'!$32:$32, 'Budget by Task'!AG$12)+SUMIFS('Option Period 1'!58:58,'Option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8" s="16" t="e">
        <f>SUMIFS('Base Period'!58:58,'Base Period'!$28:$28,'Budget by Task'!AH$6, 'Base Period'!$32:$32, 'Budget by Task'!AH$12)+SUMIFS('Option Period 1'!58:58,'Option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8" s="1" t="e">
        <f>SUMIFS('Base Period'!58:58,'Base Period'!$29:$29,'Budget by Task'!AI$7)+SUMIFS('Option Period 1'!58:58,'Option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8" s="11" t="e">
        <f>SUMIFS('Base Period'!58:58,'Base Period'!$29:$29,'Budget by Task'!AJ$7)+SUMIFS('Option Period 1'!58:58,'Option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8" s="151" t="e">
        <f>ROUND(AJ38-'Base Period'!BN58-'Option Period 1'!BN58-#REF!-#REF!-#REF!-#REF!-#REF!-#REF!-#REF!-#REF!,0)</f>
        <v>#REF!</v>
      </c>
    </row>
    <row r="39" spans="2:39" ht="15.75" x14ac:dyDescent="0.25">
      <c r="B39" s="6" t="str">
        <f>'Base Period'!B59</f>
        <v>Name</v>
      </c>
      <c r="C39" s="15" t="e">
        <f>SUMIFS('Base Period'!59:59,'Base Period'!$29:$29,'Budget by Task'!C$7:D$7, 'Base Period'!$32:$32, 'Budget by Task'!C$12)+SUMIFS('Option Period 1'!59:59,'Option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39" s="16" t="e">
        <f>SUMIFS('Base Period'!59:59,'Base Period'!$28:$28,'Budget by Task'!D$6, 'Base Period'!$32:$32, 'Budget by Task'!D$12)+SUMIFS('Option Period 1'!59:59,'Option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39" s="15" t="e">
        <f>SUMIFS('Base Period'!59:59,'Base Period'!$29:$29,'Budget by Task'!E$7:F$7, 'Base Period'!$32:$32, 'Budget by Task'!E$12)+SUMIFS('Option Period 1'!59:59,'Option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39" s="16" t="e">
        <f>SUMIFS('Base Period'!59:59,'Base Period'!$28:$28,'Budget by Task'!F$6, 'Base Period'!$32:$32, 'Budget by Task'!F$12)+SUMIFS('Option Period 1'!59:59,'Option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39" s="15" t="e">
        <f>SUMIFS('Base Period'!59:59,'Base Period'!$29:$29,'Budget by Task'!G$7:H$7, 'Base Period'!$32:$32, 'Budget by Task'!G$12)+SUMIFS('Option Period 1'!59:59,'Option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39" s="16" t="e">
        <f>SUMIFS('Base Period'!59:59,'Base Period'!$28:$28,'Budget by Task'!H$6, 'Base Period'!$32:$32, 'Budget by Task'!H$12)+SUMIFS('Option Period 1'!59:59,'Option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39" s="15" t="e">
        <f>SUMIFS('Base Period'!59:59,'Base Period'!$29:$29,'Budget by Task'!I$7:J$7, 'Base Period'!$32:$32, 'Budget by Task'!I$12)+SUMIFS('Option Period 1'!59:59,'Option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39" s="16" t="e">
        <f>SUMIFS('Base Period'!59:59,'Base Period'!$28:$28,'Budget by Task'!J$6, 'Base Period'!$32:$32, 'Budget by Task'!J$12)+SUMIFS('Option Period 1'!59:59,'Option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39" s="15" t="e">
        <f>SUMIFS('Base Period'!59:59,'Base Period'!$29:$29,'Budget by Task'!K$7:L$7, 'Base Period'!$32:$32, 'Budget by Task'!K$12)+SUMIFS('Option Period 1'!59:59,'Option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39" s="16" t="e">
        <f>SUMIFS('Base Period'!59:59,'Base Period'!$28:$28,'Budget by Task'!L$6, 'Base Period'!$32:$32, 'Budget by Task'!L$12)+SUMIFS('Option Period 1'!59:59,'Option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39" s="15" t="e">
        <f>SUMIFS('Base Period'!59:59,'Base Period'!$29:$29,'Budget by Task'!M$7:N$7, 'Base Period'!$32:$32, 'Budget by Task'!M$12)+SUMIFS('Option Period 1'!59:59,'Option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39" s="16" t="e">
        <f>SUMIFS('Base Period'!59:59,'Base Period'!$28:$28,'Budget by Task'!N$6, 'Base Period'!$32:$32, 'Budget by Task'!N$12)+SUMIFS('Option Period 1'!59:59,'Option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39" s="15" t="e">
        <f>SUMIFS('Base Period'!59:59,'Base Period'!$29:$29,'Budget by Task'!O$7:P$7, 'Base Period'!$32:$32, 'Budget by Task'!O$12)+SUMIFS('Option Period 1'!59:59,'Option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39" s="16" t="e">
        <f>SUMIFS('Base Period'!59:59,'Base Period'!$28:$28,'Budget by Task'!P$6, 'Base Period'!$32:$32, 'Budget by Task'!P$12)+SUMIFS('Option Period 1'!59:59,'Option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39" s="15" t="e">
        <f>SUMIFS('Base Period'!59:59,'Base Period'!$29:$29,'Budget by Task'!Q$7:R$7, 'Base Period'!$32:$32, 'Budget by Task'!Q$12)+SUMIFS('Option Period 1'!59:59,'Option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39" s="16" t="e">
        <f>SUMIFS('Base Period'!59:59,'Base Period'!$28:$28,'Budget by Task'!R$6, 'Base Period'!$32:$32, 'Budget by Task'!R$12)+SUMIFS('Option Period 1'!59:59,'Option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39" s="15" t="e">
        <f>SUMIFS('Base Period'!59:59,'Base Period'!$29:$29,'Budget by Task'!S$7:T$7, 'Base Period'!$32:$32, 'Budget by Task'!S$12)+SUMIFS('Option Period 1'!59:59,'Option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39" s="16" t="e">
        <f>SUMIFS('Base Period'!59:59,'Base Period'!$28:$28,'Budget by Task'!T$6, 'Base Period'!$32:$32, 'Budget by Task'!T$12)+SUMIFS('Option Period 1'!59:59,'Option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39" s="15" t="e">
        <f>SUMIFS('Base Period'!59:59,'Base Period'!$29:$29,'Budget by Task'!U$7:V$7, 'Base Period'!$32:$32, 'Budget by Task'!U$12)+SUMIFS('Option Period 1'!59:59,'Option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39" s="16" t="e">
        <f>SUMIFS('Base Period'!59:59,'Base Period'!$28:$28,'Budget by Task'!V$6, 'Base Period'!$32:$32, 'Budget by Task'!V$12)+SUMIFS('Option Period 1'!59:59,'Option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39" s="15" t="e">
        <f>SUMIFS('Base Period'!59:59,'Base Period'!$29:$29,'Budget by Task'!W$7:X$7, 'Base Period'!$32:$32, 'Budget by Task'!W$12)+SUMIFS('Option Period 1'!59:59,'Option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39" s="16" t="e">
        <f>SUMIFS('Base Period'!59:59,'Base Period'!$28:$28,'Budget by Task'!X$6, 'Base Period'!$32:$32, 'Budget by Task'!X$12)+SUMIFS('Option Period 1'!59:59,'Option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39" s="15" t="e">
        <f>SUMIFS('Base Period'!59:59,'Base Period'!$29:$29,'Budget by Task'!Y$7:Z$7, 'Base Period'!$32:$32, 'Budget by Task'!Y$12)+SUMIFS('Option Period 1'!59:59,'Option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39" s="16" t="e">
        <f>SUMIFS('Base Period'!59:59,'Base Period'!$28:$28,'Budget by Task'!Z$6, 'Base Period'!$32:$32, 'Budget by Task'!Z$12)+SUMIFS('Option Period 1'!59:59,'Option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39" s="15" t="e">
        <f>SUMIFS('Base Period'!59:59,'Base Period'!$29:$29,'Budget by Task'!AA$7:AB$7, 'Base Period'!$32:$32, 'Budget by Task'!AA$12)+SUMIFS('Option Period 1'!59:59,'Option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39" s="16" t="e">
        <f>SUMIFS('Base Period'!59:59,'Base Period'!$28:$28,'Budget by Task'!AB$6, 'Base Period'!$32:$32, 'Budget by Task'!AB$12)+SUMIFS('Option Period 1'!59:59,'Option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39" s="15" t="e">
        <f>SUMIFS('Base Period'!59:59,'Base Period'!$29:$29,'Budget by Task'!AC$7:AD$7, 'Base Period'!$32:$32, 'Budget by Task'!AC$12)+SUMIFS('Option Period 1'!59:59,'Option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39" s="16" t="e">
        <f>SUMIFS('Base Period'!59:59,'Base Period'!$28:$28,'Budget by Task'!AD$6, 'Base Period'!$32:$32, 'Budget by Task'!AD$12)+SUMIFS('Option Period 1'!59:59,'Option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39" s="15" t="e">
        <f>SUMIFS('Base Period'!59:59,'Base Period'!$29:$29,'Budget by Task'!AE$7:AF$7, 'Base Period'!$32:$32, 'Budget by Task'!AE$12)+SUMIFS('Option Period 1'!59:59,'Option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39" s="16" t="e">
        <f>SUMIFS('Base Period'!59:59,'Base Period'!$28:$28,'Budget by Task'!AF$6, 'Base Period'!$32:$32, 'Budget by Task'!AF$12)+SUMIFS('Option Period 1'!59:59,'Option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39" s="15" t="e">
        <f>SUMIFS('Base Period'!59:59,'Base Period'!$29:$29,'Budget by Task'!AG$7:AH$7, 'Base Period'!$32:$32, 'Budget by Task'!AG$12)+SUMIFS('Option Period 1'!59:59,'Option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39" s="16" t="e">
        <f>SUMIFS('Base Period'!59:59,'Base Period'!$28:$28,'Budget by Task'!AH$6, 'Base Period'!$32:$32, 'Budget by Task'!AH$12)+SUMIFS('Option Period 1'!59:59,'Option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39" s="1" t="e">
        <f>SUMIFS('Base Period'!59:59,'Base Period'!$29:$29,'Budget by Task'!AI$7)+SUMIFS('Option Period 1'!59:59,'Option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39" s="11" t="e">
        <f>SUMIFS('Base Period'!59:59,'Base Period'!$29:$29,'Budget by Task'!AJ$7)+SUMIFS('Option Period 1'!59:59,'Option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39" s="151" t="e">
        <f>ROUND(AJ39-'Base Period'!BN59-'Option Period 1'!BN59-#REF!-#REF!-#REF!-#REF!-#REF!-#REF!-#REF!-#REF!,0)</f>
        <v>#REF!</v>
      </c>
    </row>
    <row r="40" spans="2:39" ht="15.75" x14ac:dyDescent="0.25">
      <c r="B40" s="6" t="str">
        <f>'Base Period'!B60</f>
        <v>Name</v>
      </c>
      <c r="C40" s="15" t="e">
        <f>SUMIFS('Base Period'!60:60,'Base Period'!$29:$29,'Budget by Task'!C$7:D$7, 'Base Period'!$32:$32, 'Budget by Task'!C$12)+SUMIFS('Option Period 1'!60:60,'Option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40" s="16" t="e">
        <f>SUMIFS('Base Period'!60:60,'Base Period'!$28:$28,'Budget by Task'!D$6, 'Base Period'!$32:$32, 'Budget by Task'!D$12)+SUMIFS('Option Period 1'!60:60,'Option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40" s="15" t="e">
        <f>SUMIFS('Base Period'!60:60,'Base Period'!$29:$29,'Budget by Task'!E$7:F$7, 'Base Period'!$32:$32, 'Budget by Task'!E$12)+SUMIFS('Option Period 1'!60:60,'Option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40" s="16" t="e">
        <f>SUMIFS('Base Period'!60:60,'Base Period'!$28:$28,'Budget by Task'!F$6, 'Base Period'!$32:$32, 'Budget by Task'!F$12)+SUMIFS('Option Period 1'!60:60,'Option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40" s="15" t="e">
        <f>SUMIFS('Base Period'!60:60,'Base Period'!$29:$29,'Budget by Task'!G$7:H$7, 'Base Period'!$32:$32, 'Budget by Task'!G$12)+SUMIFS('Option Period 1'!60:60,'Option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40" s="16" t="e">
        <f>SUMIFS('Base Period'!60:60,'Base Period'!$28:$28,'Budget by Task'!H$6, 'Base Period'!$32:$32, 'Budget by Task'!H$12)+SUMIFS('Option Period 1'!60:60,'Option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40" s="15" t="e">
        <f>SUMIFS('Base Period'!60:60,'Base Period'!$29:$29,'Budget by Task'!I$7:J$7, 'Base Period'!$32:$32, 'Budget by Task'!I$12)+SUMIFS('Option Period 1'!60:60,'Option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40" s="16" t="e">
        <f>SUMIFS('Base Period'!60:60,'Base Period'!$28:$28,'Budget by Task'!J$6, 'Base Period'!$32:$32, 'Budget by Task'!J$12)+SUMIFS('Option Period 1'!60:60,'Option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40" s="15" t="e">
        <f>SUMIFS('Base Period'!60:60,'Base Period'!$29:$29,'Budget by Task'!K$7:L$7, 'Base Period'!$32:$32, 'Budget by Task'!K$12)+SUMIFS('Option Period 1'!60:60,'Option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40" s="16" t="e">
        <f>SUMIFS('Base Period'!60:60,'Base Period'!$28:$28,'Budget by Task'!L$6, 'Base Period'!$32:$32, 'Budget by Task'!L$12)+SUMIFS('Option Period 1'!60:60,'Option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40" s="15" t="e">
        <f>SUMIFS('Base Period'!60:60,'Base Period'!$29:$29,'Budget by Task'!M$7:N$7, 'Base Period'!$32:$32, 'Budget by Task'!M$12)+SUMIFS('Option Period 1'!60:60,'Option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40" s="16" t="e">
        <f>SUMIFS('Base Period'!60:60,'Base Period'!$28:$28,'Budget by Task'!N$6, 'Base Period'!$32:$32, 'Budget by Task'!N$12)+SUMIFS('Option Period 1'!60:60,'Option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40" s="15" t="e">
        <f>SUMIFS('Base Period'!60:60,'Base Period'!$29:$29,'Budget by Task'!O$7:P$7, 'Base Period'!$32:$32, 'Budget by Task'!O$12)+SUMIFS('Option Period 1'!60:60,'Option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40" s="16" t="e">
        <f>SUMIFS('Base Period'!60:60,'Base Period'!$28:$28,'Budget by Task'!P$6, 'Base Period'!$32:$32, 'Budget by Task'!P$12)+SUMIFS('Option Period 1'!60:60,'Option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40" s="15" t="e">
        <f>SUMIFS('Base Period'!60:60,'Base Period'!$29:$29,'Budget by Task'!Q$7:R$7, 'Base Period'!$32:$32, 'Budget by Task'!Q$12)+SUMIFS('Option Period 1'!60:60,'Option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40" s="16" t="e">
        <f>SUMIFS('Base Period'!60:60,'Base Period'!$28:$28,'Budget by Task'!R$6, 'Base Period'!$32:$32, 'Budget by Task'!R$12)+SUMIFS('Option Period 1'!60:60,'Option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40" s="15" t="e">
        <f>SUMIFS('Base Period'!60:60,'Base Period'!$29:$29,'Budget by Task'!S$7:T$7, 'Base Period'!$32:$32, 'Budget by Task'!S$12)+SUMIFS('Option Period 1'!60:60,'Option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40" s="16" t="e">
        <f>SUMIFS('Base Period'!60:60,'Base Period'!$28:$28,'Budget by Task'!T$6, 'Base Period'!$32:$32, 'Budget by Task'!T$12)+SUMIFS('Option Period 1'!60:60,'Option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40" s="15" t="e">
        <f>SUMIFS('Base Period'!60:60,'Base Period'!$29:$29,'Budget by Task'!U$7:V$7, 'Base Period'!$32:$32, 'Budget by Task'!U$12)+SUMIFS('Option Period 1'!60:60,'Option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40" s="16" t="e">
        <f>SUMIFS('Base Period'!60:60,'Base Period'!$28:$28,'Budget by Task'!V$6, 'Base Period'!$32:$32, 'Budget by Task'!V$12)+SUMIFS('Option Period 1'!60:60,'Option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40" s="15" t="e">
        <f>SUMIFS('Base Period'!60:60,'Base Period'!$29:$29,'Budget by Task'!W$7:X$7, 'Base Period'!$32:$32, 'Budget by Task'!W$12)+SUMIFS('Option Period 1'!60:60,'Option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40" s="16" t="e">
        <f>SUMIFS('Base Period'!60:60,'Base Period'!$28:$28,'Budget by Task'!X$6, 'Base Period'!$32:$32, 'Budget by Task'!X$12)+SUMIFS('Option Period 1'!60:60,'Option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40" s="15" t="e">
        <f>SUMIFS('Base Period'!60:60,'Base Period'!$29:$29,'Budget by Task'!Y$7:Z$7, 'Base Period'!$32:$32, 'Budget by Task'!Y$12)+SUMIFS('Option Period 1'!60:60,'Option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40" s="16" t="e">
        <f>SUMIFS('Base Period'!60:60,'Base Period'!$28:$28,'Budget by Task'!Z$6, 'Base Period'!$32:$32, 'Budget by Task'!Z$12)+SUMIFS('Option Period 1'!60:60,'Option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40" s="15" t="e">
        <f>SUMIFS('Base Period'!60:60,'Base Period'!$29:$29,'Budget by Task'!AA$7:AB$7, 'Base Period'!$32:$32, 'Budget by Task'!AA$12)+SUMIFS('Option Period 1'!60:60,'Option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40" s="16" t="e">
        <f>SUMIFS('Base Period'!60:60,'Base Period'!$28:$28,'Budget by Task'!AB$6, 'Base Period'!$32:$32, 'Budget by Task'!AB$12)+SUMIFS('Option Period 1'!60:60,'Option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40" s="15" t="e">
        <f>SUMIFS('Base Period'!60:60,'Base Period'!$29:$29,'Budget by Task'!AC$7:AD$7, 'Base Period'!$32:$32, 'Budget by Task'!AC$12)+SUMIFS('Option Period 1'!60:60,'Option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40" s="16" t="e">
        <f>SUMIFS('Base Period'!60:60,'Base Period'!$28:$28,'Budget by Task'!AD$6, 'Base Period'!$32:$32, 'Budget by Task'!AD$12)+SUMIFS('Option Period 1'!60:60,'Option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40" s="15" t="e">
        <f>SUMIFS('Base Period'!60:60,'Base Period'!$29:$29,'Budget by Task'!AE$7:AF$7, 'Base Period'!$32:$32, 'Budget by Task'!AE$12)+SUMIFS('Option Period 1'!60:60,'Option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40" s="16" t="e">
        <f>SUMIFS('Base Period'!60:60,'Base Period'!$28:$28,'Budget by Task'!AF$6, 'Base Period'!$32:$32, 'Budget by Task'!AF$12)+SUMIFS('Option Period 1'!60:60,'Option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40" s="15" t="e">
        <f>SUMIFS('Base Period'!60:60,'Base Period'!$29:$29,'Budget by Task'!AG$7:AH$7, 'Base Period'!$32:$32, 'Budget by Task'!AG$12)+SUMIFS('Option Period 1'!60:60,'Option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40" s="16" t="e">
        <f>SUMIFS('Base Period'!60:60,'Base Period'!$28:$28,'Budget by Task'!AH$6, 'Base Period'!$32:$32, 'Budget by Task'!AH$12)+SUMIFS('Option Period 1'!60:60,'Option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40" s="1" t="e">
        <f>SUMIFS('Base Period'!60:60,'Base Period'!$29:$29,'Budget by Task'!AI$7)+SUMIFS('Option Period 1'!60:60,'Option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40" s="11" t="e">
        <f>SUMIFS('Base Period'!60:60,'Base Period'!$29:$29,'Budget by Task'!AJ$7)+SUMIFS('Option Period 1'!60:60,'Option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40" s="151" t="e">
        <f>ROUND(AJ40-'Base Period'!BN60-'Option Period 1'!BN60-#REF!-#REF!-#REF!-#REF!-#REF!-#REF!-#REF!-#REF!,0)</f>
        <v>#REF!</v>
      </c>
    </row>
    <row r="41" spans="2:39" ht="15.75" x14ac:dyDescent="0.25">
      <c r="B41" s="6" t="str">
        <f>'Base Period'!B61</f>
        <v>Name</v>
      </c>
      <c r="C41" s="15" t="e">
        <f>SUMIFS('Base Period'!61:61,'Base Period'!$29:$29,'Budget by Task'!C$7:D$7, 'Base Period'!$32:$32, 'Budget by Task'!C$12)+SUMIFS('Option Period 1'!61:61,'Option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41" s="16" t="e">
        <f>SUMIFS('Base Period'!61:61,'Base Period'!$28:$28,'Budget by Task'!D$6, 'Base Period'!$32:$32, 'Budget by Task'!D$12)+SUMIFS('Option Period 1'!61:61,'Option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41" s="15" t="e">
        <f>SUMIFS('Base Period'!61:61,'Base Period'!$29:$29,'Budget by Task'!E$7:F$7, 'Base Period'!$32:$32, 'Budget by Task'!E$12)+SUMIFS('Option Period 1'!61:61,'Option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41" s="16" t="e">
        <f>SUMIFS('Base Period'!61:61,'Base Period'!$28:$28,'Budget by Task'!F$6, 'Base Period'!$32:$32, 'Budget by Task'!F$12)+SUMIFS('Option Period 1'!61:61,'Option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41" s="15" t="e">
        <f>SUMIFS('Base Period'!61:61,'Base Period'!$29:$29,'Budget by Task'!G$7:H$7, 'Base Period'!$32:$32, 'Budget by Task'!G$12)+SUMIFS('Option Period 1'!61:61,'Option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41" s="16" t="e">
        <f>SUMIFS('Base Period'!61:61,'Base Period'!$28:$28,'Budget by Task'!H$6, 'Base Period'!$32:$32, 'Budget by Task'!H$12)+SUMIFS('Option Period 1'!61:61,'Option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41" s="15" t="e">
        <f>SUMIFS('Base Period'!61:61,'Base Period'!$29:$29,'Budget by Task'!I$7:J$7, 'Base Period'!$32:$32, 'Budget by Task'!I$12)+SUMIFS('Option Period 1'!61:61,'Option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41" s="16" t="e">
        <f>SUMIFS('Base Period'!61:61,'Base Period'!$28:$28,'Budget by Task'!J$6, 'Base Period'!$32:$32, 'Budget by Task'!J$12)+SUMIFS('Option Period 1'!61:61,'Option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41" s="15" t="e">
        <f>SUMIFS('Base Period'!61:61,'Base Period'!$29:$29,'Budget by Task'!K$7:L$7, 'Base Period'!$32:$32, 'Budget by Task'!K$12)+SUMIFS('Option Period 1'!61:61,'Option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41" s="16" t="e">
        <f>SUMIFS('Base Period'!61:61,'Base Period'!$28:$28,'Budget by Task'!L$6, 'Base Period'!$32:$32, 'Budget by Task'!L$12)+SUMIFS('Option Period 1'!61:61,'Option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41" s="15" t="e">
        <f>SUMIFS('Base Period'!61:61,'Base Period'!$29:$29,'Budget by Task'!M$7:N$7, 'Base Period'!$32:$32, 'Budget by Task'!M$12)+SUMIFS('Option Period 1'!61:61,'Option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41" s="16" t="e">
        <f>SUMIFS('Base Period'!61:61,'Base Period'!$28:$28,'Budget by Task'!N$6, 'Base Period'!$32:$32, 'Budget by Task'!N$12)+SUMIFS('Option Period 1'!61:61,'Option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41" s="15" t="e">
        <f>SUMIFS('Base Period'!61:61,'Base Period'!$29:$29,'Budget by Task'!O$7:P$7, 'Base Period'!$32:$32, 'Budget by Task'!O$12)+SUMIFS('Option Period 1'!61:61,'Option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41" s="16" t="e">
        <f>SUMIFS('Base Period'!61:61,'Base Period'!$28:$28,'Budget by Task'!P$6, 'Base Period'!$32:$32, 'Budget by Task'!P$12)+SUMIFS('Option Period 1'!61:61,'Option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41" s="15" t="e">
        <f>SUMIFS('Base Period'!61:61,'Base Period'!$29:$29,'Budget by Task'!Q$7:R$7, 'Base Period'!$32:$32, 'Budget by Task'!Q$12)+SUMIFS('Option Period 1'!61:61,'Option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41" s="16" t="e">
        <f>SUMIFS('Base Period'!61:61,'Base Period'!$28:$28,'Budget by Task'!R$6, 'Base Period'!$32:$32, 'Budget by Task'!R$12)+SUMIFS('Option Period 1'!61:61,'Option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41" s="15" t="e">
        <f>SUMIFS('Base Period'!61:61,'Base Period'!$29:$29,'Budget by Task'!S$7:T$7, 'Base Period'!$32:$32, 'Budget by Task'!S$12)+SUMIFS('Option Period 1'!61:61,'Option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41" s="16" t="e">
        <f>SUMIFS('Base Period'!61:61,'Base Period'!$28:$28,'Budget by Task'!T$6, 'Base Period'!$32:$32, 'Budget by Task'!T$12)+SUMIFS('Option Period 1'!61:61,'Option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41" s="15" t="e">
        <f>SUMIFS('Base Period'!61:61,'Base Period'!$29:$29,'Budget by Task'!U$7:V$7, 'Base Period'!$32:$32, 'Budget by Task'!U$12)+SUMIFS('Option Period 1'!61:61,'Option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41" s="16" t="e">
        <f>SUMIFS('Base Period'!61:61,'Base Period'!$28:$28,'Budget by Task'!V$6, 'Base Period'!$32:$32, 'Budget by Task'!V$12)+SUMIFS('Option Period 1'!61:61,'Option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41" s="15" t="e">
        <f>SUMIFS('Base Period'!61:61,'Base Period'!$29:$29,'Budget by Task'!W$7:X$7, 'Base Period'!$32:$32, 'Budget by Task'!W$12)+SUMIFS('Option Period 1'!61:61,'Option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41" s="16" t="e">
        <f>SUMIFS('Base Period'!61:61,'Base Period'!$28:$28,'Budget by Task'!X$6, 'Base Period'!$32:$32, 'Budget by Task'!X$12)+SUMIFS('Option Period 1'!61:61,'Option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41" s="15" t="e">
        <f>SUMIFS('Base Period'!61:61,'Base Period'!$29:$29,'Budget by Task'!Y$7:Z$7, 'Base Period'!$32:$32, 'Budget by Task'!Y$12)+SUMIFS('Option Period 1'!61:61,'Option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41" s="16" t="e">
        <f>SUMIFS('Base Period'!61:61,'Base Period'!$28:$28,'Budget by Task'!Z$6, 'Base Period'!$32:$32, 'Budget by Task'!Z$12)+SUMIFS('Option Period 1'!61:61,'Option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41" s="15" t="e">
        <f>SUMIFS('Base Period'!61:61,'Base Period'!$29:$29,'Budget by Task'!AA$7:AB$7, 'Base Period'!$32:$32, 'Budget by Task'!AA$12)+SUMIFS('Option Period 1'!61:61,'Option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41" s="16" t="e">
        <f>SUMIFS('Base Period'!61:61,'Base Period'!$28:$28,'Budget by Task'!AB$6, 'Base Period'!$32:$32, 'Budget by Task'!AB$12)+SUMIFS('Option Period 1'!61:61,'Option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41" s="15" t="e">
        <f>SUMIFS('Base Period'!61:61,'Base Period'!$29:$29,'Budget by Task'!AC$7:AD$7, 'Base Period'!$32:$32, 'Budget by Task'!AC$12)+SUMIFS('Option Period 1'!61:61,'Option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41" s="16" t="e">
        <f>SUMIFS('Base Period'!61:61,'Base Period'!$28:$28,'Budget by Task'!AD$6, 'Base Period'!$32:$32, 'Budget by Task'!AD$12)+SUMIFS('Option Period 1'!61:61,'Option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41" s="15" t="e">
        <f>SUMIFS('Base Period'!61:61,'Base Period'!$29:$29,'Budget by Task'!AE$7:AF$7, 'Base Period'!$32:$32, 'Budget by Task'!AE$12)+SUMIFS('Option Period 1'!61:61,'Option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41" s="16" t="e">
        <f>SUMIFS('Base Period'!61:61,'Base Period'!$28:$28,'Budget by Task'!AF$6, 'Base Period'!$32:$32, 'Budget by Task'!AF$12)+SUMIFS('Option Period 1'!61:61,'Option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41" s="15" t="e">
        <f>SUMIFS('Base Period'!61:61,'Base Period'!$29:$29,'Budget by Task'!AG$7:AH$7, 'Base Period'!$32:$32, 'Budget by Task'!AG$12)+SUMIFS('Option Period 1'!61:61,'Option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41" s="16" t="e">
        <f>SUMIFS('Base Period'!61:61,'Base Period'!$28:$28,'Budget by Task'!AH$6, 'Base Period'!$32:$32, 'Budget by Task'!AH$12)+SUMIFS('Option Period 1'!61:61,'Option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41" s="1" t="e">
        <f>SUMIFS('Base Period'!61:61,'Base Period'!$29:$29,'Budget by Task'!AI$7)+SUMIFS('Option Period 1'!61:61,'Option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41" s="11" t="e">
        <f>SUMIFS('Base Period'!61:61,'Base Period'!$29:$29,'Budget by Task'!AJ$7)+SUMIFS('Option Period 1'!61:61,'Option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41" s="151" t="e">
        <f>ROUND(AJ41-'Base Period'!BN61-'Option Period 1'!BN61-#REF!-#REF!-#REF!-#REF!-#REF!-#REF!-#REF!-#REF!,0)</f>
        <v>#REF!</v>
      </c>
    </row>
    <row r="42" spans="2:39" ht="15.75" x14ac:dyDescent="0.25">
      <c r="B42" s="6" t="str">
        <f>'Base Period'!B62</f>
        <v>Name</v>
      </c>
      <c r="C42" s="15" t="e">
        <f>SUMIFS('Base Period'!62:62,'Base Period'!$29:$29,'Budget by Task'!C$7:D$7, 'Base Period'!$32:$32, 'Budget by Task'!C$12)+SUMIFS('Option Period 1'!62:62,'Option Period 1'!$29:$29,'Budget by Task'!C$7:D$7, 'Option Period 1'!$32:$32,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Task'!C$12)+SUMIFS(#REF!,#REF!,'Budget by Task'!C$7:D$7,#REF!, 'Budget by Task'!C$12)</f>
        <v>#REF!</v>
      </c>
      <c r="D42" s="16" t="e">
        <f>SUMIFS('Base Period'!62:62,'Base Period'!$28:$28,'Budget by Task'!D$6, 'Base Period'!$32:$32, 'Budget by Task'!D$12)+SUMIFS('Option Period 1'!62:62,'Option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E42" s="15" t="e">
        <f>SUMIFS('Base Period'!62:62,'Base Period'!$29:$29,'Budget by Task'!E$7:F$7, 'Base Period'!$32:$32, 'Budget by Task'!E$12)+SUMIFS('Option Period 1'!62:62,'Option Period 1'!$29:$29,'Budget by Task'!E$7:F$7, 'Option Period 1'!$32:$32,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Task'!E$12)+SUMIFS(#REF!,#REF!,'Budget by Task'!E$7:F$7,#REF!, 'Budget by Task'!E$12)</f>
        <v>#REF!</v>
      </c>
      <c r="F42" s="16" t="e">
        <f>SUMIFS('Base Period'!62:62,'Base Period'!$28:$28,'Budget by Task'!F$6, 'Base Period'!$32:$32, 'Budget by Task'!F$12)+SUMIFS('Option Period 1'!62:62,'Option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G42" s="15" t="e">
        <f>SUMIFS('Base Period'!62:62,'Base Period'!$29:$29,'Budget by Task'!G$7:H$7, 'Base Period'!$32:$32, 'Budget by Task'!G$12)+SUMIFS('Option Period 1'!62:62,'Option Period 1'!$29:$29,'Budget by Task'!G$7:H$7, 'Option Period 1'!$32:$32,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Task'!G$12)+SUMIFS(#REF!,#REF!,'Budget by Task'!G$7:H$7,#REF!, 'Budget by Task'!G$12)</f>
        <v>#REF!</v>
      </c>
      <c r="H42" s="16" t="e">
        <f>SUMIFS('Base Period'!62:62,'Base Period'!$28:$28,'Budget by Task'!H$6, 'Base Period'!$32:$32, 'Budget by Task'!H$12)+SUMIFS('Option Period 1'!62:62,'Option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I42" s="15" t="e">
        <f>SUMIFS('Base Period'!62:62,'Base Period'!$29:$29,'Budget by Task'!I$7:J$7, 'Base Period'!$32:$32, 'Budget by Task'!I$12)+SUMIFS('Option Period 1'!62:62,'Option Period 1'!$29:$29,'Budget by Task'!I$7:J$7, 'Option Period 1'!$32:$32,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Task'!I$12)+SUMIFS(#REF!,#REF!,'Budget by Task'!I$7:J$7,#REF!, 'Budget by Task'!I$12)</f>
        <v>#REF!</v>
      </c>
      <c r="J42" s="16" t="e">
        <f>SUMIFS('Base Period'!62:62,'Base Period'!$28:$28,'Budget by Task'!J$6, 'Base Period'!$32:$32, 'Budget by Task'!J$12)+SUMIFS('Option Period 1'!62:62,'Option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K42" s="15" t="e">
        <f>SUMIFS('Base Period'!62:62,'Base Period'!$29:$29,'Budget by Task'!K$7:L$7, 'Base Period'!$32:$32, 'Budget by Task'!K$12)+SUMIFS('Option Period 1'!62:62,'Option Period 1'!$29:$29,'Budget by Task'!K$7:L$7, 'Option Period 1'!$32:$32,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Task'!K$12)+SUMIFS(#REF!,#REF!,'Budget by Task'!K$7:L$7,#REF!, 'Budget by Task'!K$12)</f>
        <v>#REF!</v>
      </c>
      <c r="L42" s="16" t="e">
        <f>SUMIFS('Base Period'!62:62,'Base Period'!$28:$28,'Budget by Task'!L$6, 'Base Period'!$32:$32, 'Budget by Task'!L$12)+SUMIFS('Option Period 1'!62:62,'Option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M42" s="15" t="e">
        <f>SUMIFS('Base Period'!62:62,'Base Period'!$29:$29,'Budget by Task'!M$7:N$7, 'Base Period'!$32:$32, 'Budget by Task'!M$12)+SUMIFS('Option Period 1'!62:62,'Option Period 1'!$29:$29,'Budget by Task'!M$7:N$7, 'Option Period 1'!$32:$32,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Task'!M$12)+SUMIFS(#REF!,#REF!,'Budget by Task'!M$7:N$7,#REF!, 'Budget by Task'!M$12)</f>
        <v>#REF!</v>
      </c>
      <c r="N42" s="16" t="e">
        <f>SUMIFS('Base Period'!62:62,'Base Period'!$28:$28,'Budget by Task'!N$6, 'Base Period'!$32:$32, 'Budget by Task'!N$12)+SUMIFS('Option Period 1'!62:62,'Option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O42" s="15" t="e">
        <f>SUMIFS('Base Period'!62:62,'Base Period'!$29:$29,'Budget by Task'!O$7:P$7, 'Base Period'!$32:$32, 'Budget by Task'!O$12)+SUMIFS('Option Period 1'!62:62,'Option Period 1'!$29:$29,'Budget by Task'!O$7:P$7, 'Option Period 1'!$32:$32,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Task'!O$12)+SUMIFS(#REF!,#REF!,'Budget by Task'!O$7:P$7,#REF!, 'Budget by Task'!O$12)</f>
        <v>#REF!</v>
      </c>
      <c r="P42" s="16" t="e">
        <f>SUMIFS('Base Period'!62:62,'Base Period'!$28:$28,'Budget by Task'!P$6, 'Base Period'!$32:$32, 'Budget by Task'!P$12)+SUMIFS('Option Period 1'!62:62,'Option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Q42" s="15" t="e">
        <f>SUMIFS('Base Period'!62:62,'Base Period'!$29:$29,'Budget by Task'!Q$7:R$7, 'Base Period'!$32:$32, 'Budget by Task'!Q$12)+SUMIFS('Option Period 1'!62:62,'Option Period 1'!$29:$29,'Budget by Task'!Q$7:R$7, 'Option Period 1'!$32:$32,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Task'!Q$12)+SUMIFS(#REF!,#REF!,'Budget by Task'!Q$7:R$7,#REF!, 'Budget by Task'!Q$12)</f>
        <v>#REF!</v>
      </c>
      <c r="R42" s="16" t="e">
        <f>SUMIFS('Base Period'!62:62,'Base Period'!$28:$28,'Budget by Task'!R$6, 'Base Period'!$32:$32, 'Budget by Task'!R$12)+SUMIFS('Option Period 1'!62:62,'Option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S42" s="15" t="e">
        <f>SUMIFS('Base Period'!62:62,'Base Period'!$29:$29,'Budget by Task'!S$7:T$7, 'Base Period'!$32:$32, 'Budget by Task'!S$12)+SUMIFS('Option Period 1'!62:62,'Option Period 1'!$29:$29,'Budget by Task'!S$7:T$7, 'Option Period 1'!$32:$32,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Task'!S$12)+SUMIFS(#REF!,#REF!,'Budget by Task'!S$7:T$7,#REF!, 'Budget by Task'!S$12)</f>
        <v>#REF!</v>
      </c>
      <c r="T42" s="16" t="e">
        <f>SUMIFS('Base Period'!62:62,'Base Period'!$28:$28,'Budget by Task'!T$6, 'Base Period'!$32:$32, 'Budget by Task'!T$12)+SUMIFS('Option Period 1'!62:62,'Option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U42" s="15" t="e">
        <f>SUMIFS('Base Period'!62:62,'Base Period'!$29:$29,'Budget by Task'!U$7:V$7, 'Base Period'!$32:$32, 'Budget by Task'!U$12)+SUMIFS('Option Period 1'!62:62,'Option Period 1'!$29:$29,'Budget by Task'!U$7:V$7, 'Option Period 1'!$32:$32,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Task'!U$12)+SUMIFS(#REF!,#REF!,'Budget by Task'!U$7:V$7,#REF!, 'Budget by Task'!U$12)</f>
        <v>#REF!</v>
      </c>
      <c r="V42" s="16" t="e">
        <f>SUMIFS('Base Period'!62:62,'Base Period'!$28:$28,'Budget by Task'!V$6, 'Base Period'!$32:$32, 'Budget by Task'!V$12)+SUMIFS('Option Period 1'!62:62,'Option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W42" s="15" t="e">
        <f>SUMIFS('Base Period'!62:62,'Base Period'!$29:$29,'Budget by Task'!W$7:X$7, 'Base Period'!$32:$32, 'Budget by Task'!W$12)+SUMIFS('Option Period 1'!62:62,'Option Period 1'!$29:$29,'Budget by Task'!W$7:X$7, 'Option Period 1'!$32:$32,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Task'!W$12)+SUMIFS(#REF!,#REF!,'Budget by Task'!W$7:X$7,#REF!, 'Budget by Task'!W$12)</f>
        <v>#REF!</v>
      </c>
      <c r="X42" s="16" t="e">
        <f>SUMIFS('Base Period'!62:62,'Base Period'!$28:$28,'Budget by Task'!X$6, 'Base Period'!$32:$32, 'Budget by Task'!X$12)+SUMIFS('Option Period 1'!62:62,'Option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Y42" s="15" t="e">
        <f>SUMIFS('Base Period'!62:62,'Base Period'!$29:$29,'Budget by Task'!Y$7:Z$7, 'Base Period'!$32:$32, 'Budget by Task'!Y$12)+SUMIFS('Option Period 1'!62:62,'Option Period 1'!$29:$29,'Budget by Task'!Y$7:Z$7, 'Option Period 1'!$32:$32,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Task'!Y$12)+SUMIFS(#REF!,#REF!,'Budget by Task'!Y$7:Z$7,#REF!, 'Budget by Task'!Y$12)</f>
        <v>#REF!</v>
      </c>
      <c r="Z42" s="16" t="e">
        <f>SUMIFS('Base Period'!62:62,'Base Period'!$28:$28,'Budget by Task'!Z$6, 'Base Period'!$32:$32, 'Budget by Task'!Z$12)+SUMIFS('Option Period 1'!62:62,'Option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A42" s="15" t="e">
        <f>SUMIFS('Base Period'!62:62,'Base Period'!$29:$29,'Budget by Task'!AA$7:AB$7, 'Base Period'!$32:$32, 'Budget by Task'!AA$12)+SUMIFS('Option Period 1'!62:62,'Option Period 1'!$29:$29,'Budget by Task'!AA$7:AB$7, 'Option Period 1'!$32:$32,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Task'!AA$12)+SUMIFS(#REF!,#REF!,'Budget by Task'!AA$7:AB$7,#REF!, 'Budget by Task'!AA$12)</f>
        <v>#REF!</v>
      </c>
      <c r="AB42" s="16" t="e">
        <f>SUMIFS('Base Period'!62:62,'Base Period'!$28:$28,'Budget by Task'!AB$6, 'Base Period'!$32:$32, 'Budget by Task'!AB$12)+SUMIFS('Option Period 1'!62:62,'Option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C42" s="15" t="e">
        <f>SUMIFS('Base Period'!62:62,'Base Period'!$29:$29,'Budget by Task'!AC$7:AD$7, 'Base Period'!$32:$32, 'Budget by Task'!AC$12)+SUMIFS('Option Period 1'!62:62,'Option Period 1'!$29:$29,'Budget by Task'!AC$7:AD$7, 'Option Period 1'!$32:$32,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Task'!AC$12)+SUMIFS(#REF!,#REF!,'Budget by Task'!AC$7:AD$7,#REF!, 'Budget by Task'!AC$12)</f>
        <v>#REF!</v>
      </c>
      <c r="AD42" s="16" t="e">
        <f>SUMIFS('Base Period'!62:62,'Base Period'!$28:$28,'Budget by Task'!AD$6, 'Base Period'!$32:$32, 'Budget by Task'!AD$12)+SUMIFS('Option Period 1'!62:62,'Option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E42" s="15" t="e">
        <f>SUMIFS('Base Period'!62:62,'Base Period'!$29:$29,'Budget by Task'!AE$7:AF$7, 'Base Period'!$32:$32, 'Budget by Task'!AE$12)+SUMIFS('Option Period 1'!62:62,'Option Period 1'!$29:$29,'Budget by Task'!AE$7:AF$7, 'Option Period 1'!$32:$32,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Task'!AE$12)+SUMIFS(#REF!,#REF!,'Budget by Task'!AE$7:AF$7,#REF!, 'Budget by Task'!AE$12)</f>
        <v>#REF!</v>
      </c>
      <c r="AF42" s="16" t="e">
        <f>SUMIFS('Base Period'!62:62,'Base Period'!$28:$28,'Budget by Task'!AF$6, 'Base Period'!$32:$32, 'Budget by Task'!AF$12)+SUMIFS('Option Period 1'!62:62,'Option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G42" s="15" t="e">
        <f>SUMIFS('Base Period'!62:62,'Base Period'!$29:$29,'Budget by Task'!AG$7:AH$7, 'Base Period'!$32:$32, 'Budget by Task'!AG$12)+SUMIFS('Option Period 1'!62:62,'Option Period 1'!$29:$29,'Budget by Task'!AG$7:AH$7, 'Option Period 1'!$32:$32,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Task'!AG$12)+SUMIFS(#REF!,#REF!,'Budget by Task'!AG$7:AH$7,#REF!, 'Budget by Task'!AG$12)</f>
        <v>#REF!</v>
      </c>
      <c r="AH42" s="16" t="e">
        <f>SUMIFS('Base Period'!62:62,'Base Period'!$28:$28,'Budget by Task'!AH$6, 'Base Period'!$32:$32, 'Budget by Task'!AH$12)+SUMIFS('Option Period 1'!62:62,'Option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I42" s="1" t="e">
        <f>SUMIFS('Base Period'!62:62,'Base Period'!$29:$29,'Budget by Task'!AI$7)+SUMIFS('Option Period 1'!62:62,'Option Period 1'!$29:$29,'Budget by Task'!AI$7)+SUMIFS(#REF!,#REF!,'Budget by Task'!AI$7)+SUMIFS(#REF!,#REF!,'Budget by Task'!AI$7)+SUMIFS(#REF!,#REF!,'Budget by Task'!AI$7)+SUMIFS(#REF!,#REF!,'Budget by Task'!AI$7)+SUMIFS(#REF!,#REF!,'Budget by Task'!AI$7)+SUMIFS(#REF!,#REF!,'Budget by Task'!AI$7)+SUMIFS(#REF!,#REF!,'Budget by Task'!AI$7)+SUMIFS(#REF!,#REF!,'Budget by Task'!AI$7)</f>
        <v>#REF!</v>
      </c>
      <c r="AJ42" s="11" t="e">
        <f>SUMIFS('Base Period'!62:62,'Base Period'!$29:$29,'Budget by Task'!AJ$7)+SUMIFS('Option Period 1'!62:62,'Option Period 1'!$29:$29,'Budget by Task'!AJ$7)+SUMIFS(#REF!,#REF!,'Budget by Task'!AJ$7)+SUMIFS(#REF!,#REF!,'Budget by Task'!AJ$7)+SUMIFS(#REF!,#REF!,'Budget by Task'!AJ$7)+SUMIFS(#REF!,#REF!,'Budget by Task'!AJ$7)+SUMIFS(#REF!,#REF!,'Budget by Task'!AJ$7)+SUMIFS(#REF!,#REF!,'Budget by Task'!AJ$7)+SUMIFS(#REF!,#REF!,'Budget by Task'!AJ$7)+SUMIFS(#REF!,#REF!,'Budget by Task'!AJ$7)</f>
        <v>#REF!</v>
      </c>
      <c r="AM42" s="151" t="e">
        <f>ROUND(AJ42-'Base Period'!BN62-'Option Period 1'!BN62-#REF!-#REF!-#REF!-#REF!-#REF!-#REF!-#REF!-#REF!,0)</f>
        <v>#REF!</v>
      </c>
    </row>
    <row r="43" spans="2:39" ht="15.75" x14ac:dyDescent="0.25">
      <c r="B43" s="2"/>
      <c r="C43" s="17"/>
      <c r="D43" s="24"/>
      <c r="E43" s="17"/>
      <c r="F43" s="24"/>
      <c r="G43" s="17"/>
      <c r="H43" s="24"/>
      <c r="I43" s="17"/>
      <c r="J43" s="24"/>
      <c r="K43" s="17"/>
      <c r="L43" s="24"/>
      <c r="M43" s="17"/>
      <c r="N43" s="24"/>
      <c r="O43" s="17"/>
      <c r="P43" s="24"/>
      <c r="Q43" s="17"/>
      <c r="R43" s="24"/>
      <c r="S43" s="17"/>
      <c r="T43" s="24"/>
      <c r="U43" s="17"/>
      <c r="V43" s="24"/>
      <c r="W43" s="17"/>
      <c r="X43" s="24"/>
      <c r="Y43" s="17"/>
      <c r="Z43" s="24"/>
      <c r="AA43" s="17"/>
      <c r="AB43" s="24"/>
      <c r="AC43" s="17"/>
      <c r="AD43" s="24"/>
      <c r="AE43" s="17"/>
      <c r="AF43" s="24"/>
      <c r="AG43" s="17"/>
      <c r="AH43" s="24"/>
      <c r="AI43" s="1"/>
      <c r="AJ43" s="11"/>
      <c r="AM43" s="149"/>
    </row>
    <row r="44" spans="2:39" ht="15.75" x14ac:dyDescent="0.25">
      <c r="B44" t="s">
        <v>136</v>
      </c>
      <c r="C44" s="5" t="e">
        <f t="shared" ref="C44:AJ44" si="0">SUM(C13:C43)</f>
        <v>#REF!</v>
      </c>
      <c r="D44" s="24" t="e">
        <f t="shared" si="0"/>
        <v>#REF!</v>
      </c>
      <c r="E44" s="5" t="e">
        <f t="shared" si="0"/>
        <v>#REF!</v>
      </c>
      <c r="F44" s="24" t="e">
        <f t="shared" si="0"/>
        <v>#REF!</v>
      </c>
      <c r="G44" s="5" t="e">
        <f t="shared" si="0"/>
        <v>#REF!</v>
      </c>
      <c r="H44" s="24" t="e">
        <f t="shared" si="0"/>
        <v>#REF!</v>
      </c>
      <c r="I44" s="5" t="e">
        <f t="shared" si="0"/>
        <v>#REF!</v>
      </c>
      <c r="J44" s="24" t="e">
        <f t="shared" si="0"/>
        <v>#REF!</v>
      </c>
      <c r="K44" s="5" t="e">
        <f t="shared" si="0"/>
        <v>#REF!</v>
      </c>
      <c r="L44" s="24" t="e">
        <f t="shared" si="0"/>
        <v>#REF!</v>
      </c>
      <c r="M44" s="5" t="e">
        <f t="shared" si="0"/>
        <v>#REF!</v>
      </c>
      <c r="N44" s="24" t="e">
        <f t="shared" si="0"/>
        <v>#REF!</v>
      </c>
      <c r="O44" s="5" t="e">
        <f t="shared" si="0"/>
        <v>#REF!</v>
      </c>
      <c r="P44" s="24" t="e">
        <f t="shared" si="0"/>
        <v>#REF!</v>
      </c>
      <c r="Q44" s="5" t="e">
        <f t="shared" si="0"/>
        <v>#REF!</v>
      </c>
      <c r="R44" s="24" t="e">
        <f t="shared" si="0"/>
        <v>#REF!</v>
      </c>
      <c r="S44" s="5" t="e">
        <f t="shared" si="0"/>
        <v>#REF!</v>
      </c>
      <c r="T44" s="24" t="e">
        <f t="shared" si="0"/>
        <v>#REF!</v>
      </c>
      <c r="U44" s="5" t="e">
        <f t="shared" si="0"/>
        <v>#REF!</v>
      </c>
      <c r="V44" s="24" t="e">
        <f t="shared" si="0"/>
        <v>#REF!</v>
      </c>
      <c r="W44" s="5" t="e">
        <f t="shared" si="0"/>
        <v>#REF!</v>
      </c>
      <c r="X44" s="24" t="e">
        <f t="shared" si="0"/>
        <v>#REF!</v>
      </c>
      <c r="Y44" s="5" t="e">
        <f t="shared" si="0"/>
        <v>#REF!</v>
      </c>
      <c r="Z44" s="24" t="e">
        <f t="shared" si="0"/>
        <v>#REF!</v>
      </c>
      <c r="AA44" s="5" t="e">
        <f t="shared" si="0"/>
        <v>#REF!</v>
      </c>
      <c r="AB44" s="24" t="e">
        <f t="shared" si="0"/>
        <v>#REF!</v>
      </c>
      <c r="AC44" s="5" t="e">
        <f t="shared" si="0"/>
        <v>#REF!</v>
      </c>
      <c r="AD44" s="24" t="e">
        <f t="shared" si="0"/>
        <v>#REF!</v>
      </c>
      <c r="AE44" s="5" t="e">
        <f t="shared" si="0"/>
        <v>#REF!</v>
      </c>
      <c r="AF44" s="24" t="e">
        <f t="shared" si="0"/>
        <v>#REF!</v>
      </c>
      <c r="AG44" s="5" t="e">
        <f t="shared" si="0"/>
        <v>#REF!</v>
      </c>
      <c r="AH44" s="24" t="e">
        <f t="shared" si="0"/>
        <v>#REF!</v>
      </c>
      <c r="AI44" s="1" t="e">
        <f t="shared" si="0"/>
        <v>#REF!</v>
      </c>
      <c r="AJ44" s="11" t="e">
        <f t="shared" si="0"/>
        <v>#REF!</v>
      </c>
      <c r="AM44" s="151" t="e">
        <f>ROUND(AJ44-'Base Period'!BN64-'Option Period 1'!BN64-#REF!-#REF!-#REF!-#REF!-#REF!-#REF!-#REF!-#REF!,0)</f>
        <v>#REF!</v>
      </c>
    </row>
    <row r="45" spans="2:39" ht="15.75" x14ac:dyDescent="0.25">
      <c r="B45" t="s">
        <v>135</v>
      </c>
      <c r="D45" s="16" t="e">
        <f>SUMIFS('Base Period'!65:65,'Base Period'!$28:$28,'Budget by Task'!D$6, 'Base Period'!$32:$32, 'Budget by Task'!D$12)+SUMIFS('Option Period 1'!65:65,'Option Period 1'!$28:$28,'Budget by Task'!D$6, 'Option Period 1'!$32:$32,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Task'!D$12)+SUMIFS(#REF!,#REF!,'Budget by Task'!D$6,#REF!, 'Budget by Task'!D$12)</f>
        <v>#REF!</v>
      </c>
      <c r="F45" s="16" t="e">
        <f>SUMIFS('Base Period'!65:65,'Base Period'!$28:$28,'Budget by Task'!F$6, 'Base Period'!$32:$32, 'Budget by Task'!F$12)+SUMIFS('Option Period 1'!65:65,'Option Period 1'!$28:$28,'Budget by Task'!F$6, 'Option Period 1'!$32:$32,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Task'!F$12)+SUMIFS(#REF!,#REF!,'Budget by Task'!F$6,#REF!, 'Budget by Task'!F$12)</f>
        <v>#REF!</v>
      </c>
      <c r="H45" s="16" t="e">
        <f>SUMIFS('Base Period'!65:65,'Base Period'!$28:$28,'Budget by Task'!H$6, 'Base Period'!$32:$32, 'Budget by Task'!H$12)+SUMIFS('Option Period 1'!65:65,'Option Period 1'!$28:$28,'Budget by Task'!H$6, 'Option Period 1'!$32:$32,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Task'!H$12)+SUMIFS(#REF!,#REF!,'Budget by Task'!H$6,#REF!, 'Budget by Task'!H$12)</f>
        <v>#REF!</v>
      </c>
      <c r="J45" s="16" t="e">
        <f>SUMIFS('Base Period'!65:65,'Base Period'!$28:$28,'Budget by Task'!J$6, 'Base Period'!$32:$32, 'Budget by Task'!J$12)+SUMIFS('Option Period 1'!65:65,'Option Period 1'!$28:$28,'Budget by Task'!J$6, 'Option Period 1'!$32:$32,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Task'!J$12)+SUMIFS(#REF!,#REF!,'Budget by Task'!J$6,#REF!, 'Budget by Task'!J$12)</f>
        <v>#REF!</v>
      </c>
      <c r="L45" s="16" t="e">
        <f>SUMIFS('Base Period'!65:65,'Base Period'!$28:$28,'Budget by Task'!L$6, 'Base Period'!$32:$32, 'Budget by Task'!L$12)+SUMIFS('Option Period 1'!65:65,'Option Period 1'!$28:$28,'Budget by Task'!L$6, 'Option Period 1'!$32:$32,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Task'!L$12)+SUMIFS(#REF!,#REF!,'Budget by Task'!L$6,#REF!, 'Budget by Task'!L$12)</f>
        <v>#REF!</v>
      </c>
      <c r="N45" s="16" t="e">
        <f>SUMIFS('Base Period'!65:65,'Base Period'!$28:$28,'Budget by Task'!N$6, 'Base Period'!$32:$32, 'Budget by Task'!N$12)+SUMIFS('Option Period 1'!65:65,'Option Period 1'!$28:$28,'Budget by Task'!N$6, 'Option Period 1'!$32:$32,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Task'!N$12)+SUMIFS(#REF!,#REF!,'Budget by Task'!N$6,#REF!, 'Budget by Task'!N$12)</f>
        <v>#REF!</v>
      </c>
      <c r="P45" s="16" t="e">
        <f>SUMIFS('Base Period'!65:65,'Base Period'!$28:$28,'Budget by Task'!P$6, 'Base Period'!$32:$32, 'Budget by Task'!P$12)+SUMIFS('Option Period 1'!65:65,'Option Period 1'!$28:$28,'Budget by Task'!P$6, 'Option Period 1'!$32:$32,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Task'!P$12)+SUMIFS(#REF!,#REF!,'Budget by Task'!P$6,#REF!, 'Budget by Task'!P$12)</f>
        <v>#REF!</v>
      </c>
      <c r="R45" s="16" t="e">
        <f>SUMIFS('Base Period'!65:65,'Base Period'!$28:$28,'Budget by Task'!R$6, 'Base Period'!$32:$32, 'Budget by Task'!R$12)+SUMIFS('Option Period 1'!65:65,'Option Period 1'!$28:$28,'Budget by Task'!R$6, 'Option Period 1'!$32:$32,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Task'!R$12)+SUMIFS(#REF!,#REF!,'Budget by Task'!R$6,#REF!, 'Budget by Task'!R$12)</f>
        <v>#REF!</v>
      </c>
      <c r="T45" s="16" t="e">
        <f>SUMIFS('Base Period'!65:65,'Base Period'!$28:$28,'Budget by Task'!T$6, 'Base Period'!$32:$32, 'Budget by Task'!T$12)+SUMIFS('Option Period 1'!65:65,'Option Period 1'!$28:$28,'Budget by Task'!T$6, 'Option Period 1'!$32:$32,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Task'!T$12)+SUMIFS(#REF!,#REF!,'Budget by Task'!T$6,#REF!, 'Budget by Task'!T$12)</f>
        <v>#REF!</v>
      </c>
      <c r="V45" s="16" t="e">
        <f>SUMIFS('Base Period'!65:65,'Base Period'!$28:$28,'Budget by Task'!V$6, 'Base Period'!$32:$32, 'Budget by Task'!V$12)+SUMIFS('Option Period 1'!65:65,'Option Period 1'!$28:$28,'Budget by Task'!V$6, 'Option Period 1'!$32:$32,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Task'!V$12)+SUMIFS(#REF!,#REF!,'Budget by Task'!V$6,#REF!, 'Budget by Task'!V$12)</f>
        <v>#REF!</v>
      </c>
      <c r="X45" s="16" t="e">
        <f>SUMIFS('Base Period'!65:65,'Base Period'!$28:$28,'Budget by Task'!X$6, 'Base Period'!$32:$32, 'Budget by Task'!X$12)+SUMIFS('Option Period 1'!65:65,'Option Period 1'!$28:$28,'Budget by Task'!X$6, 'Option Period 1'!$32:$32,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Task'!X$12)+SUMIFS(#REF!,#REF!,'Budget by Task'!X$6,#REF!, 'Budget by Task'!X$12)</f>
        <v>#REF!</v>
      </c>
      <c r="Z45" s="16" t="e">
        <f>SUMIFS('Base Period'!65:65,'Base Period'!$28:$28,'Budget by Task'!Z$6, 'Base Period'!$32:$32, 'Budget by Task'!Z$12)+SUMIFS('Option Period 1'!65:65,'Option Period 1'!$28:$28,'Budget by Task'!Z$6, 'Option Period 1'!$32:$32,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Task'!Z$12)+SUMIFS(#REF!,#REF!,'Budget by Task'!Z$6,#REF!, 'Budget by Task'!Z$12)</f>
        <v>#REF!</v>
      </c>
      <c r="AB45" s="16" t="e">
        <f>SUMIFS('Base Period'!65:65,'Base Period'!$28:$28,'Budget by Task'!AB$6, 'Base Period'!$32:$32, 'Budget by Task'!AB$12)+SUMIFS('Option Period 1'!65:65,'Option Period 1'!$28:$28,'Budget by Task'!AB$6, 'Option Period 1'!$32:$32,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Task'!AB$12)+SUMIFS(#REF!,#REF!,'Budget by Task'!AB$6,#REF!, 'Budget by Task'!AB$12)</f>
        <v>#REF!</v>
      </c>
      <c r="AD45" s="16" t="e">
        <f>SUMIFS('Base Period'!65:65,'Base Period'!$28:$28,'Budget by Task'!AD$6, 'Base Period'!$32:$32, 'Budget by Task'!AD$12)+SUMIFS('Option Period 1'!65:65,'Option Period 1'!$28:$28,'Budget by Task'!AD$6, 'Option Period 1'!$32:$32,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Task'!AD$12)+SUMIFS(#REF!,#REF!,'Budget by Task'!AD$6,#REF!, 'Budget by Task'!AD$12)</f>
        <v>#REF!</v>
      </c>
      <c r="AF45" s="16" t="e">
        <f>SUMIFS('Base Period'!65:65,'Base Period'!$28:$28,'Budget by Task'!AF$6, 'Base Period'!$32:$32, 'Budget by Task'!AF$12)+SUMIFS('Option Period 1'!65:65,'Option Period 1'!$28:$28,'Budget by Task'!AF$6, 'Option Period 1'!$32:$32,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Task'!AF$12)+SUMIFS(#REF!,#REF!,'Budget by Task'!AF$6,#REF!, 'Budget by Task'!AF$12)</f>
        <v>#REF!</v>
      </c>
      <c r="AH45" s="16" t="e">
        <f>SUMIFS('Base Period'!65:65,'Base Period'!$28:$28,'Budget by Task'!AH$6, 'Base Period'!$32:$32, 'Budget by Task'!AH$12)+SUMIFS('Option Period 1'!65:65,'Option Period 1'!$28:$28,'Budget by Task'!AH$6, 'Option Period 1'!$32:$32,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Task'!AH$12)+SUMIFS(#REF!,#REF!,'Budget by Task'!AH$6,#REF!, 'Budget by Task'!AH$12)</f>
        <v>#REF!</v>
      </c>
      <c r="AJ45" s="24" t="e">
        <f>SUM(C45:AI45)</f>
        <v>#REF!</v>
      </c>
      <c r="AM45" s="151" t="e">
        <f>ROUND(AJ45-'Base Period'!BN65-'Option Period 1'!BN65-#REF!-#REF!-#REF!-#REF!-#REF!-#REF!-#REF!-#REF!,0)</f>
        <v>#REF!</v>
      </c>
    </row>
    <row r="46" spans="2:39" ht="15.75" x14ac:dyDescent="0.25">
      <c r="B46" t="s">
        <v>8</v>
      </c>
      <c r="D46" s="16" t="e">
        <f>SUM(D44:D45)</f>
        <v>#REF!</v>
      </c>
      <c r="F46" s="16" t="e">
        <f>SUM(F44:F45)</f>
        <v>#REF!</v>
      </c>
      <c r="H46" s="16" t="e">
        <f>SUM(H44:H45)</f>
        <v>#REF!</v>
      </c>
      <c r="J46" s="16" t="e">
        <f>SUM(J44:J45)</f>
        <v>#REF!</v>
      </c>
      <c r="L46" s="16" t="e">
        <f>SUM(L44:L45)</f>
        <v>#REF!</v>
      </c>
      <c r="N46" s="16" t="e">
        <f>SUM(N44:N45)</f>
        <v>#REF!</v>
      </c>
      <c r="P46" s="16" t="e">
        <f>SUM(P44:P45)</f>
        <v>#REF!</v>
      </c>
      <c r="R46" s="16" t="e">
        <f>SUM(R44:R45)</f>
        <v>#REF!</v>
      </c>
      <c r="T46" s="16" t="e">
        <f>SUM(T44:T45)</f>
        <v>#REF!</v>
      </c>
      <c r="V46" s="16" t="e">
        <f>SUM(V44:V45)</f>
        <v>#REF!</v>
      </c>
      <c r="X46" s="16" t="e">
        <f>SUM(X44:X45)</f>
        <v>#REF!</v>
      </c>
      <c r="Z46" s="16" t="e">
        <f>SUM(Z44:Z45)</f>
        <v>#REF!</v>
      </c>
      <c r="AB46" s="16" t="e">
        <f>SUM(AB44:AB45)</f>
        <v>#REF!</v>
      </c>
      <c r="AD46" s="16" t="e">
        <f>SUM(AD44:AD45)</f>
        <v>#REF!</v>
      </c>
      <c r="AF46" s="16" t="e">
        <f>SUM(AF44:AF45)</f>
        <v>#REF!</v>
      </c>
      <c r="AH46" s="16" t="e">
        <f>SUM(AH44:AH45)</f>
        <v>#REF!</v>
      </c>
      <c r="AJ46" s="24" t="e">
        <f>SUM(C46:AI46)</f>
        <v>#REF!</v>
      </c>
      <c r="AM46" s="151" t="e">
        <f>ROUND(AJ46-'Base Period'!BN66-'Option Period 1'!BN66-#REF!-#REF!-#REF!-#REF!-#REF!-#REF!-#REF!-#REF!,0)</f>
        <v>#REF!</v>
      </c>
    </row>
    <row r="47" spans="2:39" ht="15.75" x14ac:dyDescent="0.25">
      <c r="C47" s="5"/>
      <c r="D47" s="11"/>
      <c r="E47" s="5"/>
      <c r="F47" s="11"/>
      <c r="G47" s="5"/>
      <c r="H47" s="11"/>
      <c r="I47" s="5"/>
      <c r="J47" s="11"/>
      <c r="K47" s="5"/>
      <c r="L47" s="11"/>
      <c r="M47" s="5"/>
      <c r="N47" s="11"/>
      <c r="O47" s="5"/>
      <c r="P47" s="11"/>
      <c r="Q47" s="5"/>
      <c r="R47" s="11"/>
      <c r="S47" s="5"/>
      <c r="T47" s="11"/>
      <c r="U47" s="5"/>
      <c r="V47" s="11"/>
      <c r="W47" s="5"/>
      <c r="X47" s="11"/>
      <c r="Y47" s="5"/>
      <c r="Z47" s="11"/>
      <c r="AA47" s="5"/>
      <c r="AB47" s="11"/>
      <c r="AC47" s="5"/>
      <c r="AD47" s="11"/>
      <c r="AE47" s="5"/>
      <c r="AF47" s="11"/>
      <c r="AG47" s="5"/>
      <c r="AH47" s="11"/>
      <c r="AI47" s="1"/>
      <c r="AJ47" s="11"/>
      <c r="AM47" s="149"/>
    </row>
    <row r="48" spans="2:39" ht="15.75" x14ac:dyDescent="0.25">
      <c r="B48" t="s">
        <v>72</v>
      </c>
      <c r="C48" s="1"/>
      <c r="D48" s="11" t="e">
        <f>D46*'Base Period'!$D$68</f>
        <v>#REF!</v>
      </c>
      <c r="E48" s="1"/>
      <c r="F48" s="11" t="e">
        <f>F46*'Base Period'!$D$68</f>
        <v>#REF!</v>
      </c>
      <c r="G48" s="1"/>
      <c r="H48" s="11" t="e">
        <f>H46*'Base Period'!$D$68</f>
        <v>#REF!</v>
      </c>
      <c r="I48" s="1"/>
      <c r="J48" s="11" t="e">
        <f>J46*'Base Period'!$D$68</f>
        <v>#REF!</v>
      </c>
      <c r="K48" s="1"/>
      <c r="L48" s="11" t="e">
        <f>L46*'Base Period'!$D$68</f>
        <v>#REF!</v>
      </c>
      <c r="M48" s="1"/>
      <c r="N48" s="11" t="e">
        <f>N46*'Base Period'!$D$68</f>
        <v>#REF!</v>
      </c>
      <c r="O48" s="1"/>
      <c r="P48" s="11" t="e">
        <f>P46*'Base Period'!$D$68</f>
        <v>#REF!</v>
      </c>
      <c r="Q48" s="1"/>
      <c r="R48" s="11" t="e">
        <f>R46*'Base Period'!$D$68</f>
        <v>#REF!</v>
      </c>
      <c r="S48" s="1"/>
      <c r="T48" s="11" t="e">
        <f>T46*'Base Period'!$D$68</f>
        <v>#REF!</v>
      </c>
      <c r="U48" s="1"/>
      <c r="V48" s="11" t="e">
        <f>V46*'Base Period'!$D$68</f>
        <v>#REF!</v>
      </c>
      <c r="W48" s="1"/>
      <c r="X48" s="11" t="e">
        <f>X46*'Base Period'!$D$68</f>
        <v>#REF!</v>
      </c>
      <c r="Y48" s="1"/>
      <c r="Z48" s="11" t="e">
        <f>Z46*'Base Period'!$D$68</f>
        <v>#REF!</v>
      </c>
      <c r="AA48" s="1"/>
      <c r="AB48" s="11" t="e">
        <f>AB46*'Base Period'!$D$68</f>
        <v>#REF!</v>
      </c>
      <c r="AC48" s="1"/>
      <c r="AD48" s="11" t="e">
        <f>AD46*'Base Period'!$D$68</f>
        <v>#REF!</v>
      </c>
      <c r="AE48" s="1"/>
      <c r="AF48" s="11" t="e">
        <f>AF46*'Base Period'!$D$68</f>
        <v>#REF!</v>
      </c>
      <c r="AG48" s="1"/>
      <c r="AH48" s="11" t="e">
        <f>AH46*'Base Period'!$D$68</f>
        <v>#REF!</v>
      </c>
      <c r="AJ48" s="24" t="e">
        <f>SUM(C48:AI48)</f>
        <v>#REF!</v>
      </c>
      <c r="AM48" s="151" t="e">
        <f>ROUND(AJ48-'Base Period'!BN68-'Option Period 1'!BN68-#REF!-#REF!-#REF!-#REF!-#REF!-#REF!-#REF!-#REF!,0)</f>
        <v>#REF!</v>
      </c>
    </row>
    <row r="49" spans="2:39" ht="15.75" x14ac:dyDescent="0.25">
      <c r="B49" t="s">
        <v>8</v>
      </c>
      <c r="C49" s="5"/>
      <c r="D49" s="11" t="e">
        <f>D48+D46</f>
        <v>#REF!</v>
      </c>
      <c r="E49" s="5"/>
      <c r="F49" s="11" t="e">
        <f>F48+F46</f>
        <v>#REF!</v>
      </c>
      <c r="G49" s="5"/>
      <c r="H49" s="11" t="e">
        <f>H48+H46</f>
        <v>#REF!</v>
      </c>
      <c r="I49" s="5"/>
      <c r="J49" s="11" t="e">
        <f>J48+J46</f>
        <v>#REF!</v>
      </c>
      <c r="K49" s="5"/>
      <c r="L49" s="11" t="e">
        <f>L48+L46</f>
        <v>#REF!</v>
      </c>
      <c r="M49" s="5"/>
      <c r="N49" s="11" t="e">
        <f>N48+N46</f>
        <v>#REF!</v>
      </c>
      <c r="O49" s="5"/>
      <c r="P49" s="11" t="e">
        <f>P48+P46</f>
        <v>#REF!</v>
      </c>
      <c r="Q49" s="5"/>
      <c r="R49" s="11" t="e">
        <f>R48+R46</f>
        <v>#REF!</v>
      </c>
      <c r="S49" s="5"/>
      <c r="T49" s="11" t="e">
        <f>T48+T46</f>
        <v>#REF!</v>
      </c>
      <c r="U49" s="5"/>
      <c r="V49" s="11" t="e">
        <f>V48+V46</f>
        <v>#REF!</v>
      </c>
      <c r="W49" s="5"/>
      <c r="X49" s="11" t="e">
        <f>X48+X46</f>
        <v>#REF!</v>
      </c>
      <c r="Y49" s="5"/>
      <c r="Z49" s="11" t="e">
        <f>Z48+Z46</f>
        <v>#REF!</v>
      </c>
      <c r="AA49" s="5"/>
      <c r="AB49" s="11" t="e">
        <f>AB48+AB46</f>
        <v>#REF!</v>
      </c>
      <c r="AC49" s="5"/>
      <c r="AD49" s="11" t="e">
        <f>AD48+AD46</f>
        <v>#REF!</v>
      </c>
      <c r="AE49" s="5"/>
      <c r="AF49" s="11" t="e">
        <f>AF48+AF46</f>
        <v>#REF!</v>
      </c>
      <c r="AG49" s="5"/>
      <c r="AH49" s="11" t="e">
        <f>AH48+AH46</f>
        <v>#REF!</v>
      </c>
      <c r="AI49" s="1"/>
      <c r="AJ49" s="11" t="e">
        <f>SUM(C49:AI49)</f>
        <v>#REF!</v>
      </c>
      <c r="AM49" s="151" t="e">
        <f>ROUND(AJ49-'Base Period'!BN69-'Option Period 1'!BN69-#REF!-#REF!-#REF!-#REF!-#REF!-#REF!-#REF!-#REF!,0)</f>
        <v>#REF!</v>
      </c>
    </row>
    <row r="50" spans="2:39" ht="15.75" x14ac:dyDescent="0.25">
      <c r="C50" s="5"/>
      <c r="D50" s="11"/>
      <c r="E50" s="5"/>
      <c r="F50" s="11"/>
      <c r="G50" s="5"/>
      <c r="H50" s="11"/>
      <c r="I50" s="5"/>
      <c r="J50" s="11"/>
      <c r="K50" s="5"/>
      <c r="L50" s="11"/>
      <c r="M50" s="5"/>
      <c r="N50" s="11"/>
      <c r="O50" s="5"/>
      <c r="P50" s="11"/>
      <c r="Q50" s="5"/>
      <c r="R50" s="11"/>
      <c r="S50" s="5"/>
      <c r="T50" s="11"/>
      <c r="U50" s="5"/>
      <c r="V50" s="11"/>
      <c r="W50" s="5"/>
      <c r="X50" s="11"/>
      <c r="Y50" s="5"/>
      <c r="Z50" s="11"/>
      <c r="AA50" s="5"/>
      <c r="AB50" s="11"/>
      <c r="AC50" s="5"/>
      <c r="AD50" s="11"/>
      <c r="AE50" s="5"/>
      <c r="AF50" s="11"/>
      <c r="AG50" s="5"/>
      <c r="AH50" s="11"/>
      <c r="AI50" s="1"/>
      <c r="AJ50" s="11"/>
      <c r="AM50" s="149"/>
    </row>
    <row r="51" spans="2:39" ht="15.75" x14ac:dyDescent="0.25">
      <c r="B51" t="s">
        <v>71</v>
      </c>
      <c r="C51" s="1"/>
      <c r="D51" s="11" t="e">
        <f>D49*'Base Period'!$D$71</f>
        <v>#REF!</v>
      </c>
      <c r="E51" s="1"/>
      <c r="F51" s="11" t="e">
        <f>F49*'Base Period'!$D$71</f>
        <v>#REF!</v>
      </c>
      <c r="G51" s="1"/>
      <c r="H51" s="11" t="e">
        <f>H49*'Base Period'!$D$71</f>
        <v>#REF!</v>
      </c>
      <c r="I51" s="1"/>
      <c r="J51" s="11" t="e">
        <f>J49*'Base Period'!$D$71</f>
        <v>#REF!</v>
      </c>
      <c r="K51" s="1"/>
      <c r="L51" s="11" t="e">
        <f>L49*'Base Period'!$D$71</f>
        <v>#REF!</v>
      </c>
      <c r="M51" s="1"/>
      <c r="N51" s="11" t="e">
        <f>N49*'Base Period'!$D$71</f>
        <v>#REF!</v>
      </c>
      <c r="O51" s="1"/>
      <c r="P51" s="11" t="e">
        <f>P49*'Base Period'!$D$71</f>
        <v>#REF!</v>
      </c>
      <c r="Q51" s="1"/>
      <c r="R51" s="11" t="e">
        <f>R49*'Base Period'!$D$71</f>
        <v>#REF!</v>
      </c>
      <c r="S51" s="1"/>
      <c r="T51" s="11" t="e">
        <f>T49*'Base Period'!$D$71</f>
        <v>#REF!</v>
      </c>
      <c r="U51" s="1"/>
      <c r="V51" s="11" t="e">
        <f>V49*'Base Period'!$D$71</f>
        <v>#REF!</v>
      </c>
      <c r="W51" s="1"/>
      <c r="X51" s="11" t="e">
        <f>X49*'Base Period'!$D$71</f>
        <v>#REF!</v>
      </c>
      <c r="Y51" s="1"/>
      <c r="Z51" s="11" t="e">
        <f>Z49*'Base Period'!$D$71</f>
        <v>#REF!</v>
      </c>
      <c r="AA51" s="1"/>
      <c r="AB51" s="11" t="e">
        <f>AB49*'Base Period'!$D$71</f>
        <v>#REF!</v>
      </c>
      <c r="AC51" s="1"/>
      <c r="AD51" s="11" t="e">
        <f>AD49*'Base Period'!$D$71</f>
        <v>#REF!</v>
      </c>
      <c r="AE51" s="1"/>
      <c r="AF51" s="11" t="e">
        <f>AF49*'Base Period'!$D$71</f>
        <v>#REF!</v>
      </c>
      <c r="AG51" s="1"/>
      <c r="AH51" s="11" t="e">
        <f>AH49*'Base Period'!$D$71</f>
        <v>#REF!</v>
      </c>
      <c r="AJ51" s="24" t="e">
        <f>SUM(C51:AI51)</f>
        <v>#REF!</v>
      </c>
      <c r="AM51" s="151" t="e">
        <f>ROUND(AJ51-'Base Period'!BN71-'Option Period 1'!BN71-#REF!-#REF!-#REF!-#REF!-#REF!-#REF!-#REF!-#REF!,0)</f>
        <v>#REF!</v>
      </c>
    </row>
    <row r="52" spans="2:39" ht="15.75" x14ac:dyDescent="0.25">
      <c r="B52" s="4" t="s">
        <v>9</v>
      </c>
      <c r="C52" s="1"/>
      <c r="D52" s="11" t="e">
        <f>D51+D49</f>
        <v>#REF!</v>
      </c>
      <c r="E52" s="1"/>
      <c r="F52" s="11" t="e">
        <f>F51+F49</f>
        <v>#REF!</v>
      </c>
      <c r="G52" s="1"/>
      <c r="H52" s="11" t="e">
        <f>H51+H49</f>
        <v>#REF!</v>
      </c>
      <c r="I52" s="1"/>
      <c r="J52" s="11" t="e">
        <f>J51+J49</f>
        <v>#REF!</v>
      </c>
      <c r="K52" s="1"/>
      <c r="L52" s="11" t="e">
        <f>L51+L49</f>
        <v>#REF!</v>
      </c>
      <c r="M52" s="1"/>
      <c r="N52" s="11" t="e">
        <f>N51+N49</f>
        <v>#REF!</v>
      </c>
      <c r="O52" s="1"/>
      <c r="P52" s="11" t="e">
        <f>P51+P49</f>
        <v>#REF!</v>
      </c>
      <c r="Q52" s="1"/>
      <c r="R52" s="11" t="e">
        <f>R51+R49</f>
        <v>#REF!</v>
      </c>
      <c r="S52" s="1"/>
      <c r="T52" s="11" t="e">
        <f>T51+T49</f>
        <v>#REF!</v>
      </c>
      <c r="U52" s="1"/>
      <c r="V52" s="11" t="e">
        <f>V51+V49</f>
        <v>#REF!</v>
      </c>
      <c r="W52" s="1"/>
      <c r="X52" s="11" t="e">
        <f>X51+X49</f>
        <v>#REF!</v>
      </c>
      <c r="Y52" s="1"/>
      <c r="Z52" s="11" t="e">
        <f>Z51+Z49</f>
        <v>#REF!</v>
      </c>
      <c r="AA52" s="1"/>
      <c r="AB52" s="11" t="e">
        <f>AB51+AB49</f>
        <v>#REF!</v>
      </c>
      <c r="AC52" s="1"/>
      <c r="AD52" s="11" t="e">
        <f>AD51+AD49</f>
        <v>#REF!</v>
      </c>
      <c r="AE52" s="1"/>
      <c r="AF52" s="11" t="e">
        <f>AF51+AF49</f>
        <v>#REF!</v>
      </c>
      <c r="AG52" s="1"/>
      <c r="AH52" s="11" t="e">
        <f>AH51+AH49</f>
        <v>#REF!</v>
      </c>
      <c r="AJ52" s="11" t="e">
        <f>SUM(C52:AI52)</f>
        <v>#REF!</v>
      </c>
      <c r="AM52" s="151" t="e">
        <f>ROUND(AJ52-'Base Period'!BN72-'Option Period 1'!BN72-#REF!-#REF!-#REF!-#REF!-#REF!-#REF!-#REF!-#REF!,0)</f>
        <v>#REF!</v>
      </c>
    </row>
    <row r="53" spans="2:39" ht="15.75" x14ac:dyDescent="0.25">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J53" s="14"/>
      <c r="AM53" s="149"/>
    </row>
    <row r="54" spans="2:39" ht="15.75" x14ac:dyDescent="0.25">
      <c r="B54" t="s">
        <v>11</v>
      </c>
      <c r="AJ54" s="14"/>
      <c r="AM54" s="149"/>
    </row>
    <row r="55" spans="2:39" ht="15.75" x14ac:dyDescent="0.25">
      <c r="C55" s="191"/>
      <c r="D55" s="191"/>
      <c r="E55" s="191"/>
      <c r="F55" s="191"/>
      <c r="G55" s="191"/>
      <c r="H55" s="191"/>
      <c r="I55" s="191"/>
      <c r="J55" s="191"/>
      <c r="K55" s="191"/>
      <c r="L55" s="191"/>
      <c r="M55" s="191"/>
      <c r="N55" s="191"/>
      <c r="O55" s="191"/>
      <c r="P55" s="191"/>
      <c r="Q55" s="191"/>
      <c r="R55" s="191"/>
      <c r="S55" s="191"/>
      <c r="T55" s="191"/>
      <c r="U55" s="191"/>
      <c r="V55" s="191"/>
      <c r="W55" s="191"/>
      <c r="X55" s="191"/>
      <c r="Y55" s="191"/>
      <c r="Z55" s="191"/>
      <c r="AA55" s="191"/>
      <c r="AB55" s="191"/>
      <c r="AC55" s="191"/>
      <c r="AD55" s="191"/>
      <c r="AE55" s="191"/>
      <c r="AF55" s="191"/>
      <c r="AG55" s="191"/>
      <c r="AH55" s="191"/>
      <c r="AJ55" s="14"/>
      <c r="AM55" s="149"/>
    </row>
    <row r="56" spans="2:39" ht="15.75" x14ac:dyDescent="0.25">
      <c r="B56" t="s">
        <v>25</v>
      </c>
      <c r="C56" s="6" t="s">
        <v>30</v>
      </c>
      <c r="D56" s="12" t="e">
        <f>SUMIFS('Base Period'!75:75,'Base Period'!$28:$28,'Budget by Task'!D$6)+SUMIFS('Option Period 1'!75:75,'Option Period 1'!$28:$28,'Budget by Task'!D$6)+SUMIFS(#REF!,#REF!,'Budget by Task'!D$6)+SUMIFS(#REF!,#REF!,'Budget by Task'!D$6)+SUMIFS(#REF!,#REF!,'Budget by Task'!D$6)+SUMIFS(#REF!,#REF!,"Task 1")+SUMIFS(#REF!,#REF!,'Budget by Task'!D$6)+SUMIFS(#REF!,#REF!,'Budget by Task'!D$6)+SUMIFS(#REF!,#REF!,'Budget by Task'!D$6)+SUMIFS(#REF!,#REF!,'Budget by Task'!D$6)</f>
        <v>#REF!</v>
      </c>
      <c r="E56" s="6" t="s">
        <v>30</v>
      </c>
      <c r="F56" s="12" t="e">
        <f>SUMIFS('Base Period'!75:75,'Base Period'!$28:$28,'Budget by Task'!F$6)+SUMIFS('Option Period 1'!75:75,'Option Period 1'!$28:$28,'Budget by Task'!F$6)+SUMIFS(#REF!,#REF!,'Budget by Task'!F$6)+SUMIFS(#REF!,#REF!,'Budget by Task'!F$6)+SUMIFS(#REF!,#REF!,'Budget by Task'!F$6)+SUMIFS(#REF!,#REF!,'Budget by Task'!F$6)+SUMIFS(#REF!,#REF!,'Budget by Task'!F$6)+SUMIFS(#REF!,#REF!,'Budget by Task'!F$6)+SUMIFS(#REF!,#REF!,'Budget by Task'!F$6)+SUMIFS(#REF!,#REF!,'Budget by Task'!F$6)</f>
        <v>#REF!</v>
      </c>
      <c r="G56" s="6" t="s">
        <v>30</v>
      </c>
      <c r="H56" s="12" t="e">
        <f>SUMIFS('Base Period'!75:75,'Base Period'!$28:$28,'Budget by Task'!H$6)+SUMIFS('Option Period 1'!75:75,'Option Period 1'!$28:$28,'Budget by Task'!H$6)+SUMIFS(#REF!,#REF!,'Budget by Task'!H$6)+SUMIFS(#REF!,#REF!,'Budget by Task'!H$6)+SUMIFS(#REF!,#REF!,'Budget by Task'!H$6)+SUMIFS(#REF!,#REF!,'Budget by Task'!H$6)+SUMIFS(#REF!,#REF!,'Budget by Task'!H$6)+SUMIFS(#REF!,#REF!,'Budget by Task'!H$6)+SUMIFS(#REF!,#REF!,'Budget by Task'!H$6)+SUMIFS(#REF!,#REF!,'Budget by Task'!H$6)</f>
        <v>#REF!</v>
      </c>
      <c r="I56" s="6" t="s">
        <v>30</v>
      </c>
      <c r="J56" s="12" t="e">
        <f>SUMIFS('Base Period'!75:75,'Base Period'!$28:$28,'Budget by Task'!J$6)+SUMIFS('Option Period 1'!75:75,'Option Period 1'!$28:$28,'Budget by Task'!J$6)+SUMIFS(#REF!,#REF!,'Budget by Task'!J$6)+SUMIFS(#REF!,#REF!,'Budget by Task'!J$6)+SUMIFS(#REF!,#REF!,'Budget by Task'!J$6)+SUMIFS(#REF!,#REF!,'Budget by Task'!J$6)+SUMIFS(#REF!,#REF!,'Budget by Task'!J$6)+SUMIFS(#REF!,#REF!,'Budget by Task'!J$6)+SUMIFS(#REF!,#REF!,'Budget by Task'!J$6)+SUMIFS(#REF!,#REF!,'Budget by Task'!J$6)</f>
        <v>#REF!</v>
      </c>
      <c r="K56" s="6" t="s">
        <v>30</v>
      </c>
      <c r="L56" s="12" t="e">
        <f>SUMIFS('Base Period'!75:75,'Base Period'!$28:$28,'Budget by Task'!L$6)+SUMIFS('Option Period 1'!75:75,'Option Period 1'!$28:$28,'Budget by Task'!L$6)+SUMIFS(#REF!,#REF!,'Budget by Task'!L$6)+SUMIFS(#REF!,#REF!,'Budget by Task'!L$6)+SUMIFS(#REF!,#REF!,'Budget by Task'!L$6)+SUMIFS(#REF!,#REF!,'Budget by Task'!L$6)+SUMIFS(#REF!,#REF!,'Budget by Task'!L$6)+SUMIFS(#REF!,#REF!,'Budget by Task'!L$6)+SUMIFS(#REF!,#REF!,'Budget by Task'!L$6)+SUMIFS(#REF!,#REF!,'Budget by Task'!L$6)</f>
        <v>#REF!</v>
      </c>
      <c r="M56" s="6" t="s">
        <v>30</v>
      </c>
      <c r="N56" s="12" t="e">
        <f>SUMIFS('Base Period'!75:75,'Base Period'!$28:$28,'Budget by Task'!N$6)+SUMIFS('Option Period 1'!75:75,'Option Period 1'!$28:$28,'Budget by Task'!N$6)+SUMIFS(#REF!,#REF!,'Budget by Task'!N$6)+SUMIFS(#REF!,#REF!,'Budget by Task'!N$6)+SUMIFS(#REF!,#REF!,'Budget by Task'!N$6)+SUMIFS(#REF!,#REF!,'Budget by Task'!N$6)+SUMIFS(#REF!,#REF!,'Budget by Task'!N$6)+SUMIFS(#REF!,#REF!,'Budget by Task'!N$6)+SUMIFS(#REF!,#REF!,'Budget by Task'!N$6)+SUMIFS(#REF!,#REF!,'Budget by Task'!N$6)</f>
        <v>#REF!</v>
      </c>
      <c r="O56" s="6" t="s">
        <v>30</v>
      </c>
      <c r="P56" s="12" t="e">
        <f>SUMIFS('Base Period'!75:75,'Base Period'!$28:$28,'Budget by Task'!P$6)+SUMIFS('Option Period 1'!75:75,'Option Period 1'!$28:$28,'Budget by Task'!P$6)+SUMIFS(#REF!,#REF!,'Budget by Task'!P$6)+SUMIFS(#REF!,#REF!,'Budget by Task'!P$6)+SUMIFS(#REF!,#REF!,'Budget by Task'!P$6)+SUMIFS(#REF!,#REF!,'Budget by Task'!P$6)+SUMIFS(#REF!,#REF!,'Budget by Task'!P$6)+SUMIFS(#REF!,#REF!,'Budget by Task'!P$6)+SUMIFS(#REF!,#REF!,'Budget by Task'!P$6)+SUMIFS(#REF!,#REF!,'Budget by Task'!P$6)</f>
        <v>#REF!</v>
      </c>
      <c r="Q56" s="6" t="s">
        <v>30</v>
      </c>
      <c r="R56" s="12" t="e">
        <f>SUMIFS('Base Period'!75:75,'Base Period'!$28:$28,'Budget by Task'!R$6)+SUMIFS('Option Period 1'!75:75,'Option Period 1'!$28:$28,'Budget by Task'!R$6)+SUMIFS(#REF!,#REF!,'Budget by Task'!R$6)+SUMIFS(#REF!,#REF!,'Budget by Task'!R$6)+SUMIFS(#REF!,#REF!,'Budget by Task'!R$6)+SUMIFS(#REF!,#REF!,'Budget by Task'!R$6)+SUMIFS(#REF!,#REF!,'Budget by Task'!R$6)+SUMIFS(#REF!,#REF!,'Budget by Task'!R$6)+SUMIFS(#REF!,#REF!,'Budget by Task'!R$6)+SUMIFS(#REF!,#REF!,'Budget by Task'!R$6)</f>
        <v>#REF!</v>
      </c>
      <c r="S56" s="6" t="s">
        <v>30</v>
      </c>
      <c r="T56" s="12" t="e">
        <f>SUMIFS('Base Period'!75:75,'Base Period'!$28:$28,'Budget by Task'!T$6)+SUMIFS('Option Period 1'!75:75,'Option Period 1'!$28:$28,'Budget by Task'!T$6)+SUMIFS(#REF!,#REF!,'Budget by Task'!T$6)+SUMIFS(#REF!,#REF!,'Budget by Task'!T$6)+SUMIFS(#REF!,#REF!,'Budget by Task'!T$6)+SUMIFS(#REF!,#REF!,'Budget by Task'!T$6)+SUMIFS(#REF!,#REF!,'Budget by Task'!T$6)+SUMIFS(#REF!,#REF!,'Budget by Task'!T$6)+SUMIFS(#REF!,#REF!,'Budget by Task'!T$6)+SUMIFS(#REF!,#REF!,'Budget by Task'!T$6)</f>
        <v>#REF!</v>
      </c>
      <c r="U56" s="6" t="s">
        <v>30</v>
      </c>
      <c r="V56" s="12" t="e">
        <f>SUMIFS('Base Period'!75:75,'Base Period'!$28:$28,'Budget by Task'!V$6)+SUMIFS('Option Period 1'!75:75,'Option Period 1'!$28:$28,'Budget by Task'!V$6)+SUMIFS(#REF!,#REF!,'Budget by Task'!V$6)+SUMIFS(#REF!,#REF!,'Budget by Task'!V$6)+SUMIFS(#REF!,#REF!,'Budget by Task'!V$6)+SUMIFS(#REF!,#REF!,'Budget by Task'!V$6)+SUMIFS(#REF!,#REF!,'Budget by Task'!V$6)+SUMIFS(#REF!,#REF!,'Budget by Task'!V$6)+SUMIFS(#REF!,#REF!,'Budget by Task'!V$6)+SUMIFS(#REF!,#REF!,'Budget by Task'!V$6)</f>
        <v>#REF!</v>
      </c>
      <c r="W56" s="6" t="s">
        <v>30</v>
      </c>
      <c r="X56" s="12" t="e">
        <f>SUMIFS('Base Period'!75:75,'Base Period'!$28:$28,'Budget by Task'!X$6)+SUMIFS('Option Period 1'!75:75,'Option Period 1'!$28:$28,'Budget by Task'!X$6)+SUMIFS(#REF!,#REF!,'Budget by Task'!X$6)+SUMIFS(#REF!,#REF!,'Budget by Task'!X$6)+SUMIFS(#REF!,#REF!,'Budget by Task'!X$6)+SUMIFS(#REF!,#REF!,'Budget by Task'!X$6)+SUMIFS(#REF!,#REF!,'Budget by Task'!X$6)+SUMIFS(#REF!,#REF!,'Budget by Task'!X$6)+SUMIFS(#REF!,#REF!,'Budget by Task'!X$6)+SUMIFS(#REF!,#REF!,'Budget by Task'!X$6)</f>
        <v>#REF!</v>
      </c>
      <c r="Y56" s="6" t="s">
        <v>30</v>
      </c>
      <c r="Z56" s="12" t="e">
        <f>SUMIFS('Base Period'!75:75,'Base Period'!$28:$28,'Budget by Task'!Z$6)+SUMIFS('Option Period 1'!75:75,'Option Period 1'!$28:$28,'Budget by Task'!Z$6)+SUMIFS(#REF!,#REF!,'Budget by Task'!Z$6)+SUMIFS(#REF!,#REF!,'Budget by Task'!Z$6)+SUMIFS(#REF!,#REF!,'Budget by Task'!Z$6)+SUMIFS(#REF!,#REF!,'Budget by Task'!Z$6)+SUMIFS(#REF!,#REF!,'Budget by Task'!Z$6)+SUMIFS(#REF!,#REF!,'Budget by Task'!Z$6)+SUMIFS(#REF!,#REF!,'Budget by Task'!Z$6)+SUMIFS(#REF!,#REF!,'Budget by Task'!Z$6)</f>
        <v>#REF!</v>
      </c>
      <c r="AA56" s="6" t="s">
        <v>30</v>
      </c>
      <c r="AB56" s="12" t="e">
        <f>SUMIFS('Base Period'!75:75,'Base Period'!$28:$28,'Budget by Task'!AB$6)+SUMIFS('Option Period 1'!75:75,'Option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56" s="6" t="s">
        <v>30</v>
      </c>
      <c r="AD56" s="12" t="e">
        <f>SUMIFS('Base Period'!75:75,'Base Period'!$28:$28,'Budget by Task'!AD$6)+SUMIFS('Option Period 1'!75:75,'Option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56" s="6" t="s">
        <v>30</v>
      </c>
      <c r="AF56" s="12" t="e">
        <f>SUMIFS('Base Period'!75:75,'Base Period'!$28:$28,'Budget by Task'!AF$6)+SUMIFS('Option Period 1'!75:75,'Option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56" s="6" t="s">
        <v>30</v>
      </c>
      <c r="AH56" s="12" t="e">
        <f>SUMIFS('Base Period'!75:75,'Base Period'!$28:$28,'Budget by Task'!AH$6)+SUMIFS('Option Period 1'!75:75,'Option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56" s="11" t="e">
        <f>SUMIF($12:$12, "Dollar Value",56:56 )</f>
        <v>#REF!</v>
      </c>
      <c r="AM56" s="151" t="e">
        <f>ROUND(AJ56-'Base Period'!BN75-'Option Period 1'!BN75-#REF!-#REF!-#REF!-#REF!-#REF!-#REF!-#REF!-#REF!,0)</f>
        <v>#REF!</v>
      </c>
    </row>
    <row r="57" spans="2:39" ht="15.75" x14ac:dyDescent="0.25">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J57" s="14"/>
      <c r="AM57" s="149"/>
    </row>
    <row r="58" spans="2:39" ht="15.75" x14ac:dyDescent="0.25">
      <c r="B58" t="s">
        <v>26</v>
      </c>
      <c r="C58" s="6" t="s">
        <v>30</v>
      </c>
      <c r="D58" s="18" t="e">
        <f>SUMIFS('Base Period'!77:77,'Base Period'!$28:$28,'Budget by Task'!D$6)+SUMIFS('Option Period 1'!77:77,'Option Period 1'!$28:$28,'Budget by Task'!D$6)+SUMIFS(#REF!,#REF!,'Budget by Task'!D$6)+SUMIFS(#REF!,#REF!,'Budget by Task'!D$6)+SUMIFS(#REF!,#REF!,'Budget by Task'!D$6)+SUMIFS(#REF!,#REF!,"Task 1")+SUMIFS(#REF!,#REF!,'Budget by Task'!D$6)+SUMIFS(#REF!,#REF!,'Budget by Task'!D$6)+SUMIFS(#REF!,#REF!,'Budget by Task'!D$6)+SUMIFS(#REF!,#REF!,'Budget by Task'!D$6)</f>
        <v>#REF!</v>
      </c>
      <c r="E58" s="6" t="s">
        <v>30</v>
      </c>
      <c r="F58" s="18" t="e">
        <f>SUMIFS('Base Period'!77:77,'Base Period'!$28:$28,'Budget by Task'!F$6)+SUMIFS('Option Period 1'!77:77,'Option Period 1'!$28:$28,'Budget by Task'!F$6)+SUMIFS(#REF!,#REF!,'Budget by Task'!F$6)+SUMIFS(#REF!,#REF!,'Budget by Task'!F$6)+SUMIFS(#REF!,#REF!,'Budget by Task'!F$6)+SUMIFS(#REF!,#REF!,'Budget by Task'!F$6)+SUMIFS(#REF!,#REF!,'Budget by Task'!F$6)+SUMIFS(#REF!,#REF!,'Budget by Task'!F$6)+SUMIFS(#REF!,#REF!,'Budget by Task'!F$6)+SUMIFS(#REF!,#REF!,'Budget by Task'!F$6)</f>
        <v>#REF!</v>
      </c>
      <c r="G58" s="6" t="s">
        <v>30</v>
      </c>
      <c r="H58" s="18" t="e">
        <f>SUMIFS('Base Period'!77:77,'Base Period'!$28:$28,'Budget by Task'!H$6)+SUMIFS('Option Period 1'!77:77,'Option Period 1'!$28:$28,'Budget by Task'!H$6)+SUMIFS(#REF!,#REF!,'Budget by Task'!H$6)+SUMIFS(#REF!,#REF!,'Budget by Task'!H$6)+SUMIFS(#REF!,#REF!,'Budget by Task'!H$6)+SUMIFS(#REF!,#REF!,'Budget by Task'!H$6)+SUMIFS(#REF!,#REF!,'Budget by Task'!H$6)+SUMIFS(#REF!,#REF!,'Budget by Task'!H$6)+SUMIFS(#REF!,#REF!,'Budget by Task'!H$6)+SUMIFS(#REF!,#REF!,'Budget by Task'!H$6)</f>
        <v>#REF!</v>
      </c>
      <c r="I58" s="6" t="s">
        <v>30</v>
      </c>
      <c r="J58" s="18" t="e">
        <f>SUMIFS('Base Period'!77:77,'Base Period'!$28:$28,'Budget by Task'!J$6)+SUMIFS('Option Period 1'!77:77,'Option Period 1'!$28:$28,'Budget by Task'!J$6)+SUMIFS(#REF!,#REF!,'Budget by Task'!J$6)+SUMIFS(#REF!,#REF!,'Budget by Task'!J$6)+SUMIFS(#REF!,#REF!,'Budget by Task'!J$6)+SUMIFS(#REF!,#REF!,'Budget by Task'!J$6)+SUMIFS(#REF!,#REF!,'Budget by Task'!J$6)+SUMIFS(#REF!,#REF!,'Budget by Task'!J$6)+SUMIFS(#REF!,#REF!,'Budget by Task'!J$6)+SUMIFS(#REF!,#REF!,'Budget by Task'!J$6)</f>
        <v>#REF!</v>
      </c>
      <c r="K58" s="6" t="s">
        <v>30</v>
      </c>
      <c r="L58" s="18" t="e">
        <f>SUMIFS('Base Period'!77:77,'Base Period'!$28:$28,'Budget by Task'!L$6)+SUMIFS('Option Period 1'!77:77,'Option Period 1'!$28:$28,'Budget by Task'!L$6)+SUMIFS(#REF!,#REF!,'Budget by Task'!L$6)+SUMIFS(#REF!,#REF!,'Budget by Task'!L$6)+SUMIFS(#REF!,#REF!,'Budget by Task'!L$6)+SUMIFS(#REF!,#REF!,'Budget by Task'!L$6)+SUMIFS(#REF!,#REF!,'Budget by Task'!L$6)+SUMIFS(#REF!,#REF!,'Budget by Task'!L$6)+SUMIFS(#REF!,#REF!,'Budget by Task'!L$6)+SUMIFS(#REF!,#REF!,'Budget by Task'!L$6)</f>
        <v>#REF!</v>
      </c>
      <c r="M58" s="6" t="s">
        <v>30</v>
      </c>
      <c r="N58" s="18" t="e">
        <f>SUMIFS('Base Period'!77:77,'Base Period'!$28:$28,'Budget by Task'!N$6)+SUMIFS('Option Period 1'!77:77,'Option Period 1'!$28:$28,'Budget by Task'!N$6)+SUMIFS(#REF!,#REF!,'Budget by Task'!N$6)+SUMIFS(#REF!,#REF!,'Budget by Task'!N$6)+SUMIFS(#REF!,#REF!,'Budget by Task'!N$6)+SUMIFS(#REF!,#REF!,'Budget by Task'!N$6)+SUMIFS(#REF!,#REF!,'Budget by Task'!N$6)+SUMIFS(#REF!,#REF!,'Budget by Task'!N$6)+SUMIFS(#REF!,#REF!,'Budget by Task'!N$6)+SUMIFS(#REF!,#REF!,'Budget by Task'!N$6)</f>
        <v>#REF!</v>
      </c>
      <c r="O58" s="6" t="s">
        <v>30</v>
      </c>
      <c r="P58" s="18" t="e">
        <f>SUMIFS('Base Period'!77:77,'Base Period'!$28:$28,'Budget by Task'!P$6)+SUMIFS('Option Period 1'!77:77,'Option Period 1'!$28:$28,'Budget by Task'!P$6)+SUMIFS(#REF!,#REF!,'Budget by Task'!P$6)+SUMIFS(#REF!,#REF!,'Budget by Task'!P$6)+SUMIFS(#REF!,#REF!,'Budget by Task'!P$6)+SUMIFS(#REF!,#REF!,'Budget by Task'!P$6)+SUMIFS(#REF!,#REF!,'Budget by Task'!P$6)+SUMIFS(#REF!,#REF!,'Budget by Task'!P$6)+SUMIFS(#REF!,#REF!,'Budget by Task'!P$6)+SUMIFS(#REF!,#REF!,'Budget by Task'!P$6)</f>
        <v>#REF!</v>
      </c>
      <c r="Q58" s="6" t="s">
        <v>30</v>
      </c>
      <c r="R58" s="18" t="e">
        <f>SUMIFS('Base Period'!77:77,'Base Period'!$28:$28,'Budget by Task'!R$6)+SUMIFS('Option Period 1'!77:77,'Option Period 1'!$28:$28,'Budget by Task'!R$6)+SUMIFS(#REF!,#REF!,'Budget by Task'!R$6)+SUMIFS(#REF!,#REF!,'Budget by Task'!R$6)+SUMIFS(#REF!,#REF!,'Budget by Task'!R$6)+SUMIFS(#REF!,#REF!,'Budget by Task'!R$6)+SUMIFS(#REF!,#REF!,'Budget by Task'!R$6)+SUMIFS(#REF!,#REF!,'Budget by Task'!R$6)+SUMIFS(#REF!,#REF!,'Budget by Task'!R$6)+SUMIFS(#REF!,#REF!,'Budget by Task'!R$6)</f>
        <v>#REF!</v>
      </c>
      <c r="S58" s="6" t="s">
        <v>30</v>
      </c>
      <c r="T58" s="18" t="e">
        <f>SUMIFS('Base Period'!77:77,'Base Period'!$28:$28,'Budget by Task'!T$6)+SUMIFS('Option Period 1'!77:77,'Option Period 1'!$28:$28,'Budget by Task'!T$6)+SUMIFS(#REF!,#REF!,'Budget by Task'!T$6)+SUMIFS(#REF!,#REF!,'Budget by Task'!T$6)+SUMIFS(#REF!,#REF!,'Budget by Task'!T$6)+SUMIFS(#REF!,#REF!,'Budget by Task'!T$6)+SUMIFS(#REF!,#REF!,'Budget by Task'!T$6)+SUMIFS(#REF!,#REF!,'Budget by Task'!T$6)+SUMIFS(#REF!,#REF!,'Budget by Task'!T$6)+SUMIFS(#REF!,#REF!,'Budget by Task'!T$6)</f>
        <v>#REF!</v>
      </c>
      <c r="U58" s="6" t="s">
        <v>30</v>
      </c>
      <c r="V58" s="18" t="e">
        <f>SUMIFS('Base Period'!77:77,'Base Period'!$28:$28,'Budget by Task'!V$6)+SUMIFS('Option Period 1'!77:77,'Option Period 1'!$28:$28,'Budget by Task'!V$6)+SUMIFS(#REF!,#REF!,'Budget by Task'!V$6)+SUMIFS(#REF!,#REF!,'Budget by Task'!V$6)+SUMIFS(#REF!,#REF!,'Budget by Task'!V$6)+SUMIFS(#REF!,#REF!,'Budget by Task'!V$6)+SUMIFS(#REF!,#REF!,'Budget by Task'!V$6)+SUMIFS(#REF!,#REF!,'Budget by Task'!V$6)+SUMIFS(#REF!,#REF!,'Budget by Task'!V$6)+SUMIFS(#REF!,#REF!,'Budget by Task'!V$6)</f>
        <v>#REF!</v>
      </c>
      <c r="W58" s="6" t="s">
        <v>30</v>
      </c>
      <c r="X58" s="18" t="e">
        <f>SUMIFS('Base Period'!77:77,'Base Period'!$28:$28,'Budget by Task'!X$6)+SUMIFS('Option Period 1'!77:77,'Option Period 1'!$28:$28,'Budget by Task'!X$6)+SUMIFS(#REF!,#REF!,'Budget by Task'!X$6)+SUMIFS(#REF!,#REF!,'Budget by Task'!X$6)+SUMIFS(#REF!,#REF!,'Budget by Task'!X$6)+SUMIFS(#REF!,#REF!,'Budget by Task'!X$6)+SUMIFS(#REF!,#REF!,'Budget by Task'!X$6)+SUMIFS(#REF!,#REF!,'Budget by Task'!X$6)+SUMIFS(#REF!,#REF!,'Budget by Task'!X$6)+SUMIFS(#REF!,#REF!,'Budget by Task'!X$6)</f>
        <v>#REF!</v>
      </c>
      <c r="Y58" s="6" t="s">
        <v>30</v>
      </c>
      <c r="Z58" s="18" t="e">
        <f>SUMIFS('Base Period'!77:77,'Base Period'!$28:$28,'Budget by Task'!Z$6)+SUMIFS('Option Period 1'!77:77,'Option Period 1'!$28:$28,'Budget by Task'!Z$6)+SUMIFS(#REF!,#REF!,'Budget by Task'!Z$6)+SUMIFS(#REF!,#REF!,'Budget by Task'!Z$6)+SUMIFS(#REF!,#REF!,'Budget by Task'!Z$6)+SUMIFS(#REF!,#REF!,'Budget by Task'!Z$6)+SUMIFS(#REF!,#REF!,'Budget by Task'!Z$6)+SUMIFS(#REF!,#REF!,'Budget by Task'!Z$6)+SUMIFS(#REF!,#REF!,'Budget by Task'!Z$6)+SUMIFS(#REF!,#REF!,'Budget by Task'!Z$6)</f>
        <v>#REF!</v>
      </c>
      <c r="AA58" s="6" t="s">
        <v>30</v>
      </c>
      <c r="AB58" s="18" t="e">
        <f>SUMIFS('Base Period'!77:77,'Base Period'!$28:$28,'Budget by Task'!AB$6)+SUMIFS('Option Period 1'!77:77,'Option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58" s="6" t="s">
        <v>30</v>
      </c>
      <c r="AD58" s="18" t="e">
        <f>SUMIFS('Base Period'!77:77,'Base Period'!$28:$28,'Budget by Task'!AD$6)+SUMIFS('Option Period 1'!77:77,'Option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58" s="6" t="s">
        <v>30</v>
      </c>
      <c r="AF58" s="18" t="e">
        <f>SUMIFS('Base Period'!77:77,'Base Period'!$28:$28,'Budget by Task'!AF$6)+SUMIFS('Option Period 1'!77:77,'Option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58" s="6" t="s">
        <v>30</v>
      </c>
      <c r="AH58" s="12" t="e">
        <f>SUMIFS('Base Period'!77:77,'Base Period'!$28:$28,'Budget by Task'!AH$6)+SUMIFS('Option Period 1'!77:77,'Option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58" s="11" t="e">
        <f>SUMIF($12:$12, "Dollar Value",58:58 )</f>
        <v>#REF!</v>
      </c>
      <c r="AM58" s="151" t="e">
        <f>ROUND(AJ58-'Base Period'!BN77-'Option Period 1'!BN77-#REF!-#REF!-#REF!-#REF!-#REF!-#REF!-#REF!-#REF!,0)</f>
        <v>#REF!</v>
      </c>
    </row>
    <row r="59" spans="2:39" ht="15.75" x14ac:dyDescent="0.25">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J59" s="14"/>
      <c r="AM59" s="149"/>
    </row>
    <row r="60" spans="2:39" ht="15.75" x14ac:dyDescent="0.25">
      <c r="B60" t="s">
        <v>27</v>
      </c>
      <c r="C60" s="6" t="s">
        <v>30</v>
      </c>
      <c r="D60" s="18" t="e">
        <f>SUMIFS('Base Period'!79:79,'Base Period'!$28:$28,'Budget by Task'!D$6)+SUMIFS('Option Period 1'!79:79,'Option Period 1'!$28:$28,'Budget by Task'!D$6)+SUMIFS(#REF!,#REF!,'Budget by Task'!D$6)+SUMIFS(#REF!,#REF!,'Budget by Task'!D$6)+SUMIFS(#REF!,#REF!,'Budget by Task'!D$6)+SUMIFS(#REF!,#REF!,"Task 1")+SUMIFS(#REF!,#REF!,'Budget by Task'!D$6)+SUMIFS(#REF!,#REF!,'Budget by Task'!D$6)+SUMIFS(#REF!,#REF!,'Budget by Task'!D$6)+SUMIFS(#REF!,#REF!,'Budget by Task'!D$6)</f>
        <v>#REF!</v>
      </c>
      <c r="E60" s="6" t="s">
        <v>30</v>
      </c>
      <c r="F60" s="18" t="e">
        <f>SUMIFS('Base Period'!79:79,'Base Period'!$28:$28,'Budget by Task'!F$6)+SUMIFS('Option Period 1'!79:79,'Option Period 1'!$28:$28,'Budget by Task'!F$6)+SUMIFS(#REF!,#REF!,'Budget by Task'!F$6)+SUMIFS(#REF!,#REF!,'Budget by Task'!F$6)+SUMIFS(#REF!,#REF!,'Budget by Task'!F$6)+SUMIFS(#REF!,#REF!,'Budget by Task'!F$6)+SUMIFS(#REF!,#REF!,'Budget by Task'!F$6)+SUMIFS(#REF!,#REF!,'Budget by Task'!F$6)+SUMIFS(#REF!,#REF!,'Budget by Task'!F$6)+SUMIFS(#REF!,#REF!,'Budget by Task'!F$6)</f>
        <v>#REF!</v>
      </c>
      <c r="G60" s="6" t="s">
        <v>30</v>
      </c>
      <c r="H60" s="18" t="e">
        <f>SUMIFS('Base Period'!79:79,'Base Period'!$28:$28,'Budget by Task'!H$6)+SUMIFS('Option Period 1'!79:79,'Option Period 1'!$28:$28,'Budget by Task'!H$6)+SUMIFS(#REF!,#REF!,'Budget by Task'!H$6)+SUMIFS(#REF!,#REF!,'Budget by Task'!H$6)+SUMIFS(#REF!,#REF!,'Budget by Task'!H$6)+SUMIFS(#REF!,#REF!,'Budget by Task'!H$6)+SUMIFS(#REF!,#REF!,'Budget by Task'!H$6)+SUMIFS(#REF!,#REF!,'Budget by Task'!H$6)+SUMIFS(#REF!,#REF!,'Budget by Task'!H$6)+SUMIFS(#REF!,#REF!,'Budget by Task'!H$6)</f>
        <v>#REF!</v>
      </c>
      <c r="I60" s="6" t="s">
        <v>30</v>
      </c>
      <c r="J60" s="18" t="e">
        <f>SUMIFS('Base Period'!79:79,'Base Period'!$28:$28,'Budget by Task'!J$6)+SUMIFS('Option Period 1'!79:79,'Option Period 1'!$28:$28,'Budget by Task'!J$6)+SUMIFS(#REF!,#REF!,'Budget by Task'!J$6)+SUMIFS(#REF!,#REF!,'Budget by Task'!J$6)+SUMIFS(#REF!,#REF!,'Budget by Task'!J$6)+SUMIFS(#REF!,#REF!,'Budget by Task'!J$6)+SUMIFS(#REF!,#REF!,'Budget by Task'!J$6)+SUMIFS(#REF!,#REF!,'Budget by Task'!J$6)+SUMIFS(#REF!,#REF!,'Budget by Task'!J$6)+SUMIFS(#REF!,#REF!,'Budget by Task'!J$6)</f>
        <v>#REF!</v>
      </c>
      <c r="K60" s="6" t="s">
        <v>30</v>
      </c>
      <c r="L60" s="18" t="e">
        <f>SUMIFS('Base Period'!79:79,'Base Period'!$28:$28,'Budget by Task'!L$6)+SUMIFS('Option Period 1'!79:79,'Option Period 1'!$28:$28,'Budget by Task'!L$6)+SUMIFS(#REF!,#REF!,'Budget by Task'!L$6)+SUMIFS(#REF!,#REF!,'Budget by Task'!L$6)+SUMIFS(#REF!,#REF!,'Budget by Task'!L$6)+SUMIFS(#REF!,#REF!,'Budget by Task'!L$6)+SUMIFS(#REF!,#REF!,'Budget by Task'!L$6)+SUMIFS(#REF!,#REF!,'Budget by Task'!L$6)+SUMIFS(#REF!,#REF!,'Budget by Task'!L$6)+SUMIFS(#REF!,#REF!,'Budget by Task'!L$6)</f>
        <v>#REF!</v>
      </c>
      <c r="M60" s="6" t="s">
        <v>30</v>
      </c>
      <c r="N60" s="18" t="e">
        <f>SUMIFS('Base Period'!79:79,'Base Period'!$28:$28,'Budget by Task'!N$6)+SUMIFS('Option Period 1'!79:79,'Option Period 1'!$28:$28,'Budget by Task'!N$6)+SUMIFS(#REF!,#REF!,'Budget by Task'!N$6)+SUMIFS(#REF!,#REF!,'Budget by Task'!N$6)+SUMIFS(#REF!,#REF!,'Budget by Task'!N$6)+SUMIFS(#REF!,#REF!,'Budget by Task'!N$6)+SUMIFS(#REF!,#REF!,'Budget by Task'!N$6)+SUMIFS(#REF!,#REF!,'Budget by Task'!N$6)+SUMIFS(#REF!,#REF!,'Budget by Task'!N$6)+SUMIFS(#REF!,#REF!,'Budget by Task'!N$6)</f>
        <v>#REF!</v>
      </c>
      <c r="O60" s="6" t="s">
        <v>30</v>
      </c>
      <c r="P60" s="18" t="e">
        <f>SUMIFS('Base Period'!79:79,'Base Period'!$28:$28,'Budget by Task'!P$6)+SUMIFS('Option Period 1'!79:79,'Option Period 1'!$28:$28,'Budget by Task'!P$6)+SUMIFS(#REF!,#REF!,'Budget by Task'!P$6)+SUMIFS(#REF!,#REF!,'Budget by Task'!P$6)+SUMIFS(#REF!,#REF!,'Budget by Task'!P$6)+SUMIFS(#REF!,#REF!,'Budget by Task'!P$6)+SUMIFS(#REF!,#REF!,'Budget by Task'!P$6)+SUMIFS(#REF!,#REF!,'Budget by Task'!P$6)+SUMIFS(#REF!,#REF!,'Budget by Task'!P$6)+SUMIFS(#REF!,#REF!,'Budget by Task'!P$6)</f>
        <v>#REF!</v>
      </c>
      <c r="Q60" s="6" t="s">
        <v>30</v>
      </c>
      <c r="R60" s="18" t="e">
        <f>SUMIFS('Base Period'!79:79,'Base Period'!$28:$28,'Budget by Task'!R$6)+SUMIFS('Option Period 1'!79:79,'Option Period 1'!$28:$28,'Budget by Task'!R$6)+SUMIFS(#REF!,#REF!,'Budget by Task'!R$6)+SUMIFS(#REF!,#REF!,'Budget by Task'!R$6)+SUMIFS(#REF!,#REF!,'Budget by Task'!R$6)+SUMIFS(#REF!,#REF!,'Budget by Task'!R$6)+SUMIFS(#REF!,#REF!,'Budget by Task'!R$6)+SUMIFS(#REF!,#REF!,'Budget by Task'!R$6)+SUMIFS(#REF!,#REF!,'Budget by Task'!R$6)+SUMIFS(#REF!,#REF!,'Budget by Task'!R$6)</f>
        <v>#REF!</v>
      </c>
      <c r="S60" s="6" t="s">
        <v>30</v>
      </c>
      <c r="T60" s="18" t="e">
        <f>SUMIFS('Base Period'!79:79,'Base Period'!$28:$28,'Budget by Task'!T$6)+SUMIFS('Option Period 1'!79:79,'Option Period 1'!$28:$28,'Budget by Task'!T$6)+SUMIFS(#REF!,#REF!,'Budget by Task'!T$6)+SUMIFS(#REF!,#REF!,'Budget by Task'!T$6)+SUMIFS(#REF!,#REF!,'Budget by Task'!T$6)+SUMIFS(#REF!,#REF!,'Budget by Task'!T$6)+SUMIFS(#REF!,#REF!,'Budget by Task'!T$6)+SUMIFS(#REF!,#REF!,'Budget by Task'!T$6)+SUMIFS(#REF!,#REF!,'Budget by Task'!T$6)+SUMIFS(#REF!,#REF!,'Budget by Task'!T$6)</f>
        <v>#REF!</v>
      </c>
      <c r="U60" s="6" t="s">
        <v>30</v>
      </c>
      <c r="V60" s="18" t="e">
        <f>SUMIFS('Base Period'!79:79,'Base Period'!$28:$28,'Budget by Task'!V$6)+SUMIFS('Option Period 1'!79:79,'Option Period 1'!$28:$28,'Budget by Task'!V$6)+SUMIFS(#REF!,#REF!,'Budget by Task'!V$6)+SUMIFS(#REF!,#REF!,'Budget by Task'!V$6)+SUMIFS(#REF!,#REF!,'Budget by Task'!V$6)+SUMIFS(#REF!,#REF!,'Budget by Task'!V$6)+SUMIFS(#REF!,#REF!,'Budget by Task'!V$6)+SUMIFS(#REF!,#REF!,'Budget by Task'!V$6)+SUMIFS(#REF!,#REF!,'Budget by Task'!V$6)+SUMIFS(#REF!,#REF!,'Budget by Task'!V$6)</f>
        <v>#REF!</v>
      </c>
      <c r="W60" s="6" t="s">
        <v>30</v>
      </c>
      <c r="X60" s="18" t="e">
        <f>SUMIFS('Base Period'!79:79,'Base Period'!$28:$28,'Budget by Task'!X$6)+SUMIFS('Option Period 1'!79:79,'Option Period 1'!$28:$28,'Budget by Task'!X$6)+SUMIFS(#REF!,#REF!,'Budget by Task'!X$6)+SUMIFS(#REF!,#REF!,'Budget by Task'!X$6)+SUMIFS(#REF!,#REF!,'Budget by Task'!X$6)+SUMIFS(#REF!,#REF!,'Budget by Task'!X$6)+SUMIFS(#REF!,#REF!,'Budget by Task'!X$6)+SUMIFS(#REF!,#REF!,'Budget by Task'!X$6)+SUMIFS(#REF!,#REF!,'Budget by Task'!X$6)+SUMIFS(#REF!,#REF!,'Budget by Task'!X$6)</f>
        <v>#REF!</v>
      </c>
      <c r="Y60" s="6" t="s">
        <v>30</v>
      </c>
      <c r="Z60" s="18" t="e">
        <f>SUMIFS('Base Period'!79:79,'Base Period'!$28:$28,'Budget by Task'!Z$6)+SUMIFS('Option Period 1'!79:79,'Option Period 1'!$28:$28,'Budget by Task'!Z$6)+SUMIFS(#REF!,#REF!,'Budget by Task'!Z$6)+SUMIFS(#REF!,#REF!,'Budget by Task'!Z$6)+SUMIFS(#REF!,#REF!,'Budget by Task'!Z$6)+SUMIFS(#REF!,#REF!,'Budget by Task'!Z$6)+SUMIFS(#REF!,#REF!,'Budget by Task'!Z$6)+SUMIFS(#REF!,#REF!,'Budget by Task'!Z$6)+SUMIFS(#REF!,#REF!,'Budget by Task'!Z$6)+SUMIFS(#REF!,#REF!,'Budget by Task'!Z$6)</f>
        <v>#REF!</v>
      </c>
      <c r="AA60" s="6" t="s">
        <v>30</v>
      </c>
      <c r="AB60" s="18" t="e">
        <f>SUMIFS('Base Period'!79:79,'Base Period'!$28:$28,'Budget by Task'!AB$6)+SUMIFS('Option Period 1'!79:79,'Option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60" s="6" t="s">
        <v>30</v>
      </c>
      <c r="AD60" s="18" t="e">
        <f>SUMIFS('Base Period'!79:79,'Base Period'!$28:$28,'Budget by Task'!AD$6)+SUMIFS('Option Period 1'!79:79,'Option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60" s="6" t="s">
        <v>30</v>
      </c>
      <c r="AF60" s="18" t="e">
        <f>SUMIFS('Base Period'!79:79,'Base Period'!$28:$28,'Budget by Task'!AF$6)+SUMIFS('Option Period 1'!79:79,'Option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60" s="6" t="s">
        <v>30</v>
      </c>
      <c r="AH60" s="12" t="e">
        <f>SUMIFS('Base Period'!79:79,'Base Period'!$28:$28,'Budget by Task'!AH$6)+SUMIFS('Option Period 1'!79:79,'Option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60" s="11" t="e">
        <f>SUMIF($12:$12, "Dollar Value",60:60 )</f>
        <v>#REF!</v>
      </c>
      <c r="AM60" s="151" t="e">
        <f>ROUND(AJ60-'Base Period'!BN79-'Option Period 1'!BN79-#REF!-#REF!-#REF!-#REF!-#REF!-#REF!-#REF!-#REF!,0)</f>
        <v>#REF!</v>
      </c>
    </row>
    <row r="61" spans="2:39" ht="15.75" x14ac:dyDescent="0.25">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J61" s="14"/>
      <c r="AM61" s="149"/>
    </row>
    <row r="62" spans="2:39" ht="15.75" x14ac:dyDescent="0.25">
      <c r="B62" t="s">
        <v>28</v>
      </c>
      <c r="C62" s="6" t="s">
        <v>30</v>
      </c>
      <c r="D62" s="18" t="e">
        <f>SUMIFS('Base Period'!81:81,'Base Period'!$28:$28,'Budget by Task'!D$6)+SUMIFS('Option Period 1'!81:81,'Option Period 1'!$28:$28,'Budget by Task'!D$6)+SUMIFS(#REF!,#REF!,'Budget by Task'!D$6)+SUMIFS(#REF!,#REF!,'Budget by Task'!D$6)+SUMIFS(#REF!,#REF!,'Budget by Task'!D$6)+SUMIFS(#REF!,#REF!,"Task 1")+SUMIFS(#REF!,#REF!,'Budget by Task'!D$6)+SUMIFS(#REF!,#REF!,'Budget by Task'!D$6)+SUMIFS(#REF!,#REF!,'Budget by Task'!D$6)+SUMIFS(#REF!,#REF!,'Budget by Task'!D$6)</f>
        <v>#REF!</v>
      </c>
      <c r="E62" s="6" t="s">
        <v>30</v>
      </c>
      <c r="F62" s="18" t="e">
        <f>SUMIFS('Base Period'!81:81,'Base Period'!$28:$28,'Budget by Task'!F$6)+SUMIFS('Option Period 1'!81:81,'Option Period 1'!$28:$28,'Budget by Task'!F$6)+SUMIFS(#REF!,#REF!,'Budget by Task'!F$6)+SUMIFS(#REF!,#REF!,'Budget by Task'!F$6)+SUMIFS(#REF!,#REF!,'Budget by Task'!F$6)+SUMIFS(#REF!,#REF!,'Budget by Task'!F$6)+SUMIFS(#REF!,#REF!,'Budget by Task'!F$6)+SUMIFS(#REF!,#REF!,'Budget by Task'!F$6)+SUMIFS(#REF!,#REF!,'Budget by Task'!F$6)+SUMIFS(#REF!,#REF!,'Budget by Task'!F$6)</f>
        <v>#REF!</v>
      </c>
      <c r="G62" s="6" t="s">
        <v>30</v>
      </c>
      <c r="H62" s="18" t="e">
        <f>SUMIFS('Base Period'!81:81,'Base Period'!$28:$28,'Budget by Task'!H$6)+SUMIFS('Option Period 1'!81:81,'Option Period 1'!$28:$28,'Budget by Task'!H$6)+SUMIFS(#REF!,#REF!,'Budget by Task'!H$6)+SUMIFS(#REF!,#REF!,'Budget by Task'!H$6)+SUMIFS(#REF!,#REF!,'Budget by Task'!H$6)+SUMIFS(#REF!,#REF!,'Budget by Task'!H$6)+SUMIFS(#REF!,#REF!,'Budget by Task'!H$6)+SUMIFS(#REF!,#REF!,'Budget by Task'!H$6)+SUMIFS(#REF!,#REF!,'Budget by Task'!H$6)+SUMIFS(#REF!,#REF!,'Budget by Task'!H$6)</f>
        <v>#REF!</v>
      </c>
      <c r="I62" s="6" t="s">
        <v>30</v>
      </c>
      <c r="J62" s="18" t="e">
        <f>SUMIFS('Base Period'!81:81,'Base Period'!$28:$28,'Budget by Task'!J$6)+SUMIFS('Option Period 1'!81:81,'Option Period 1'!$28:$28,'Budget by Task'!J$6)+SUMIFS(#REF!,#REF!,'Budget by Task'!J$6)+SUMIFS(#REF!,#REF!,'Budget by Task'!J$6)+SUMIFS(#REF!,#REF!,'Budget by Task'!J$6)+SUMIFS(#REF!,#REF!,'Budget by Task'!J$6)+SUMIFS(#REF!,#REF!,'Budget by Task'!J$6)+SUMIFS(#REF!,#REF!,'Budget by Task'!J$6)+SUMIFS(#REF!,#REF!,'Budget by Task'!J$6)+SUMIFS(#REF!,#REF!,'Budget by Task'!J$6)</f>
        <v>#REF!</v>
      </c>
      <c r="K62" s="6" t="s">
        <v>30</v>
      </c>
      <c r="L62" s="18" t="e">
        <f>SUMIFS('Base Period'!81:81,'Base Period'!$28:$28,'Budget by Task'!L$6)+SUMIFS('Option Period 1'!81:81,'Option Period 1'!$28:$28,'Budget by Task'!L$6)+SUMIFS(#REF!,#REF!,'Budget by Task'!L$6)+SUMIFS(#REF!,#REF!,'Budget by Task'!L$6)+SUMIFS(#REF!,#REF!,'Budget by Task'!L$6)+SUMIFS(#REF!,#REF!,'Budget by Task'!L$6)+SUMIFS(#REF!,#REF!,'Budget by Task'!L$6)+SUMIFS(#REF!,#REF!,'Budget by Task'!L$6)+SUMIFS(#REF!,#REF!,'Budget by Task'!L$6)+SUMIFS(#REF!,#REF!,'Budget by Task'!L$6)</f>
        <v>#REF!</v>
      </c>
      <c r="M62" s="6" t="s">
        <v>30</v>
      </c>
      <c r="N62" s="18" t="e">
        <f>SUMIFS('Base Period'!81:81,'Base Period'!$28:$28,'Budget by Task'!N$6)+SUMIFS('Option Period 1'!81:81,'Option Period 1'!$28:$28,'Budget by Task'!N$6)+SUMIFS(#REF!,#REF!,'Budget by Task'!N$6)+SUMIFS(#REF!,#REF!,'Budget by Task'!N$6)+SUMIFS(#REF!,#REF!,'Budget by Task'!N$6)+SUMIFS(#REF!,#REF!,'Budget by Task'!N$6)+SUMIFS(#REF!,#REF!,'Budget by Task'!N$6)+SUMIFS(#REF!,#REF!,'Budget by Task'!N$6)+SUMIFS(#REF!,#REF!,'Budget by Task'!N$6)+SUMIFS(#REF!,#REF!,'Budget by Task'!N$6)</f>
        <v>#REF!</v>
      </c>
      <c r="O62" s="6" t="s">
        <v>30</v>
      </c>
      <c r="P62" s="18" t="e">
        <f>SUMIFS('Base Period'!81:81,'Base Period'!$28:$28,'Budget by Task'!P$6)+SUMIFS('Option Period 1'!81:81,'Option Period 1'!$28:$28,'Budget by Task'!P$6)+SUMIFS(#REF!,#REF!,'Budget by Task'!P$6)+SUMIFS(#REF!,#REF!,'Budget by Task'!P$6)+SUMIFS(#REF!,#REF!,'Budget by Task'!P$6)+SUMIFS(#REF!,#REF!,'Budget by Task'!P$6)+SUMIFS(#REF!,#REF!,'Budget by Task'!P$6)+SUMIFS(#REF!,#REF!,'Budget by Task'!P$6)+SUMIFS(#REF!,#REF!,'Budget by Task'!P$6)+SUMIFS(#REF!,#REF!,'Budget by Task'!P$6)</f>
        <v>#REF!</v>
      </c>
      <c r="Q62" s="6" t="s">
        <v>30</v>
      </c>
      <c r="R62" s="18" t="e">
        <f>SUMIFS('Base Period'!81:81,'Base Period'!$28:$28,'Budget by Task'!R$6)+SUMIFS('Option Period 1'!81:81,'Option Period 1'!$28:$28,'Budget by Task'!R$6)+SUMIFS(#REF!,#REF!,'Budget by Task'!R$6)+SUMIFS(#REF!,#REF!,'Budget by Task'!R$6)+SUMIFS(#REF!,#REF!,'Budget by Task'!R$6)+SUMIFS(#REF!,#REF!,'Budget by Task'!R$6)+SUMIFS(#REF!,#REF!,'Budget by Task'!R$6)+SUMIFS(#REF!,#REF!,'Budget by Task'!R$6)+SUMIFS(#REF!,#REF!,'Budget by Task'!R$6)+SUMIFS(#REF!,#REF!,'Budget by Task'!R$6)</f>
        <v>#REF!</v>
      </c>
      <c r="S62" s="6" t="s">
        <v>30</v>
      </c>
      <c r="T62" s="18" t="e">
        <f>SUMIFS('Base Period'!81:81,'Base Period'!$28:$28,'Budget by Task'!T$6)+SUMIFS('Option Period 1'!81:81,'Option Period 1'!$28:$28,'Budget by Task'!T$6)+SUMIFS(#REF!,#REF!,'Budget by Task'!T$6)+SUMIFS(#REF!,#REF!,'Budget by Task'!T$6)+SUMIFS(#REF!,#REF!,'Budget by Task'!T$6)+SUMIFS(#REF!,#REF!,'Budget by Task'!T$6)+SUMIFS(#REF!,#REF!,'Budget by Task'!T$6)+SUMIFS(#REF!,#REF!,'Budget by Task'!T$6)+SUMIFS(#REF!,#REF!,'Budget by Task'!T$6)+SUMIFS(#REF!,#REF!,'Budget by Task'!T$6)</f>
        <v>#REF!</v>
      </c>
      <c r="U62" s="6" t="s">
        <v>30</v>
      </c>
      <c r="V62" s="18" t="e">
        <f>SUMIFS('Base Period'!81:81,'Base Period'!$28:$28,'Budget by Task'!V$6)+SUMIFS('Option Period 1'!81:81,'Option Period 1'!$28:$28,'Budget by Task'!V$6)+SUMIFS(#REF!,#REF!,'Budget by Task'!V$6)+SUMIFS(#REF!,#REF!,'Budget by Task'!V$6)+SUMIFS(#REF!,#REF!,'Budget by Task'!V$6)+SUMIFS(#REF!,#REF!,'Budget by Task'!V$6)+SUMIFS(#REF!,#REF!,'Budget by Task'!V$6)+SUMIFS(#REF!,#REF!,'Budget by Task'!V$6)+SUMIFS(#REF!,#REF!,'Budget by Task'!V$6)+SUMIFS(#REF!,#REF!,'Budget by Task'!V$6)</f>
        <v>#REF!</v>
      </c>
      <c r="W62" s="6" t="s">
        <v>30</v>
      </c>
      <c r="X62" s="18" t="e">
        <f>SUMIFS('Base Period'!81:81,'Base Period'!$28:$28,'Budget by Task'!X$6)+SUMIFS('Option Period 1'!81:81,'Option Period 1'!$28:$28,'Budget by Task'!X$6)+SUMIFS(#REF!,#REF!,'Budget by Task'!X$6)+SUMIFS(#REF!,#REF!,'Budget by Task'!X$6)+SUMIFS(#REF!,#REF!,'Budget by Task'!X$6)+SUMIFS(#REF!,#REF!,'Budget by Task'!X$6)+SUMIFS(#REF!,#REF!,'Budget by Task'!X$6)+SUMIFS(#REF!,#REF!,'Budget by Task'!X$6)+SUMIFS(#REF!,#REF!,'Budget by Task'!X$6)+SUMIFS(#REF!,#REF!,'Budget by Task'!X$6)</f>
        <v>#REF!</v>
      </c>
      <c r="Y62" s="6" t="s">
        <v>30</v>
      </c>
      <c r="Z62" s="18" t="e">
        <f>SUMIFS('Base Period'!81:81,'Base Period'!$28:$28,'Budget by Task'!Z$6)+SUMIFS('Option Period 1'!81:81,'Option Period 1'!$28:$28,'Budget by Task'!Z$6)+SUMIFS(#REF!,#REF!,'Budget by Task'!Z$6)+SUMIFS(#REF!,#REF!,'Budget by Task'!Z$6)+SUMIFS(#REF!,#REF!,'Budget by Task'!Z$6)+SUMIFS(#REF!,#REF!,'Budget by Task'!Z$6)+SUMIFS(#REF!,#REF!,'Budget by Task'!Z$6)+SUMIFS(#REF!,#REF!,'Budget by Task'!Z$6)+SUMIFS(#REF!,#REF!,'Budget by Task'!Z$6)+SUMIFS(#REF!,#REF!,'Budget by Task'!Z$6)</f>
        <v>#REF!</v>
      </c>
      <c r="AA62" s="6" t="s">
        <v>30</v>
      </c>
      <c r="AB62" s="18" t="e">
        <f>SUMIFS('Base Period'!81:81,'Base Period'!$28:$28,'Budget by Task'!AB$6)+SUMIFS('Option Period 1'!81:81,'Option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62" s="6" t="s">
        <v>30</v>
      </c>
      <c r="AD62" s="18" t="e">
        <f>SUMIFS('Base Period'!81:81,'Base Period'!$28:$28,'Budget by Task'!AD$6)+SUMIFS('Option Period 1'!81:81,'Option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62" s="6" t="s">
        <v>30</v>
      </c>
      <c r="AF62" s="18" t="e">
        <f>SUMIFS('Base Period'!81:81,'Base Period'!$28:$28,'Budget by Task'!AF$6)+SUMIFS('Option Period 1'!81:81,'Option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62" s="6" t="s">
        <v>30</v>
      </c>
      <c r="AH62" s="12" t="e">
        <f>SUMIFS('Base Period'!81:81,'Base Period'!$28:$28,'Budget by Task'!AH$6)+SUMIFS('Option Period 1'!81:81,'Option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62" s="11" t="e">
        <f>SUMIF($12:$12, "Dollar Value",62:62 )</f>
        <v>#REF!</v>
      </c>
      <c r="AM62" s="151" t="e">
        <f>ROUND(AJ62-'Base Period'!BN81-'Option Period 1'!BN81-#REF!-#REF!-#REF!-#REF!-#REF!-#REF!-#REF!-#REF!,0)</f>
        <v>#REF!</v>
      </c>
    </row>
    <row r="63" spans="2:39" ht="15.75" x14ac:dyDescent="0.25">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J63" s="14"/>
      <c r="AM63" s="149"/>
    </row>
    <row r="64" spans="2:39" ht="15.75" x14ac:dyDescent="0.25">
      <c r="B64" t="s">
        <v>29</v>
      </c>
      <c r="C64" s="6" t="s">
        <v>30</v>
      </c>
      <c r="D64" s="18" t="e">
        <f>SUMIFS('Base Period'!83:83,'Base Period'!$28:$28,'Budget by Task'!D$6)+SUMIFS('Option Period 1'!83:83,'Option Period 1'!$28:$28,'Budget by Task'!D$6)+SUMIFS(#REF!,#REF!,'Budget by Task'!D$6)+SUMIFS(#REF!,#REF!,'Budget by Task'!D$6)+SUMIFS(#REF!,#REF!,'Budget by Task'!D$6)+SUMIFS(#REF!,#REF!,"Task 1")+SUMIFS(#REF!,#REF!,'Budget by Task'!D$6)+SUMIFS(#REF!,#REF!,'Budget by Task'!D$6)+SUMIFS(#REF!,#REF!,'Budget by Task'!D$6)+SUMIFS(#REF!,#REF!,'Budget by Task'!D$6)</f>
        <v>#REF!</v>
      </c>
      <c r="E64" s="6" t="s">
        <v>30</v>
      </c>
      <c r="F64" s="18" t="e">
        <f>SUMIFS('Base Period'!83:83,'Base Period'!$28:$28,'Budget by Task'!F$6)+SUMIFS('Option Period 1'!83:83,'Option Period 1'!$28:$28,'Budget by Task'!F$6)+SUMIFS(#REF!,#REF!,'Budget by Task'!F$6)+SUMIFS(#REF!,#REF!,'Budget by Task'!F$6)+SUMIFS(#REF!,#REF!,'Budget by Task'!F$6)+SUMIFS(#REF!,#REF!,'Budget by Task'!F$6)+SUMIFS(#REF!,#REF!,'Budget by Task'!F$6)+SUMIFS(#REF!,#REF!,'Budget by Task'!F$6)+SUMIFS(#REF!,#REF!,'Budget by Task'!F$6)+SUMIFS(#REF!,#REF!,'Budget by Task'!F$6)</f>
        <v>#REF!</v>
      </c>
      <c r="G64" s="6" t="s">
        <v>30</v>
      </c>
      <c r="H64" s="18" t="e">
        <f>SUMIFS('Base Period'!83:83,'Base Period'!$28:$28,'Budget by Task'!H$6)+SUMIFS('Option Period 1'!83:83,'Option Period 1'!$28:$28,'Budget by Task'!H$6)+SUMIFS(#REF!,#REF!,'Budget by Task'!H$6)+SUMIFS(#REF!,#REF!,'Budget by Task'!H$6)+SUMIFS(#REF!,#REF!,'Budget by Task'!H$6)+SUMIFS(#REF!,#REF!,'Budget by Task'!H$6)+SUMIFS(#REF!,#REF!,'Budget by Task'!H$6)+SUMIFS(#REF!,#REF!,'Budget by Task'!H$6)+SUMIFS(#REF!,#REF!,'Budget by Task'!H$6)+SUMIFS(#REF!,#REF!,'Budget by Task'!H$6)</f>
        <v>#REF!</v>
      </c>
      <c r="I64" s="6" t="s">
        <v>30</v>
      </c>
      <c r="J64" s="18" t="e">
        <f>SUMIFS('Base Period'!83:83,'Base Period'!$28:$28,'Budget by Task'!J$6)+SUMIFS('Option Period 1'!83:83,'Option Period 1'!$28:$28,'Budget by Task'!J$6)+SUMIFS(#REF!,#REF!,'Budget by Task'!J$6)+SUMIFS(#REF!,#REF!,'Budget by Task'!J$6)+SUMIFS(#REF!,#REF!,'Budget by Task'!J$6)+SUMIFS(#REF!,#REF!,'Budget by Task'!J$6)+SUMIFS(#REF!,#REF!,'Budget by Task'!J$6)+SUMIFS(#REF!,#REF!,'Budget by Task'!J$6)+SUMIFS(#REF!,#REF!,'Budget by Task'!J$6)+SUMIFS(#REF!,#REF!,'Budget by Task'!J$6)</f>
        <v>#REF!</v>
      </c>
      <c r="K64" s="6" t="s">
        <v>30</v>
      </c>
      <c r="L64" s="18" t="e">
        <f>SUMIFS('Base Period'!83:83,'Base Period'!$28:$28,'Budget by Task'!L$6)+SUMIFS('Option Period 1'!83:83,'Option Period 1'!$28:$28,'Budget by Task'!L$6)+SUMIFS(#REF!,#REF!,'Budget by Task'!L$6)+SUMIFS(#REF!,#REF!,'Budget by Task'!L$6)+SUMIFS(#REF!,#REF!,'Budget by Task'!L$6)+SUMIFS(#REF!,#REF!,'Budget by Task'!L$6)+SUMIFS(#REF!,#REF!,'Budget by Task'!L$6)+SUMIFS(#REF!,#REF!,'Budget by Task'!L$6)+SUMIFS(#REF!,#REF!,'Budget by Task'!L$6)+SUMIFS(#REF!,#REF!,'Budget by Task'!L$6)</f>
        <v>#REF!</v>
      </c>
      <c r="M64" s="6" t="s">
        <v>30</v>
      </c>
      <c r="N64" s="18" t="e">
        <f>SUMIFS('Base Period'!83:83,'Base Period'!$28:$28,'Budget by Task'!N$6)+SUMIFS('Option Period 1'!83:83,'Option Period 1'!$28:$28,'Budget by Task'!N$6)+SUMIFS(#REF!,#REF!,'Budget by Task'!N$6)+SUMIFS(#REF!,#REF!,'Budget by Task'!N$6)+SUMIFS(#REF!,#REF!,'Budget by Task'!N$6)+SUMIFS(#REF!,#REF!,'Budget by Task'!N$6)+SUMIFS(#REF!,#REF!,'Budget by Task'!N$6)+SUMIFS(#REF!,#REF!,'Budget by Task'!N$6)+SUMIFS(#REF!,#REF!,'Budget by Task'!N$6)+SUMIFS(#REF!,#REF!,'Budget by Task'!N$6)</f>
        <v>#REF!</v>
      </c>
      <c r="O64" s="6" t="s">
        <v>30</v>
      </c>
      <c r="P64" s="18" t="e">
        <f>SUMIFS('Base Period'!83:83,'Base Period'!$28:$28,'Budget by Task'!P$6)+SUMIFS('Option Period 1'!83:83,'Option Period 1'!$28:$28,'Budget by Task'!P$6)+SUMIFS(#REF!,#REF!,'Budget by Task'!P$6)+SUMIFS(#REF!,#REF!,'Budget by Task'!P$6)+SUMIFS(#REF!,#REF!,'Budget by Task'!P$6)+SUMIFS(#REF!,#REF!,'Budget by Task'!P$6)+SUMIFS(#REF!,#REF!,'Budget by Task'!P$6)+SUMIFS(#REF!,#REF!,'Budget by Task'!P$6)+SUMIFS(#REF!,#REF!,'Budget by Task'!P$6)+SUMIFS(#REF!,#REF!,'Budget by Task'!P$6)</f>
        <v>#REF!</v>
      </c>
      <c r="Q64" s="6" t="s">
        <v>30</v>
      </c>
      <c r="R64" s="18" t="e">
        <f>SUMIFS('Base Period'!83:83,'Base Period'!$28:$28,'Budget by Task'!R$6)+SUMIFS('Option Period 1'!83:83,'Option Period 1'!$28:$28,'Budget by Task'!R$6)+SUMIFS(#REF!,#REF!,'Budget by Task'!R$6)+SUMIFS(#REF!,#REF!,'Budget by Task'!R$6)+SUMIFS(#REF!,#REF!,'Budget by Task'!R$6)+SUMIFS(#REF!,#REF!,'Budget by Task'!R$6)+SUMIFS(#REF!,#REF!,'Budget by Task'!R$6)+SUMIFS(#REF!,#REF!,'Budget by Task'!R$6)+SUMIFS(#REF!,#REF!,'Budget by Task'!R$6)+SUMIFS(#REF!,#REF!,'Budget by Task'!R$6)</f>
        <v>#REF!</v>
      </c>
      <c r="S64" s="6" t="s">
        <v>30</v>
      </c>
      <c r="T64" s="18" t="e">
        <f>SUMIFS('Base Period'!83:83,'Base Period'!$28:$28,'Budget by Task'!T$6)+SUMIFS('Option Period 1'!83:83,'Option Period 1'!$28:$28,'Budget by Task'!T$6)+SUMIFS(#REF!,#REF!,'Budget by Task'!T$6)+SUMIFS(#REF!,#REF!,'Budget by Task'!T$6)+SUMIFS(#REF!,#REF!,'Budget by Task'!T$6)+SUMIFS(#REF!,#REF!,'Budget by Task'!T$6)+SUMIFS(#REF!,#REF!,'Budget by Task'!T$6)+SUMIFS(#REF!,#REF!,'Budget by Task'!T$6)+SUMIFS(#REF!,#REF!,'Budget by Task'!T$6)+SUMIFS(#REF!,#REF!,'Budget by Task'!T$6)</f>
        <v>#REF!</v>
      </c>
      <c r="U64" s="6" t="s">
        <v>30</v>
      </c>
      <c r="V64" s="18" t="e">
        <f>SUMIFS('Base Period'!83:83,'Base Period'!$28:$28,'Budget by Task'!V$6)+SUMIFS('Option Period 1'!83:83,'Option Period 1'!$28:$28,'Budget by Task'!V$6)+SUMIFS(#REF!,#REF!,'Budget by Task'!V$6)+SUMIFS(#REF!,#REF!,'Budget by Task'!V$6)+SUMIFS(#REF!,#REF!,'Budget by Task'!V$6)+SUMIFS(#REF!,#REF!,'Budget by Task'!V$6)+SUMIFS(#REF!,#REF!,'Budget by Task'!V$6)+SUMIFS(#REF!,#REF!,'Budget by Task'!V$6)+SUMIFS(#REF!,#REF!,'Budget by Task'!V$6)+SUMIFS(#REF!,#REF!,'Budget by Task'!V$6)</f>
        <v>#REF!</v>
      </c>
      <c r="W64" s="6" t="s">
        <v>30</v>
      </c>
      <c r="X64" s="18" t="e">
        <f>SUMIFS('Base Period'!83:83,'Base Period'!$28:$28,'Budget by Task'!X$6)+SUMIFS('Option Period 1'!83:83,'Option Period 1'!$28:$28,'Budget by Task'!X$6)+SUMIFS(#REF!,#REF!,'Budget by Task'!X$6)+SUMIFS(#REF!,#REF!,'Budget by Task'!X$6)+SUMIFS(#REF!,#REF!,'Budget by Task'!X$6)+SUMIFS(#REF!,#REF!,'Budget by Task'!X$6)+SUMIFS(#REF!,#REF!,'Budget by Task'!X$6)+SUMIFS(#REF!,#REF!,'Budget by Task'!X$6)+SUMIFS(#REF!,#REF!,'Budget by Task'!X$6)+SUMIFS(#REF!,#REF!,'Budget by Task'!X$6)</f>
        <v>#REF!</v>
      </c>
      <c r="Y64" s="6" t="s">
        <v>30</v>
      </c>
      <c r="Z64" s="18" t="e">
        <f>SUMIFS('Base Period'!83:83,'Base Period'!$28:$28,'Budget by Task'!Z$6)+SUMIFS('Option Period 1'!83:83,'Option Period 1'!$28:$28,'Budget by Task'!Z$6)+SUMIFS(#REF!,#REF!,'Budget by Task'!Z$6)+SUMIFS(#REF!,#REF!,'Budget by Task'!Z$6)+SUMIFS(#REF!,#REF!,'Budget by Task'!Z$6)+SUMIFS(#REF!,#REF!,'Budget by Task'!Z$6)+SUMIFS(#REF!,#REF!,'Budget by Task'!Z$6)+SUMIFS(#REF!,#REF!,'Budget by Task'!Z$6)+SUMIFS(#REF!,#REF!,'Budget by Task'!Z$6)+SUMIFS(#REF!,#REF!,'Budget by Task'!Z$6)</f>
        <v>#REF!</v>
      </c>
      <c r="AA64" s="6" t="s">
        <v>30</v>
      </c>
      <c r="AB64" s="18" t="e">
        <f>SUMIFS('Base Period'!83:83,'Base Period'!$28:$28,'Budget by Task'!AB$6)+SUMIFS('Option Period 1'!83:83,'Option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64" s="6" t="s">
        <v>30</v>
      </c>
      <c r="AD64" s="18" t="e">
        <f>SUMIFS('Base Period'!83:83,'Base Period'!$28:$28,'Budget by Task'!AD$6)+SUMIFS('Option Period 1'!83:83,'Option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64" s="6" t="s">
        <v>30</v>
      </c>
      <c r="AF64" s="18" t="e">
        <f>SUMIFS('Base Period'!83:83,'Base Period'!$28:$28,'Budget by Task'!AF$6)+SUMIFS('Option Period 1'!83:83,'Option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64" s="6" t="s">
        <v>30</v>
      </c>
      <c r="AH64" s="12" t="e">
        <f>SUMIFS('Base Period'!83:83,'Base Period'!$28:$28,'Budget by Task'!AH$6)+SUMIFS('Option Period 1'!83:83,'Option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64" s="11" t="e">
        <f>SUMIF($12:$12, "Dollar Value",64:64 )</f>
        <v>#REF!</v>
      </c>
      <c r="AM64" s="151" t="e">
        <f>ROUND(AJ64-'Base Period'!BN83-'Option Period 1'!BN83-#REF!-#REF!-#REF!-#REF!-#REF!-#REF!-#REF!-#REF!,0)</f>
        <v>#REF!</v>
      </c>
    </row>
    <row r="65" spans="2:39" ht="15.75" x14ac:dyDescent="0.25">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J65" s="14"/>
      <c r="AM65" s="149"/>
    </row>
    <row r="66" spans="2:39" ht="15.75" x14ac:dyDescent="0.25">
      <c r="B66" t="s">
        <v>88</v>
      </c>
      <c r="C66" s="6" t="s">
        <v>30</v>
      </c>
      <c r="D66" s="18" t="e">
        <f>SUMIFS('Base Period'!85:85,'Base Period'!$28:$28,'Budget by Task'!D$6)+SUMIFS('Option Period 1'!85:85,'Option Period 1'!$28:$28,'Budget by Task'!D$6)+SUMIFS(#REF!,#REF!,'Budget by Task'!D$6)+SUMIFS(#REF!,#REF!,'Budget by Task'!D$6)+SUMIFS(#REF!,#REF!,'Budget by Task'!D$6)+SUMIFS(#REF!,#REF!,"Task 1")+SUMIFS(#REF!,#REF!,'Budget by Task'!D$6)+SUMIFS(#REF!,#REF!,'Budget by Task'!D$6)+SUMIFS(#REF!,#REF!,'Budget by Task'!D$6)+SUMIFS(#REF!,#REF!,'Budget by Task'!D$6)</f>
        <v>#REF!</v>
      </c>
      <c r="E66" s="6" t="s">
        <v>30</v>
      </c>
      <c r="F66" s="18" t="e">
        <f>SUMIFS('Base Period'!85:85,'Base Period'!$28:$28,'Budget by Task'!F$6)+SUMIFS('Option Period 1'!85:85,'Option Period 1'!$28:$28,'Budget by Task'!F$6)+SUMIFS(#REF!,#REF!,'Budget by Task'!F$6)+SUMIFS(#REF!,#REF!,'Budget by Task'!F$6)+SUMIFS(#REF!,#REF!,'Budget by Task'!F$6)+SUMIFS(#REF!,#REF!,'Budget by Task'!F$6)+SUMIFS(#REF!,#REF!,'Budget by Task'!F$6)+SUMIFS(#REF!,#REF!,'Budget by Task'!F$6)+SUMIFS(#REF!,#REF!,'Budget by Task'!F$6)+SUMIFS(#REF!,#REF!,'Budget by Task'!F$6)</f>
        <v>#REF!</v>
      </c>
      <c r="G66" s="6" t="s">
        <v>30</v>
      </c>
      <c r="H66" s="18" t="e">
        <f>SUMIFS('Base Period'!85:85,'Base Period'!$28:$28,'Budget by Task'!H$6)+SUMIFS('Option Period 1'!85:85,'Option Period 1'!$28:$28,'Budget by Task'!H$6)+SUMIFS(#REF!,#REF!,'Budget by Task'!H$6)+SUMIFS(#REF!,#REF!,'Budget by Task'!H$6)+SUMIFS(#REF!,#REF!,'Budget by Task'!H$6)+SUMIFS(#REF!,#REF!,'Budget by Task'!H$6)+SUMIFS(#REF!,#REF!,'Budget by Task'!H$6)+SUMIFS(#REF!,#REF!,'Budget by Task'!H$6)+SUMIFS(#REF!,#REF!,'Budget by Task'!H$6)+SUMIFS(#REF!,#REF!,'Budget by Task'!H$6)</f>
        <v>#REF!</v>
      </c>
      <c r="I66" s="6" t="s">
        <v>30</v>
      </c>
      <c r="J66" s="18" t="e">
        <f>SUMIFS('Base Period'!85:85,'Base Period'!$28:$28,'Budget by Task'!J$6)+SUMIFS('Option Period 1'!85:85,'Option Period 1'!$28:$28,'Budget by Task'!J$6)+SUMIFS(#REF!,#REF!,'Budget by Task'!J$6)+SUMIFS(#REF!,#REF!,'Budget by Task'!J$6)+SUMIFS(#REF!,#REF!,'Budget by Task'!J$6)+SUMIFS(#REF!,#REF!,'Budget by Task'!J$6)+SUMIFS(#REF!,#REF!,'Budget by Task'!J$6)+SUMIFS(#REF!,#REF!,'Budget by Task'!J$6)+SUMIFS(#REF!,#REF!,'Budget by Task'!J$6)+SUMIFS(#REF!,#REF!,'Budget by Task'!J$6)</f>
        <v>#REF!</v>
      </c>
      <c r="K66" s="6" t="s">
        <v>30</v>
      </c>
      <c r="L66" s="18" t="e">
        <f>SUMIFS('Base Period'!85:85,'Base Period'!$28:$28,'Budget by Task'!L$6)+SUMIFS('Option Period 1'!85:85,'Option Period 1'!$28:$28,'Budget by Task'!L$6)+SUMIFS(#REF!,#REF!,'Budget by Task'!L$6)+SUMIFS(#REF!,#REF!,'Budget by Task'!L$6)+SUMIFS(#REF!,#REF!,'Budget by Task'!L$6)+SUMIFS(#REF!,#REF!,'Budget by Task'!L$6)+SUMIFS(#REF!,#REF!,'Budget by Task'!L$6)+SUMIFS(#REF!,#REF!,'Budget by Task'!L$6)+SUMIFS(#REF!,#REF!,'Budget by Task'!L$6)+SUMIFS(#REF!,#REF!,'Budget by Task'!L$6)</f>
        <v>#REF!</v>
      </c>
      <c r="M66" s="6" t="s">
        <v>30</v>
      </c>
      <c r="N66" s="18" t="e">
        <f>SUMIFS('Base Period'!85:85,'Base Period'!$28:$28,'Budget by Task'!N$6)+SUMIFS('Option Period 1'!85:85,'Option Period 1'!$28:$28,'Budget by Task'!N$6)+SUMIFS(#REF!,#REF!,'Budget by Task'!N$6)+SUMIFS(#REF!,#REF!,'Budget by Task'!N$6)+SUMIFS(#REF!,#REF!,'Budget by Task'!N$6)+SUMIFS(#REF!,#REF!,'Budget by Task'!N$6)+SUMIFS(#REF!,#REF!,'Budget by Task'!N$6)+SUMIFS(#REF!,#REF!,'Budget by Task'!N$6)+SUMIFS(#REF!,#REF!,'Budget by Task'!N$6)+SUMIFS(#REF!,#REF!,'Budget by Task'!N$6)</f>
        <v>#REF!</v>
      </c>
      <c r="O66" s="6" t="s">
        <v>30</v>
      </c>
      <c r="P66" s="18" t="e">
        <f>SUMIFS('Base Period'!85:85,'Base Period'!$28:$28,'Budget by Task'!P$6)+SUMIFS('Option Period 1'!85:85,'Option Period 1'!$28:$28,'Budget by Task'!P$6)+SUMIFS(#REF!,#REF!,'Budget by Task'!P$6)+SUMIFS(#REF!,#REF!,'Budget by Task'!P$6)+SUMIFS(#REF!,#REF!,'Budget by Task'!P$6)+SUMIFS(#REF!,#REF!,'Budget by Task'!P$6)+SUMIFS(#REF!,#REF!,'Budget by Task'!P$6)+SUMIFS(#REF!,#REF!,'Budget by Task'!P$6)+SUMIFS(#REF!,#REF!,'Budget by Task'!P$6)+SUMIFS(#REF!,#REF!,'Budget by Task'!P$6)</f>
        <v>#REF!</v>
      </c>
      <c r="Q66" s="6" t="s">
        <v>30</v>
      </c>
      <c r="R66" s="18" t="e">
        <f>SUMIFS('Base Period'!85:85,'Base Period'!$28:$28,'Budget by Task'!R$6)+SUMIFS('Option Period 1'!85:85,'Option Period 1'!$28:$28,'Budget by Task'!R$6)+SUMIFS(#REF!,#REF!,'Budget by Task'!R$6)+SUMIFS(#REF!,#REF!,'Budget by Task'!R$6)+SUMIFS(#REF!,#REF!,'Budget by Task'!R$6)+SUMIFS(#REF!,#REF!,'Budget by Task'!R$6)+SUMIFS(#REF!,#REF!,'Budget by Task'!R$6)+SUMIFS(#REF!,#REF!,'Budget by Task'!R$6)+SUMIFS(#REF!,#REF!,'Budget by Task'!R$6)+SUMIFS(#REF!,#REF!,'Budget by Task'!R$6)</f>
        <v>#REF!</v>
      </c>
      <c r="S66" s="6" t="s">
        <v>30</v>
      </c>
      <c r="T66" s="18" t="e">
        <f>SUMIFS('Base Period'!85:85,'Base Period'!$28:$28,'Budget by Task'!T$6)+SUMIFS('Option Period 1'!85:85,'Option Period 1'!$28:$28,'Budget by Task'!T$6)+SUMIFS(#REF!,#REF!,'Budget by Task'!T$6)+SUMIFS(#REF!,#REF!,'Budget by Task'!T$6)+SUMIFS(#REF!,#REF!,'Budget by Task'!T$6)+SUMIFS(#REF!,#REF!,'Budget by Task'!T$6)+SUMIFS(#REF!,#REF!,'Budget by Task'!T$6)+SUMIFS(#REF!,#REF!,'Budget by Task'!T$6)+SUMIFS(#REF!,#REF!,'Budget by Task'!T$6)+SUMIFS(#REF!,#REF!,'Budget by Task'!T$6)</f>
        <v>#REF!</v>
      </c>
      <c r="U66" s="6" t="s">
        <v>30</v>
      </c>
      <c r="V66" s="18" t="e">
        <f>SUMIFS('Base Period'!85:85,'Base Period'!$28:$28,'Budget by Task'!V$6)+SUMIFS('Option Period 1'!85:85,'Option Period 1'!$28:$28,'Budget by Task'!V$6)+SUMIFS(#REF!,#REF!,'Budget by Task'!V$6)+SUMIFS(#REF!,#REF!,'Budget by Task'!V$6)+SUMIFS(#REF!,#REF!,'Budget by Task'!V$6)+SUMIFS(#REF!,#REF!,'Budget by Task'!V$6)+SUMIFS(#REF!,#REF!,'Budget by Task'!V$6)+SUMIFS(#REF!,#REF!,'Budget by Task'!V$6)+SUMIFS(#REF!,#REF!,'Budget by Task'!V$6)+SUMIFS(#REF!,#REF!,'Budget by Task'!V$6)</f>
        <v>#REF!</v>
      </c>
      <c r="W66" s="6" t="s">
        <v>30</v>
      </c>
      <c r="X66" s="18" t="e">
        <f>SUMIFS('Base Period'!85:85,'Base Period'!$28:$28,'Budget by Task'!X$6)+SUMIFS('Option Period 1'!85:85,'Option Period 1'!$28:$28,'Budget by Task'!X$6)+SUMIFS(#REF!,#REF!,'Budget by Task'!X$6)+SUMIFS(#REF!,#REF!,'Budget by Task'!X$6)+SUMIFS(#REF!,#REF!,'Budget by Task'!X$6)+SUMIFS(#REF!,#REF!,'Budget by Task'!X$6)+SUMIFS(#REF!,#REF!,'Budget by Task'!X$6)+SUMIFS(#REF!,#REF!,'Budget by Task'!X$6)+SUMIFS(#REF!,#REF!,'Budget by Task'!X$6)+SUMIFS(#REF!,#REF!,'Budget by Task'!X$6)</f>
        <v>#REF!</v>
      </c>
      <c r="Y66" s="6" t="s">
        <v>30</v>
      </c>
      <c r="Z66" s="18" t="e">
        <f>SUMIFS('Base Period'!85:85,'Base Period'!$28:$28,'Budget by Task'!Z$6)+SUMIFS('Option Period 1'!85:85,'Option Period 1'!$28:$28,'Budget by Task'!Z$6)+SUMIFS(#REF!,#REF!,'Budget by Task'!Z$6)+SUMIFS(#REF!,#REF!,'Budget by Task'!Z$6)+SUMIFS(#REF!,#REF!,'Budget by Task'!Z$6)+SUMIFS(#REF!,#REF!,'Budget by Task'!Z$6)+SUMIFS(#REF!,#REF!,'Budget by Task'!Z$6)+SUMIFS(#REF!,#REF!,'Budget by Task'!Z$6)+SUMIFS(#REF!,#REF!,'Budget by Task'!Z$6)+SUMIFS(#REF!,#REF!,'Budget by Task'!Z$6)</f>
        <v>#REF!</v>
      </c>
      <c r="AA66" s="6" t="s">
        <v>30</v>
      </c>
      <c r="AB66" s="18" t="e">
        <f>SUMIFS('Base Period'!85:85,'Base Period'!$28:$28,'Budget by Task'!AB$6)+SUMIFS('Option Period 1'!85:85,'Option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66" s="6" t="s">
        <v>30</v>
      </c>
      <c r="AD66" s="18" t="e">
        <f>SUMIFS('Base Period'!85:85,'Base Period'!$28:$28,'Budget by Task'!AD$6)+SUMIFS('Option Period 1'!85:85,'Option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66" s="6" t="s">
        <v>30</v>
      </c>
      <c r="AF66" s="18" t="e">
        <f>SUMIFS('Base Period'!85:85,'Base Period'!$28:$28,'Budget by Task'!AF$6)+SUMIFS('Option Period 1'!85:85,'Option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66" s="6" t="s">
        <v>30</v>
      </c>
      <c r="AH66" s="12" t="e">
        <f>SUMIFS('Base Period'!85:85,'Base Period'!$28:$28,'Budget by Task'!AH$6)+SUMIFS('Option Period 1'!85:85,'Option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66" s="11" t="e">
        <f>SUMIF($12:$12, "Dollar Value",66:66 )</f>
        <v>#REF!</v>
      </c>
      <c r="AM66" s="151" t="e">
        <f>ROUND(AJ66-'Base Period'!BN85-'Option Period 1'!BN85-#REF!-#REF!-#REF!-#REF!-#REF!-#REF!-#REF!-#REF!,0)</f>
        <v>#REF!</v>
      </c>
    </row>
    <row r="67" spans="2:39" ht="15.75" x14ac:dyDescent="0.25">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J67" s="14"/>
      <c r="AM67" s="149"/>
    </row>
    <row r="68" spans="2:39" ht="15.75" x14ac:dyDescent="0.25">
      <c r="B68" t="s">
        <v>81</v>
      </c>
      <c r="C68" s="6" t="s">
        <v>30</v>
      </c>
      <c r="D68" s="18" t="e">
        <f>SUMIFS('Base Period'!87:87,'Base Period'!$28:$28,'Budget by Task'!D$6)+SUMIFS('Option Period 1'!87:87,'Option Period 1'!$28:$28,'Budget by Task'!D$6)+SUMIFS(#REF!,#REF!,'Budget by Task'!D$6)+SUMIFS(#REF!,#REF!,'Budget by Task'!D$6)+SUMIFS(#REF!,#REF!,'Budget by Task'!D$6)+SUMIFS(#REF!,#REF!,"Task 1")+SUMIFS(#REF!,#REF!,'Budget by Task'!D$6)+SUMIFS(#REF!,#REF!,'Budget by Task'!D$6)+SUMIFS(#REF!,#REF!,'Budget by Task'!D$6)+SUMIFS(#REF!,#REF!,'Budget by Task'!D$6)</f>
        <v>#REF!</v>
      </c>
      <c r="E68" s="6" t="s">
        <v>30</v>
      </c>
      <c r="F68" s="18" t="e">
        <f>SUMIFS('Base Period'!87:87,'Base Period'!$28:$28,'Budget by Task'!F$6)+SUMIFS('Option Period 1'!87:87,'Option Period 1'!$28:$28,'Budget by Task'!F$6)+SUMIFS(#REF!,#REF!,'Budget by Task'!F$6)+SUMIFS(#REF!,#REF!,'Budget by Task'!F$6)+SUMIFS(#REF!,#REF!,'Budget by Task'!F$6)+SUMIFS(#REF!,#REF!,'Budget by Task'!F$6)+SUMIFS(#REF!,#REF!,'Budget by Task'!F$6)+SUMIFS(#REF!,#REF!,'Budget by Task'!F$6)+SUMIFS(#REF!,#REF!,'Budget by Task'!F$6)+SUMIFS(#REF!,#REF!,'Budget by Task'!F$6)</f>
        <v>#REF!</v>
      </c>
      <c r="G68" s="6" t="s">
        <v>30</v>
      </c>
      <c r="H68" s="18" t="e">
        <f>SUMIFS('Base Period'!87:87,'Base Period'!$28:$28,'Budget by Task'!H$6)+SUMIFS('Option Period 1'!87:87,'Option Period 1'!$28:$28,'Budget by Task'!H$6)+SUMIFS(#REF!,#REF!,'Budget by Task'!H$6)+SUMIFS(#REF!,#REF!,'Budget by Task'!H$6)+SUMIFS(#REF!,#REF!,'Budget by Task'!H$6)+SUMIFS(#REF!,#REF!,'Budget by Task'!H$6)+SUMIFS(#REF!,#REF!,'Budget by Task'!H$6)+SUMIFS(#REF!,#REF!,'Budget by Task'!H$6)+SUMIFS(#REF!,#REF!,'Budget by Task'!H$6)+SUMIFS(#REF!,#REF!,'Budget by Task'!H$6)</f>
        <v>#REF!</v>
      </c>
      <c r="I68" s="6" t="s">
        <v>30</v>
      </c>
      <c r="J68" s="18" t="e">
        <f>SUMIFS('Base Period'!87:87,'Base Period'!$28:$28,'Budget by Task'!J$6)+SUMIFS('Option Period 1'!87:87,'Option Period 1'!$28:$28,'Budget by Task'!J$6)+SUMIFS(#REF!,#REF!,'Budget by Task'!J$6)+SUMIFS(#REF!,#REF!,'Budget by Task'!J$6)+SUMIFS(#REF!,#REF!,'Budget by Task'!J$6)+SUMIFS(#REF!,#REF!,'Budget by Task'!J$6)+SUMIFS(#REF!,#REF!,'Budget by Task'!J$6)+SUMIFS(#REF!,#REF!,'Budget by Task'!J$6)+SUMIFS(#REF!,#REF!,'Budget by Task'!J$6)+SUMIFS(#REF!,#REF!,'Budget by Task'!J$6)</f>
        <v>#REF!</v>
      </c>
      <c r="K68" s="6" t="s">
        <v>30</v>
      </c>
      <c r="L68" s="18" t="e">
        <f>SUMIFS('Base Period'!87:87,'Base Period'!$28:$28,'Budget by Task'!L$6)+SUMIFS('Option Period 1'!87:87,'Option Period 1'!$28:$28,'Budget by Task'!L$6)+SUMIFS(#REF!,#REF!,'Budget by Task'!L$6)+SUMIFS(#REF!,#REF!,'Budget by Task'!L$6)+SUMIFS(#REF!,#REF!,'Budget by Task'!L$6)+SUMIFS(#REF!,#REF!,'Budget by Task'!L$6)+SUMIFS(#REF!,#REF!,'Budget by Task'!L$6)+SUMIFS(#REF!,#REF!,'Budget by Task'!L$6)+SUMIFS(#REF!,#REF!,'Budget by Task'!L$6)+SUMIFS(#REF!,#REF!,'Budget by Task'!L$6)</f>
        <v>#REF!</v>
      </c>
      <c r="M68" s="6" t="s">
        <v>30</v>
      </c>
      <c r="N68" s="18" t="e">
        <f>SUMIFS('Base Period'!87:87,'Base Period'!$28:$28,'Budget by Task'!N$6)+SUMIFS('Option Period 1'!87:87,'Option Period 1'!$28:$28,'Budget by Task'!N$6)+SUMIFS(#REF!,#REF!,'Budget by Task'!N$6)+SUMIFS(#REF!,#REF!,'Budget by Task'!N$6)+SUMIFS(#REF!,#REF!,'Budget by Task'!N$6)+SUMIFS(#REF!,#REF!,'Budget by Task'!N$6)+SUMIFS(#REF!,#REF!,'Budget by Task'!N$6)+SUMIFS(#REF!,#REF!,'Budget by Task'!N$6)+SUMIFS(#REF!,#REF!,'Budget by Task'!N$6)+SUMIFS(#REF!,#REF!,'Budget by Task'!N$6)</f>
        <v>#REF!</v>
      </c>
      <c r="O68" s="6" t="s">
        <v>30</v>
      </c>
      <c r="P68" s="18" t="e">
        <f>SUMIFS('Base Period'!87:87,'Base Period'!$28:$28,'Budget by Task'!P$6)+SUMIFS('Option Period 1'!87:87,'Option Period 1'!$28:$28,'Budget by Task'!P$6)+SUMIFS(#REF!,#REF!,'Budget by Task'!P$6)+SUMIFS(#REF!,#REF!,'Budget by Task'!P$6)+SUMIFS(#REF!,#REF!,'Budget by Task'!P$6)+SUMIFS(#REF!,#REF!,'Budget by Task'!P$6)+SUMIFS(#REF!,#REF!,'Budget by Task'!P$6)+SUMIFS(#REF!,#REF!,'Budget by Task'!P$6)+SUMIFS(#REF!,#REF!,'Budget by Task'!P$6)+SUMIFS(#REF!,#REF!,'Budget by Task'!P$6)</f>
        <v>#REF!</v>
      </c>
      <c r="Q68" s="6" t="s">
        <v>30</v>
      </c>
      <c r="R68" s="18" t="e">
        <f>SUMIFS('Base Period'!87:87,'Base Period'!$28:$28,'Budget by Task'!R$6)+SUMIFS('Option Period 1'!87:87,'Option Period 1'!$28:$28,'Budget by Task'!R$6)+SUMIFS(#REF!,#REF!,'Budget by Task'!R$6)+SUMIFS(#REF!,#REF!,'Budget by Task'!R$6)+SUMIFS(#REF!,#REF!,'Budget by Task'!R$6)+SUMIFS(#REF!,#REF!,'Budget by Task'!R$6)+SUMIFS(#REF!,#REF!,'Budget by Task'!R$6)+SUMIFS(#REF!,#REF!,'Budget by Task'!R$6)+SUMIFS(#REF!,#REF!,'Budget by Task'!R$6)+SUMIFS(#REF!,#REF!,'Budget by Task'!R$6)</f>
        <v>#REF!</v>
      </c>
      <c r="S68" s="6" t="s">
        <v>30</v>
      </c>
      <c r="T68" s="18" t="e">
        <f>SUMIFS('Base Period'!87:87,'Base Period'!$28:$28,'Budget by Task'!T$6)+SUMIFS('Option Period 1'!87:87,'Option Period 1'!$28:$28,'Budget by Task'!T$6)+SUMIFS(#REF!,#REF!,'Budget by Task'!T$6)+SUMIFS(#REF!,#REF!,'Budget by Task'!T$6)+SUMIFS(#REF!,#REF!,'Budget by Task'!T$6)+SUMIFS(#REF!,#REF!,'Budget by Task'!T$6)+SUMIFS(#REF!,#REF!,'Budget by Task'!T$6)+SUMIFS(#REF!,#REF!,'Budget by Task'!T$6)+SUMIFS(#REF!,#REF!,'Budget by Task'!T$6)+SUMIFS(#REF!,#REF!,'Budget by Task'!T$6)</f>
        <v>#REF!</v>
      </c>
      <c r="U68" s="6" t="s">
        <v>30</v>
      </c>
      <c r="V68" s="18" t="e">
        <f>SUMIFS('Base Period'!87:87,'Base Period'!$28:$28,'Budget by Task'!V$6)+SUMIFS('Option Period 1'!87:87,'Option Period 1'!$28:$28,'Budget by Task'!V$6)+SUMIFS(#REF!,#REF!,'Budget by Task'!V$6)+SUMIFS(#REF!,#REF!,'Budget by Task'!V$6)+SUMIFS(#REF!,#REF!,'Budget by Task'!V$6)+SUMIFS(#REF!,#REF!,'Budget by Task'!V$6)+SUMIFS(#REF!,#REF!,'Budget by Task'!V$6)+SUMIFS(#REF!,#REF!,'Budget by Task'!V$6)+SUMIFS(#REF!,#REF!,'Budget by Task'!V$6)+SUMIFS(#REF!,#REF!,'Budget by Task'!V$6)</f>
        <v>#REF!</v>
      </c>
      <c r="W68" s="6" t="s">
        <v>30</v>
      </c>
      <c r="X68" s="18" t="e">
        <f>SUMIFS('Base Period'!87:87,'Base Period'!$28:$28,'Budget by Task'!X$6)+SUMIFS('Option Period 1'!87:87,'Option Period 1'!$28:$28,'Budget by Task'!X$6)+SUMIFS(#REF!,#REF!,'Budget by Task'!X$6)+SUMIFS(#REF!,#REF!,'Budget by Task'!X$6)+SUMIFS(#REF!,#REF!,'Budget by Task'!X$6)+SUMIFS(#REF!,#REF!,'Budget by Task'!X$6)+SUMIFS(#REF!,#REF!,'Budget by Task'!X$6)+SUMIFS(#REF!,#REF!,'Budget by Task'!X$6)+SUMIFS(#REF!,#REF!,'Budget by Task'!X$6)+SUMIFS(#REF!,#REF!,'Budget by Task'!X$6)</f>
        <v>#REF!</v>
      </c>
      <c r="Y68" s="6" t="s">
        <v>30</v>
      </c>
      <c r="Z68" s="18" t="e">
        <f>SUMIFS('Base Period'!87:87,'Base Period'!$28:$28,'Budget by Task'!Z$6)+SUMIFS('Option Period 1'!87:87,'Option Period 1'!$28:$28,'Budget by Task'!Z$6)+SUMIFS(#REF!,#REF!,'Budget by Task'!Z$6)+SUMIFS(#REF!,#REF!,'Budget by Task'!Z$6)+SUMIFS(#REF!,#REF!,'Budget by Task'!Z$6)+SUMIFS(#REF!,#REF!,'Budget by Task'!Z$6)+SUMIFS(#REF!,#REF!,'Budget by Task'!Z$6)+SUMIFS(#REF!,#REF!,'Budget by Task'!Z$6)+SUMIFS(#REF!,#REF!,'Budget by Task'!Z$6)+SUMIFS(#REF!,#REF!,'Budget by Task'!Z$6)</f>
        <v>#REF!</v>
      </c>
      <c r="AA68" s="6" t="s">
        <v>30</v>
      </c>
      <c r="AB68" s="18" t="e">
        <f>SUMIFS('Base Period'!87:87,'Base Period'!$28:$28,'Budget by Task'!AB$6)+SUMIFS('Option Period 1'!87:87,'Option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68" s="6" t="s">
        <v>30</v>
      </c>
      <c r="AD68" s="18" t="e">
        <f>SUMIFS('Base Period'!87:87,'Base Period'!$28:$28,'Budget by Task'!AD$6)+SUMIFS('Option Period 1'!87:87,'Option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68" s="6" t="s">
        <v>30</v>
      </c>
      <c r="AF68" s="18" t="e">
        <f>SUMIFS('Base Period'!87:87,'Base Period'!$28:$28,'Budget by Task'!AF$6)+SUMIFS('Option Period 1'!87:87,'Option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68" s="6" t="s">
        <v>30</v>
      </c>
      <c r="AH68" s="12" t="e">
        <f>SUMIFS('Base Period'!87:87,'Base Period'!$28:$28,'Budget by Task'!AH$6)+SUMIFS('Option Period 1'!87:87,'Option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68" s="11" t="e">
        <f>SUMIF($12:$12, "Dollar Value",68:68 )</f>
        <v>#REF!</v>
      </c>
      <c r="AM68" s="151" t="e">
        <f>ROUND(AJ68-'Base Period'!BN87-'Option Period 1'!BN87-#REF!-#REF!-#REF!-#REF!-#REF!-#REF!-#REF!-#REF!,0)</f>
        <v>#REF!</v>
      </c>
    </row>
    <row r="69" spans="2:39" ht="15.75" x14ac:dyDescent="0.25">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J69" s="14"/>
      <c r="AM69" s="149"/>
    </row>
    <row r="70" spans="2:39" ht="15.75" x14ac:dyDescent="0.25">
      <c r="B70" t="s">
        <v>82</v>
      </c>
      <c r="C70" s="6" t="s">
        <v>30</v>
      </c>
      <c r="D70" s="18" t="e">
        <f>SUMIFS('Base Period'!89:89,'Base Period'!$28:$28,'Budget by Task'!D$6)+SUMIFS('Option Period 1'!89:89,'Option Period 1'!$28:$28,'Budget by Task'!D$6)+SUMIFS(#REF!,#REF!,'Budget by Task'!D$6)+SUMIFS(#REF!,#REF!,'Budget by Task'!D$6)+SUMIFS(#REF!,#REF!,'Budget by Task'!D$6)+SUMIFS(#REF!,#REF!,"Task 1")+SUMIFS(#REF!,#REF!,'Budget by Task'!D$6)+SUMIFS(#REF!,#REF!,'Budget by Task'!D$6)+SUMIFS(#REF!,#REF!,'Budget by Task'!D$6)+SUMIFS(#REF!,#REF!,'Budget by Task'!D$6)</f>
        <v>#REF!</v>
      </c>
      <c r="E70" s="6" t="s">
        <v>30</v>
      </c>
      <c r="F70" s="18" t="e">
        <f>SUMIFS('Base Period'!89:89,'Base Period'!$28:$28,'Budget by Task'!F$6)+SUMIFS('Option Period 1'!89:89,'Option Period 1'!$28:$28,'Budget by Task'!F$6)+SUMIFS(#REF!,#REF!,'Budget by Task'!F$6)+SUMIFS(#REF!,#REF!,'Budget by Task'!F$6)+SUMIFS(#REF!,#REF!,'Budget by Task'!F$6)+SUMIFS(#REF!,#REF!,'Budget by Task'!F$6)+SUMIFS(#REF!,#REF!,'Budget by Task'!F$6)+SUMIFS(#REF!,#REF!,'Budget by Task'!F$6)+SUMIFS(#REF!,#REF!,'Budget by Task'!F$6)+SUMIFS(#REF!,#REF!,'Budget by Task'!F$6)</f>
        <v>#REF!</v>
      </c>
      <c r="G70" s="6" t="s">
        <v>30</v>
      </c>
      <c r="H70" s="18" t="e">
        <f>SUMIFS('Base Period'!89:89,'Base Period'!$28:$28,'Budget by Task'!H$6)+SUMIFS('Option Period 1'!89:89,'Option Period 1'!$28:$28,'Budget by Task'!H$6)+SUMIFS(#REF!,#REF!,'Budget by Task'!H$6)+SUMIFS(#REF!,#REF!,'Budget by Task'!H$6)+SUMIFS(#REF!,#REF!,'Budget by Task'!H$6)+SUMIFS(#REF!,#REF!,'Budget by Task'!H$6)+SUMIFS(#REF!,#REF!,'Budget by Task'!H$6)+SUMIFS(#REF!,#REF!,'Budget by Task'!H$6)+SUMIFS(#REF!,#REF!,'Budget by Task'!H$6)+SUMIFS(#REF!,#REF!,'Budget by Task'!H$6)</f>
        <v>#REF!</v>
      </c>
      <c r="I70" s="6" t="s">
        <v>30</v>
      </c>
      <c r="J70" s="18" t="e">
        <f>SUMIFS('Base Period'!89:89,'Base Period'!$28:$28,'Budget by Task'!J$6)+SUMIFS('Option Period 1'!89:89,'Option Period 1'!$28:$28,'Budget by Task'!J$6)+SUMIFS(#REF!,#REF!,'Budget by Task'!J$6)+SUMIFS(#REF!,#REF!,'Budget by Task'!J$6)+SUMIFS(#REF!,#REF!,'Budget by Task'!J$6)+SUMIFS(#REF!,#REF!,'Budget by Task'!J$6)+SUMIFS(#REF!,#REF!,'Budget by Task'!J$6)+SUMIFS(#REF!,#REF!,'Budget by Task'!J$6)+SUMIFS(#REF!,#REF!,'Budget by Task'!J$6)+SUMIFS(#REF!,#REF!,'Budget by Task'!J$6)</f>
        <v>#REF!</v>
      </c>
      <c r="K70" s="6" t="s">
        <v>30</v>
      </c>
      <c r="L70" s="18" t="e">
        <f>SUMIFS('Base Period'!89:89,'Base Period'!$28:$28,'Budget by Task'!L$6)+SUMIFS('Option Period 1'!89:89,'Option Period 1'!$28:$28,'Budget by Task'!L$6)+SUMIFS(#REF!,#REF!,'Budget by Task'!L$6)+SUMIFS(#REF!,#REF!,'Budget by Task'!L$6)+SUMIFS(#REF!,#REF!,'Budget by Task'!L$6)+SUMIFS(#REF!,#REF!,'Budget by Task'!L$6)+SUMIFS(#REF!,#REF!,'Budget by Task'!L$6)+SUMIFS(#REF!,#REF!,'Budget by Task'!L$6)+SUMIFS(#REF!,#REF!,'Budget by Task'!L$6)+SUMIFS(#REF!,#REF!,'Budget by Task'!L$6)</f>
        <v>#REF!</v>
      </c>
      <c r="M70" s="6" t="s">
        <v>30</v>
      </c>
      <c r="N70" s="18" t="e">
        <f>SUMIFS('Base Period'!89:89,'Base Period'!$28:$28,'Budget by Task'!N$6)+SUMIFS('Option Period 1'!89:89,'Option Period 1'!$28:$28,'Budget by Task'!N$6)+SUMIFS(#REF!,#REF!,'Budget by Task'!N$6)+SUMIFS(#REF!,#REF!,'Budget by Task'!N$6)+SUMIFS(#REF!,#REF!,'Budget by Task'!N$6)+SUMIFS(#REF!,#REF!,'Budget by Task'!N$6)+SUMIFS(#REF!,#REF!,'Budget by Task'!N$6)+SUMIFS(#REF!,#REF!,'Budget by Task'!N$6)+SUMIFS(#REF!,#REF!,'Budget by Task'!N$6)+SUMIFS(#REF!,#REF!,'Budget by Task'!N$6)</f>
        <v>#REF!</v>
      </c>
      <c r="O70" s="6" t="s">
        <v>30</v>
      </c>
      <c r="P70" s="18" t="e">
        <f>SUMIFS('Base Period'!89:89,'Base Period'!$28:$28,'Budget by Task'!P$6)+SUMIFS('Option Period 1'!89:89,'Option Period 1'!$28:$28,'Budget by Task'!P$6)+SUMIFS(#REF!,#REF!,'Budget by Task'!P$6)+SUMIFS(#REF!,#REF!,'Budget by Task'!P$6)+SUMIFS(#REF!,#REF!,'Budget by Task'!P$6)+SUMIFS(#REF!,#REF!,'Budget by Task'!P$6)+SUMIFS(#REF!,#REF!,'Budget by Task'!P$6)+SUMIFS(#REF!,#REF!,'Budget by Task'!P$6)+SUMIFS(#REF!,#REF!,'Budget by Task'!P$6)+SUMIFS(#REF!,#REF!,'Budget by Task'!P$6)</f>
        <v>#REF!</v>
      </c>
      <c r="Q70" s="6" t="s">
        <v>30</v>
      </c>
      <c r="R70" s="18" t="e">
        <f>SUMIFS('Base Period'!89:89,'Base Period'!$28:$28,'Budget by Task'!R$6)+SUMIFS('Option Period 1'!89:89,'Option Period 1'!$28:$28,'Budget by Task'!R$6)+SUMIFS(#REF!,#REF!,'Budget by Task'!R$6)+SUMIFS(#REF!,#REF!,'Budget by Task'!R$6)+SUMIFS(#REF!,#REF!,'Budget by Task'!R$6)+SUMIFS(#REF!,#REF!,'Budget by Task'!R$6)+SUMIFS(#REF!,#REF!,'Budget by Task'!R$6)+SUMIFS(#REF!,#REF!,'Budget by Task'!R$6)+SUMIFS(#REF!,#REF!,'Budget by Task'!R$6)+SUMIFS(#REF!,#REF!,'Budget by Task'!R$6)</f>
        <v>#REF!</v>
      </c>
      <c r="S70" s="6" t="s">
        <v>30</v>
      </c>
      <c r="T70" s="18" t="e">
        <f>SUMIFS('Base Period'!89:89,'Base Period'!$28:$28,'Budget by Task'!T$6)+SUMIFS('Option Period 1'!89:89,'Option Period 1'!$28:$28,'Budget by Task'!T$6)+SUMIFS(#REF!,#REF!,'Budget by Task'!T$6)+SUMIFS(#REF!,#REF!,'Budget by Task'!T$6)+SUMIFS(#REF!,#REF!,'Budget by Task'!T$6)+SUMIFS(#REF!,#REF!,'Budget by Task'!T$6)+SUMIFS(#REF!,#REF!,'Budget by Task'!T$6)+SUMIFS(#REF!,#REF!,'Budget by Task'!T$6)+SUMIFS(#REF!,#REF!,'Budget by Task'!T$6)+SUMIFS(#REF!,#REF!,'Budget by Task'!T$6)</f>
        <v>#REF!</v>
      </c>
      <c r="U70" s="6" t="s">
        <v>30</v>
      </c>
      <c r="V70" s="18" t="e">
        <f>SUMIFS('Base Period'!89:89,'Base Period'!$28:$28,'Budget by Task'!V$6)+SUMIFS('Option Period 1'!89:89,'Option Period 1'!$28:$28,'Budget by Task'!V$6)+SUMIFS(#REF!,#REF!,'Budget by Task'!V$6)+SUMIFS(#REF!,#REF!,'Budget by Task'!V$6)+SUMIFS(#REF!,#REF!,'Budget by Task'!V$6)+SUMIFS(#REF!,#REF!,'Budget by Task'!V$6)+SUMIFS(#REF!,#REF!,'Budget by Task'!V$6)+SUMIFS(#REF!,#REF!,'Budget by Task'!V$6)+SUMIFS(#REF!,#REF!,'Budget by Task'!V$6)+SUMIFS(#REF!,#REF!,'Budget by Task'!V$6)</f>
        <v>#REF!</v>
      </c>
      <c r="W70" s="6" t="s">
        <v>30</v>
      </c>
      <c r="X70" s="18" t="e">
        <f>SUMIFS('Base Period'!89:89,'Base Period'!$28:$28,'Budget by Task'!X$6)+SUMIFS('Option Period 1'!89:89,'Option Period 1'!$28:$28,'Budget by Task'!X$6)+SUMIFS(#REF!,#REF!,'Budget by Task'!X$6)+SUMIFS(#REF!,#REF!,'Budget by Task'!X$6)+SUMIFS(#REF!,#REF!,'Budget by Task'!X$6)+SUMIFS(#REF!,#REF!,'Budget by Task'!X$6)+SUMIFS(#REF!,#REF!,'Budget by Task'!X$6)+SUMIFS(#REF!,#REF!,'Budget by Task'!X$6)+SUMIFS(#REF!,#REF!,'Budget by Task'!X$6)+SUMIFS(#REF!,#REF!,'Budget by Task'!X$6)</f>
        <v>#REF!</v>
      </c>
      <c r="Y70" s="6" t="s">
        <v>30</v>
      </c>
      <c r="Z70" s="18" t="e">
        <f>SUMIFS('Base Period'!89:89,'Base Period'!$28:$28,'Budget by Task'!Z$6)+SUMIFS('Option Period 1'!89:89,'Option Period 1'!$28:$28,'Budget by Task'!Z$6)+SUMIFS(#REF!,#REF!,'Budget by Task'!Z$6)+SUMIFS(#REF!,#REF!,'Budget by Task'!Z$6)+SUMIFS(#REF!,#REF!,'Budget by Task'!Z$6)+SUMIFS(#REF!,#REF!,'Budget by Task'!Z$6)+SUMIFS(#REF!,#REF!,'Budget by Task'!Z$6)+SUMIFS(#REF!,#REF!,'Budget by Task'!Z$6)+SUMIFS(#REF!,#REF!,'Budget by Task'!Z$6)+SUMIFS(#REF!,#REF!,'Budget by Task'!Z$6)</f>
        <v>#REF!</v>
      </c>
      <c r="AA70" s="6" t="s">
        <v>30</v>
      </c>
      <c r="AB70" s="18" t="e">
        <f>SUMIFS('Base Period'!89:89,'Base Period'!$28:$28,'Budget by Task'!AB$6)+SUMIFS('Option Period 1'!89:89,'Option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70" s="6" t="s">
        <v>30</v>
      </c>
      <c r="AD70" s="18" t="e">
        <f>SUMIFS('Base Period'!89:89,'Base Period'!$28:$28,'Budget by Task'!AD$6)+SUMIFS('Option Period 1'!89:89,'Option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70" s="6" t="s">
        <v>30</v>
      </c>
      <c r="AF70" s="18" t="e">
        <f>SUMIFS('Base Period'!89:89,'Base Period'!$28:$28,'Budget by Task'!AF$6)+SUMIFS('Option Period 1'!89:89,'Option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70" s="6" t="s">
        <v>30</v>
      </c>
      <c r="AH70" s="12" t="e">
        <f>SUMIFS('Base Period'!89:89,'Base Period'!$28:$28,'Budget by Task'!AH$6)+SUMIFS('Option Period 1'!89:89,'Option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70" s="11" t="e">
        <f>SUMIF($12:$12, "Dollar Value",70:70 )</f>
        <v>#REF!</v>
      </c>
      <c r="AM70" s="151" t="e">
        <f>ROUND(AJ70-'Base Period'!BN89-'Option Period 1'!BN89-#REF!-#REF!-#REF!-#REF!-#REF!-#REF!-#REF!-#REF!,0)</f>
        <v>#REF!</v>
      </c>
    </row>
    <row r="71" spans="2:39" ht="15.75" x14ac:dyDescent="0.25">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J71" s="14"/>
      <c r="AM71" s="149"/>
    </row>
    <row r="72" spans="2:39" ht="15.75" x14ac:dyDescent="0.25">
      <c r="B72" t="s">
        <v>83</v>
      </c>
      <c r="C72" s="6" t="s">
        <v>30</v>
      </c>
      <c r="D72" s="18" t="e">
        <f>SUMIFS('Base Period'!91:91,'Base Period'!$28:$28,'Budget by Task'!D$6)+SUMIFS('Option Period 1'!91:91,'Option Period 1'!$28:$28,'Budget by Task'!D$6)+SUMIFS(#REF!,#REF!,'Budget by Task'!D$6)+SUMIFS(#REF!,#REF!,'Budget by Task'!D$6)+SUMIFS(#REF!,#REF!,'Budget by Task'!D$6)+SUMIFS(#REF!,#REF!,"Task 1")+SUMIFS(#REF!,#REF!,'Budget by Task'!D$6)+SUMIFS(#REF!,#REF!,'Budget by Task'!D$6)+SUMIFS(#REF!,#REF!,'Budget by Task'!D$6)+SUMIFS(#REF!,#REF!,'Budget by Task'!D$6)</f>
        <v>#REF!</v>
      </c>
      <c r="E72" s="6" t="s">
        <v>30</v>
      </c>
      <c r="F72" s="18" t="e">
        <f>SUMIFS('Base Period'!91:91,'Base Period'!$28:$28,'Budget by Task'!F$6)+SUMIFS('Option Period 1'!91:91,'Option Period 1'!$28:$28,'Budget by Task'!F$6)+SUMIFS(#REF!,#REF!,'Budget by Task'!F$6)+SUMIFS(#REF!,#REF!,'Budget by Task'!F$6)+SUMIFS(#REF!,#REF!,'Budget by Task'!F$6)+SUMIFS(#REF!,#REF!,'Budget by Task'!F$6)+SUMIFS(#REF!,#REF!,'Budget by Task'!F$6)+SUMIFS(#REF!,#REF!,'Budget by Task'!F$6)+SUMIFS(#REF!,#REF!,'Budget by Task'!F$6)+SUMIFS(#REF!,#REF!,'Budget by Task'!F$6)</f>
        <v>#REF!</v>
      </c>
      <c r="G72" s="6" t="s">
        <v>30</v>
      </c>
      <c r="H72" s="18" t="e">
        <f>SUMIFS('Base Period'!91:91,'Base Period'!$28:$28,'Budget by Task'!H$6)+SUMIFS('Option Period 1'!91:91,'Option Period 1'!$28:$28,'Budget by Task'!H$6)+SUMIFS(#REF!,#REF!,'Budget by Task'!H$6)+SUMIFS(#REF!,#REF!,'Budget by Task'!H$6)+SUMIFS(#REF!,#REF!,'Budget by Task'!H$6)+SUMIFS(#REF!,#REF!,'Budget by Task'!H$6)+SUMIFS(#REF!,#REF!,'Budget by Task'!H$6)+SUMIFS(#REF!,#REF!,'Budget by Task'!H$6)+SUMIFS(#REF!,#REF!,'Budget by Task'!H$6)+SUMIFS(#REF!,#REF!,'Budget by Task'!H$6)</f>
        <v>#REF!</v>
      </c>
      <c r="I72" s="6" t="s">
        <v>30</v>
      </c>
      <c r="J72" s="18" t="e">
        <f>SUMIFS('Base Period'!91:91,'Base Period'!$28:$28,'Budget by Task'!J$6)+SUMIFS('Option Period 1'!91:91,'Option Period 1'!$28:$28,'Budget by Task'!J$6)+SUMIFS(#REF!,#REF!,'Budget by Task'!J$6)+SUMIFS(#REF!,#REF!,'Budget by Task'!J$6)+SUMIFS(#REF!,#REF!,'Budget by Task'!J$6)+SUMIFS(#REF!,#REF!,'Budget by Task'!J$6)+SUMIFS(#REF!,#REF!,'Budget by Task'!J$6)+SUMIFS(#REF!,#REF!,'Budget by Task'!J$6)+SUMIFS(#REF!,#REF!,'Budget by Task'!J$6)+SUMIFS(#REF!,#REF!,'Budget by Task'!J$6)</f>
        <v>#REF!</v>
      </c>
      <c r="K72" s="6" t="s">
        <v>30</v>
      </c>
      <c r="L72" s="18" t="e">
        <f>SUMIFS('Base Period'!91:91,'Base Period'!$28:$28,'Budget by Task'!L$6)+SUMIFS('Option Period 1'!91:91,'Option Period 1'!$28:$28,'Budget by Task'!L$6)+SUMIFS(#REF!,#REF!,'Budget by Task'!L$6)+SUMIFS(#REF!,#REF!,'Budget by Task'!L$6)+SUMIFS(#REF!,#REF!,'Budget by Task'!L$6)+SUMIFS(#REF!,#REF!,'Budget by Task'!L$6)+SUMIFS(#REF!,#REF!,'Budget by Task'!L$6)+SUMIFS(#REF!,#REF!,'Budget by Task'!L$6)+SUMIFS(#REF!,#REF!,'Budget by Task'!L$6)+SUMIFS(#REF!,#REF!,'Budget by Task'!L$6)</f>
        <v>#REF!</v>
      </c>
      <c r="M72" s="6" t="s">
        <v>30</v>
      </c>
      <c r="N72" s="18" t="e">
        <f>SUMIFS('Base Period'!91:91,'Base Period'!$28:$28,'Budget by Task'!N$6)+SUMIFS('Option Period 1'!91:91,'Option Period 1'!$28:$28,'Budget by Task'!N$6)+SUMIFS(#REF!,#REF!,'Budget by Task'!N$6)+SUMIFS(#REF!,#REF!,'Budget by Task'!N$6)+SUMIFS(#REF!,#REF!,'Budget by Task'!N$6)+SUMIFS(#REF!,#REF!,'Budget by Task'!N$6)+SUMIFS(#REF!,#REF!,'Budget by Task'!N$6)+SUMIFS(#REF!,#REF!,'Budget by Task'!N$6)+SUMIFS(#REF!,#REF!,'Budget by Task'!N$6)+SUMIFS(#REF!,#REF!,'Budget by Task'!N$6)</f>
        <v>#REF!</v>
      </c>
      <c r="O72" s="6" t="s">
        <v>30</v>
      </c>
      <c r="P72" s="18" t="e">
        <f>SUMIFS('Base Period'!91:91,'Base Period'!$28:$28,'Budget by Task'!P$6)+SUMIFS('Option Period 1'!91:91,'Option Period 1'!$28:$28,'Budget by Task'!P$6)+SUMIFS(#REF!,#REF!,'Budget by Task'!P$6)+SUMIFS(#REF!,#REF!,'Budget by Task'!P$6)+SUMIFS(#REF!,#REF!,'Budget by Task'!P$6)+SUMIFS(#REF!,#REF!,'Budget by Task'!P$6)+SUMIFS(#REF!,#REF!,'Budget by Task'!P$6)+SUMIFS(#REF!,#REF!,'Budget by Task'!P$6)+SUMIFS(#REF!,#REF!,'Budget by Task'!P$6)+SUMIFS(#REF!,#REF!,'Budget by Task'!P$6)</f>
        <v>#REF!</v>
      </c>
      <c r="Q72" s="6" t="s">
        <v>30</v>
      </c>
      <c r="R72" s="18" t="e">
        <f>SUMIFS('Base Period'!91:91,'Base Period'!$28:$28,'Budget by Task'!R$6)+SUMIFS('Option Period 1'!91:91,'Option Period 1'!$28:$28,'Budget by Task'!R$6)+SUMIFS(#REF!,#REF!,'Budget by Task'!R$6)+SUMIFS(#REF!,#REF!,'Budget by Task'!R$6)+SUMIFS(#REF!,#REF!,'Budget by Task'!R$6)+SUMIFS(#REF!,#REF!,'Budget by Task'!R$6)+SUMIFS(#REF!,#REF!,'Budget by Task'!R$6)+SUMIFS(#REF!,#REF!,'Budget by Task'!R$6)+SUMIFS(#REF!,#REF!,'Budget by Task'!R$6)+SUMIFS(#REF!,#REF!,'Budget by Task'!R$6)</f>
        <v>#REF!</v>
      </c>
      <c r="S72" s="6" t="s">
        <v>30</v>
      </c>
      <c r="T72" s="18" t="e">
        <f>SUMIFS('Base Period'!91:91,'Base Period'!$28:$28,'Budget by Task'!T$6)+SUMIFS('Option Period 1'!91:91,'Option Period 1'!$28:$28,'Budget by Task'!T$6)+SUMIFS(#REF!,#REF!,'Budget by Task'!T$6)+SUMIFS(#REF!,#REF!,'Budget by Task'!T$6)+SUMIFS(#REF!,#REF!,'Budget by Task'!T$6)+SUMIFS(#REF!,#REF!,'Budget by Task'!T$6)+SUMIFS(#REF!,#REF!,'Budget by Task'!T$6)+SUMIFS(#REF!,#REF!,'Budget by Task'!T$6)+SUMIFS(#REF!,#REF!,'Budget by Task'!T$6)+SUMIFS(#REF!,#REF!,'Budget by Task'!T$6)</f>
        <v>#REF!</v>
      </c>
      <c r="U72" s="6" t="s">
        <v>30</v>
      </c>
      <c r="V72" s="18" t="e">
        <f>SUMIFS('Base Period'!91:91,'Base Period'!$28:$28,'Budget by Task'!V$6)+SUMIFS('Option Period 1'!91:91,'Option Period 1'!$28:$28,'Budget by Task'!V$6)+SUMIFS(#REF!,#REF!,'Budget by Task'!V$6)+SUMIFS(#REF!,#REF!,'Budget by Task'!V$6)+SUMIFS(#REF!,#REF!,'Budget by Task'!V$6)+SUMIFS(#REF!,#REF!,'Budget by Task'!V$6)+SUMIFS(#REF!,#REF!,'Budget by Task'!V$6)+SUMIFS(#REF!,#REF!,'Budget by Task'!V$6)+SUMIFS(#REF!,#REF!,'Budget by Task'!V$6)+SUMIFS(#REF!,#REF!,'Budget by Task'!V$6)</f>
        <v>#REF!</v>
      </c>
      <c r="W72" s="6" t="s">
        <v>30</v>
      </c>
      <c r="X72" s="18" t="e">
        <f>SUMIFS('Base Period'!91:91,'Base Period'!$28:$28,'Budget by Task'!X$6)+SUMIFS('Option Period 1'!91:91,'Option Period 1'!$28:$28,'Budget by Task'!X$6)+SUMIFS(#REF!,#REF!,'Budget by Task'!X$6)+SUMIFS(#REF!,#REF!,'Budget by Task'!X$6)+SUMIFS(#REF!,#REF!,'Budget by Task'!X$6)+SUMIFS(#REF!,#REF!,'Budget by Task'!X$6)+SUMIFS(#REF!,#REF!,'Budget by Task'!X$6)+SUMIFS(#REF!,#REF!,'Budget by Task'!X$6)+SUMIFS(#REF!,#REF!,'Budget by Task'!X$6)+SUMIFS(#REF!,#REF!,'Budget by Task'!X$6)</f>
        <v>#REF!</v>
      </c>
      <c r="Y72" s="6" t="s">
        <v>30</v>
      </c>
      <c r="Z72" s="18" t="e">
        <f>SUMIFS('Base Period'!91:91,'Base Period'!$28:$28,'Budget by Task'!Z$6)+SUMIFS('Option Period 1'!91:91,'Option Period 1'!$28:$28,'Budget by Task'!Z$6)+SUMIFS(#REF!,#REF!,'Budget by Task'!Z$6)+SUMIFS(#REF!,#REF!,'Budget by Task'!Z$6)+SUMIFS(#REF!,#REF!,'Budget by Task'!Z$6)+SUMIFS(#REF!,#REF!,'Budget by Task'!Z$6)+SUMIFS(#REF!,#REF!,'Budget by Task'!Z$6)+SUMIFS(#REF!,#REF!,'Budget by Task'!Z$6)+SUMIFS(#REF!,#REF!,'Budget by Task'!Z$6)+SUMIFS(#REF!,#REF!,'Budget by Task'!Z$6)</f>
        <v>#REF!</v>
      </c>
      <c r="AA72" s="6" t="s">
        <v>30</v>
      </c>
      <c r="AB72" s="18" t="e">
        <f>SUMIFS('Base Period'!91:91,'Base Period'!$28:$28,'Budget by Task'!AB$6)+SUMIFS('Option Period 1'!91:91,'Option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72" s="6" t="s">
        <v>30</v>
      </c>
      <c r="AD72" s="18" t="e">
        <f>SUMIFS('Base Period'!91:91,'Base Period'!$28:$28,'Budget by Task'!AD$6)+SUMIFS('Option Period 1'!91:91,'Option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72" s="6" t="s">
        <v>30</v>
      </c>
      <c r="AF72" s="18" t="e">
        <f>SUMIFS('Base Period'!91:91,'Base Period'!$28:$28,'Budget by Task'!AF$6)+SUMIFS('Option Period 1'!91:91,'Option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72" s="6" t="s">
        <v>30</v>
      </c>
      <c r="AH72" s="12" t="e">
        <f>SUMIFS('Base Period'!91:91,'Base Period'!$28:$28,'Budget by Task'!AH$6)+SUMIFS('Option Period 1'!91:91,'Option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72" s="11" t="e">
        <f>SUMIF($12:$12, "Dollar Value",72:72 )</f>
        <v>#REF!</v>
      </c>
      <c r="AM72" s="151" t="e">
        <f>ROUND(AJ72-'Base Period'!BN91-'Option Period 1'!BN91-#REF!-#REF!-#REF!-#REF!-#REF!-#REF!-#REF!-#REF!,0)</f>
        <v>#REF!</v>
      </c>
    </row>
    <row r="73" spans="2:39" ht="15.75" x14ac:dyDescent="0.25">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J73" s="14"/>
      <c r="AM73" s="149"/>
    </row>
    <row r="74" spans="2:39" ht="15.75" x14ac:dyDescent="0.25">
      <c r="B74" t="s">
        <v>84</v>
      </c>
      <c r="C74" s="6" t="s">
        <v>30</v>
      </c>
      <c r="D74" s="18" t="e">
        <f>SUMIFS('Base Period'!93:93,'Base Period'!$28:$28,'Budget by Task'!D$6)+SUMIFS('Option Period 1'!93:93,'Option Period 1'!$28:$28,'Budget by Task'!D$6)+SUMIFS(#REF!,#REF!,'Budget by Task'!D$6)+SUMIFS(#REF!,#REF!,'Budget by Task'!D$6)+SUMIFS(#REF!,#REF!,'Budget by Task'!D$6)+SUMIFS(#REF!,#REF!,"Task 1")+SUMIFS(#REF!,#REF!,'Budget by Task'!D$6)+SUMIFS(#REF!,#REF!,'Budget by Task'!D$6)+SUMIFS(#REF!,#REF!,'Budget by Task'!D$6)+SUMIFS(#REF!,#REF!,'Budget by Task'!D$6)</f>
        <v>#REF!</v>
      </c>
      <c r="E74" s="6" t="s">
        <v>30</v>
      </c>
      <c r="F74" s="18" t="e">
        <f>SUMIFS('Base Period'!93:93,'Base Period'!$28:$28,'Budget by Task'!F$6)+SUMIFS('Option Period 1'!93:93,'Option Period 1'!$28:$28,'Budget by Task'!F$6)+SUMIFS(#REF!,#REF!,'Budget by Task'!F$6)+SUMIFS(#REF!,#REF!,'Budget by Task'!F$6)+SUMIFS(#REF!,#REF!,'Budget by Task'!F$6)+SUMIFS(#REF!,#REF!,'Budget by Task'!F$6)+SUMIFS(#REF!,#REF!,'Budget by Task'!F$6)+SUMIFS(#REF!,#REF!,'Budget by Task'!F$6)+SUMIFS(#REF!,#REF!,'Budget by Task'!F$6)+SUMIFS(#REF!,#REF!,'Budget by Task'!F$6)</f>
        <v>#REF!</v>
      </c>
      <c r="G74" s="6" t="s">
        <v>30</v>
      </c>
      <c r="H74" s="18" t="e">
        <f>SUMIFS('Base Period'!93:93,'Base Period'!$28:$28,'Budget by Task'!H$6)+SUMIFS('Option Period 1'!93:93,'Option Period 1'!$28:$28,'Budget by Task'!H$6)+SUMIFS(#REF!,#REF!,'Budget by Task'!H$6)+SUMIFS(#REF!,#REF!,'Budget by Task'!H$6)+SUMIFS(#REF!,#REF!,'Budget by Task'!H$6)+SUMIFS(#REF!,#REF!,'Budget by Task'!H$6)+SUMIFS(#REF!,#REF!,'Budget by Task'!H$6)+SUMIFS(#REF!,#REF!,'Budget by Task'!H$6)+SUMIFS(#REF!,#REF!,'Budget by Task'!H$6)+SUMIFS(#REF!,#REF!,'Budget by Task'!H$6)</f>
        <v>#REF!</v>
      </c>
      <c r="I74" s="6" t="s">
        <v>30</v>
      </c>
      <c r="J74" s="18" t="e">
        <f>SUMIFS('Base Period'!93:93,'Base Period'!$28:$28,'Budget by Task'!J$6)+SUMIFS('Option Period 1'!93:93,'Option Period 1'!$28:$28,'Budget by Task'!J$6)+SUMIFS(#REF!,#REF!,'Budget by Task'!J$6)+SUMIFS(#REF!,#REF!,'Budget by Task'!J$6)+SUMIFS(#REF!,#REF!,'Budget by Task'!J$6)+SUMIFS(#REF!,#REF!,'Budget by Task'!J$6)+SUMIFS(#REF!,#REF!,'Budget by Task'!J$6)+SUMIFS(#REF!,#REF!,'Budget by Task'!J$6)+SUMIFS(#REF!,#REF!,'Budget by Task'!J$6)+SUMIFS(#REF!,#REF!,'Budget by Task'!J$6)</f>
        <v>#REF!</v>
      </c>
      <c r="K74" s="6" t="s">
        <v>30</v>
      </c>
      <c r="L74" s="18" t="e">
        <f>SUMIFS('Base Period'!93:93,'Base Period'!$28:$28,'Budget by Task'!L$6)+SUMIFS('Option Period 1'!93:93,'Option Period 1'!$28:$28,'Budget by Task'!L$6)+SUMIFS(#REF!,#REF!,'Budget by Task'!L$6)+SUMIFS(#REF!,#REF!,'Budget by Task'!L$6)+SUMIFS(#REF!,#REF!,'Budget by Task'!L$6)+SUMIFS(#REF!,#REF!,'Budget by Task'!L$6)+SUMIFS(#REF!,#REF!,'Budget by Task'!L$6)+SUMIFS(#REF!,#REF!,'Budget by Task'!L$6)+SUMIFS(#REF!,#REF!,'Budget by Task'!L$6)+SUMIFS(#REF!,#REF!,'Budget by Task'!L$6)</f>
        <v>#REF!</v>
      </c>
      <c r="M74" s="6" t="s">
        <v>30</v>
      </c>
      <c r="N74" s="18" t="e">
        <f>SUMIFS('Base Period'!93:93,'Base Period'!$28:$28,'Budget by Task'!N$6)+SUMIFS('Option Period 1'!93:93,'Option Period 1'!$28:$28,'Budget by Task'!N$6)+SUMIFS(#REF!,#REF!,'Budget by Task'!N$6)+SUMIFS(#REF!,#REF!,'Budget by Task'!N$6)+SUMIFS(#REF!,#REF!,'Budget by Task'!N$6)+SUMIFS(#REF!,#REF!,'Budget by Task'!N$6)+SUMIFS(#REF!,#REF!,'Budget by Task'!N$6)+SUMIFS(#REF!,#REF!,'Budget by Task'!N$6)+SUMIFS(#REF!,#REF!,'Budget by Task'!N$6)+SUMIFS(#REF!,#REF!,'Budget by Task'!N$6)</f>
        <v>#REF!</v>
      </c>
      <c r="O74" s="6" t="s">
        <v>30</v>
      </c>
      <c r="P74" s="18" t="e">
        <f>SUMIFS('Base Period'!93:93,'Base Period'!$28:$28,'Budget by Task'!P$6)+SUMIFS('Option Period 1'!93:93,'Option Period 1'!$28:$28,'Budget by Task'!P$6)+SUMIFS(#REF!,#REF!,'Budget by Task'!P$6)+SUMIFS(#REF!,#REF!,'Budget by Task'!P$6)+SUMIFS(#REF!,#REF!,'Budget by Task'!P$6)+SUMIFS(#REF!,#REF!,'Budget by Task'!P$6)+SUMIFS(#REF!,#REF!,'Budget by Task'!P$6)+SUMIFS(#REF!,#REF!,'Budget by Task'!P$6)+SUMIFS(#REF!,#REF!,'Budget by Task'!P$6)+SUMIFS(#REF!,#REF!,'Budget by Task'!P$6)</f>
        <v>#REF!</v>
      </c>
      <c r="Q74" s="6" t="s">
        <v>30</v>
      </c>
      <c r="R74" s="18" t="e">
        <f>SUMIFS('Base Period'!93:93,'Base Period'!$28:$28,'Budget by Task'!R$6)+SUMIFS('Option Period 1'!93:93,'Option Period 1'!$28:$28,'Budget by Task'!R$6)+SUMIFS(#REF!,#REF!,'Budget by Task'!R$6)+SUMIFS(#REF!,#REF!,'Budget by Task'!R$6)+SUMIFS(#REF!,#REF!,'Budget by Task'!R$6)+SUMIFS(#REF!,#REF!,'Budget by Task'!R$6)+SUMIFS(#REF!,#REF!,'Budget by Task'!R$6)+SUMIFS(#REF!,#REF!,'Budget by Task'!R$6)+SUMIFS(#REF!,#REF!,'Budget by Task'!R$6)+SUMIFS(#REF!,#REF!,'Budget by Task'!R$6)</f>
        <v>#REF!</v>
      </c>
      <c r="S74" s="6" t="s">
        <v>30</v>
      </c>
      <c r="T74" s="18" t="e">
        <f>SUMIFS('Base Period'!93:93,'Base Period'!$28:$28,'Budget by Task'!T$6)+SUMIFS('Option Period 1'!93:93,'Option Period 1'!$28:$28,'Budget by Task'!T$6)+SUMIFS(#REF!,#REF!,'Budget by Task'!T$6)+SUMIFS(#REF!,#REF!,'Budget by Task'!T$6)+SUMIFS(#REF!,#REF!,'Budget by Task'!T$6)+SUMIFS(#REF!,#REF!,'Budget by Task'!T$6)+SUMIFS(#REF!,#REF!,'Budget by Task'!T$6)+SUMIFS(#REF!,#REF!,'Budget by Task'!T$6)+SUMIFS(#REF!,#REF!,'Budget by Task'!T$6)+SUMIFS(#REF!,#REF!,'Budget by Task'!T$6)</f>
        <v>#REF!</v>
      </c>
      <c r="U74" s="6" t="s">
        <v>30</v>
      </c>
      <c r="V74" s="18" t="e">
        <f>SUMIFS('Base Period'!93:93,'Base Period'!$28:$28,'Budget by Task'!V$6)+SUMIFS('Option Period 1'!93:93,'Option Period 1'!$28:$28,'Budget by Task'!V$6)+SUMIFS(#REF!,#REF!,'Budget by Task'!V$6)+SUMIFS(#REF!,#REF!,'Budget by Task'!V$6)+SUMIFS(#REF!,#REF!,'Budget by Task'!V$6)+SUMIFS(#REF!,#REF!,'Budget by Task'!V$6)+SUMIFS(#REF!,#REF!,'Budget by Task'!V$6)+SUMIFS(#REF!,#REF!,'Budget by Task'!V$6)+SUMIFS(#REF!,#REF!,'Budget by Task'!V$6)+SUMIFS(#REF!,#REF!,'Budget by Task'!V$6)</f>
        <v>#REF!</v>
      </c>
      <c r="W74" s="6" t="s">
        <v>30</v>
      </c>
      <c r="X74" s="18" t="e">
        <f>SUMIFS('Base Period'!93:93,'Base Period'!$28:$28,'Budget by Task'!X$6)+SUMIFS('Option Period 1'!93:93,'Option Period 1'!$28:$28,'Budget by Task'!X$6)+SUMIFS(#REF!,#REF!,'Budget by Task'!X$6)+SUMIFS(#REF!,#REF!,'Budget by Task'!X$6)+SUMIFS(#REF!,#REF!,'Budget by Task'!X$6)+SUMIFS(#REF!,#REF!,'Budget by Task'!X$6)+SUMIFS(#REF!,#REF!,'Budget by Task'!X$6)+SUMIFS(#REF!,#REF!,'Budget by Task'!X$6)+SUMIFS(#REF!,#REF!,'Budget by Task'!X$6)+SUMIFS(#REF!,#REF!,'Budget by Task'!X$6)</f>
        <v>#REF!</v>
      </c>
      <c r="Y74" s="6" t="s">
        <v>30</v>
      </c>
      <c r="Z74" s="18" t="e">
        <f>SUMIFS('Base Period'!93:93,'Base Period'!$28:$28,'Budget by Task'!Z$6)+SUMIFS('Option Period 1'!93:93,'Option Period 1'!$28:$28,'Budget by Task'!Z$6)+SUMIFS(#REF!,#REF!,'Budget by Task'!Z$6)+SUMIFS(#REF!,#REF!,'Budget by Task'!Z$6)+SUMIFS(#REF!,#REF!,'Budget by Task'!Z$6)+SUMIFS(#REF!,#REF!,'Budget by Task'!Z$6)+SUMIFS(#REF!,#REF!,'Budget by Task'!Z$6)+SUMIFS(#REF!,#REF!,'Budget by Task'!Z$6)+SUMIFS(#REF!,#REF!,'Budget by Task'!Z$6)+SUMIFS(#REF!,#REF!,'Budget by Task'!Z$6)</f>
        <v>#REF!</v>
      </c>
      <c r="AA74" s="6" t="s">
        <v>30</v>
      </c>
      <c r="AB74" s="18" t="e">
        <f>SUMIFS('Base Period'!93:93,'Base Period'!$28:$28,'Budget by Task'!AB$6)+SUMIFS('Option Period 1'!93:93,'Option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74" s="6" t="s">
        <v>30</v>
      </c>
      <c r="AD74" s="18" t="e">
        <f>SUMIFS('Base Period'!93:93,'Base Period'!$28:$28,'Budget by Task'!AD$6)+SUMIFS('Option Period 1'!93:93,'Option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74" s="6" t="s">
        <v>30</v>
      </c>
      <c r="AF74" s="18" t="e">
        <f>SUMIFS('Base Period'!93:93,'Base Period'!$28:$28,'Budget by Task'!AF$6)+SUMIFS('Option Period 1'!93:93,'Option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74" s="6" t="s">
        <v>30</v>
      </c>
      <c r="AH74" s="12" t="e">
        <f>SUMIFS('Base Period'!93:93,'Base Period'!$28:$28,'Budget by Task'!AH$6)+SUMIFS('Option Period 1'!93:93,'Option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74" s="11" t="e">
        <f>SUMIF($12:$12, "Dollar Value",74:74 )</f>
        <v>#REF!</v>
      </c>
      <c r="AM74" s="151" t="e">
        <f>ROUND(AJ74-'Base Period'!BN93-'Option Period 1'!BN93-#REF!-#REF!-#REF!-#REF!-#REF!-#REF!-#REF!-#REF!,0)</f>
        <v>#REF!</v>
      </c>
    </row>
    <row r="75" spans="2:39" ht="15.75" x14ac:dyDescent="0.25">
      <c r="C75" s="6"/>
      <c r="D75" s="18"/>
      <c r="E75" s="6"/>
      <c r="F75" s="18"/>
      <c r="G75" s="6"/>
      <c r="H75" s="18"/>
      <c r="I75" s="6"/>
      <c r="J75" s="18"/>
      <c r="K75" s="6"/>
      <c r="L75" s="18"/>
      <c r="M75" s="6"/>
      <c r="N75" s="18"/>
      <c r="O75" s="6"/>
      <c r="P75" s="18"/>
      <c r="Q75" s="6"/>
      <c r="R75" s="18"/>
      <c r="S75" s="6"/>
      <c r="T75" s="18"/>
      <c r="U75" s="6"/>
      <c r="V75" s="18"/>
      <c r="W75" s="6"/>
      <c r="X75" s="18"/>
      <c r="Y75" s="6"/>
      <c r="Z75" s="18"/>
      <c r="AA75" s="6"/>
      <c r="AB75" s="18"/>
      <c r="AC75" s="6"/>
      <c r="AD75" s="18"/>
      <c r="AE75" s="6"/>
      <c r="AF75" s="18"/>
      <c r="AG75" s="6"/>
      <c r="AH75" s="18"/>
      <c r="AJ75" s="11"/>
      <c r="AM75" s="149"/>
    </row>
    <row r="76" spans="2:39" ht="15.75" x14ac:dyDescent="0.25">
      <c r="C76" s="6"/>
      <c r="D76" s="18"/>
      <c r="E76" s="6"/>
      <c r="F76" s="18"/>
      <c r="G76" s="6"/>
      <c r="H76" s="18"/>
      <c r="I76" s="6"/>
      <c r="J76" s="18"/>
      <c r="K76" s="6"/>
      <c r="L76" s="18"/>
      <c r="M76" s="6"/>
      <c r="N76" s="18"/>
      <c r="O76" s="6"/>
      <c r="P76" s="18"/>
      <c r="Q76" s="6"/>
      <c r="R76" s="18"/>
      <c r="S76" s="6"/>
      <c r="T76" s="18"/>
      <c r="U76" s="6"/>
      <c r="V76" s="18"/>
      <c r="W76" s="6"/>
      <c r="X76" s="18"/>
      <c r="Y76" s="6"/>
      <c r="Z76" s="18"/>
      <c r="AA76" s="6"/>
      <c r="AB76" s="18"/>
      <c r="AC76" s="6"/>
      <c r="AD76" s="18"/>
      <c r="AE76" s="6"/>
      <c r="AF76" s="18"/>
      <c r="AG76" s="6"/>
      <c r="AH76" s="18"/>
      <c r="AJ76" s="11"/>
      <c r="AM76" s="149"/>
    </row>
    <row r="77" spans="2:39" ht="15.75" x14ac:dyDescent="0.25">
      <c r="B77" t="s">
        <v>115</v>
      </c>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J77" s="14"/>
      <c r="AM77" s="149"/>
    </row>
    <row r="78" spans="2:39" ht="15.75" x14ac:dyDescent="0.25">
      <c r="B78" s="3"/>
      <c r="C78" s="6"/>
      <c r="D78" s="19"/>
      <c r="E78" s="6"/>
      <c r="F78" s="19"/>
      <c r="G78" s="6"/>
      <c r="H78" s="19"/>
      <c r="I78" s="6"/>
      <c r="J78" s="19"/>
      <c r="K78" s="6"/>
      <c r="L78" s="19"/>
      <c r="M78" s="6"/>
      <c r="N78" s="19"/>
      <c r="O78" s="6"/>
      <c r="P78" s="19"/>
      <c r="Q78" s="6"/>
      <c r="R78" s="19"/>
      <c r="S78" s="6"/>
      <c r="T78" s="19"/>
      <c r="U78" s="6"/>
      <c r="V78" s="19"/>
      <c r="W78" s="6"/>
      <c r="X78" s="19"/>
      <c r="Y78" s="6"/>
      <c r="Z78" s="19"/>
      <c r="AA78" s="6"/>
      <c r="AB78" s="19"/>
      <c r="AC78" s="6"/>
      <c r="AD78" s="19"/>
      <c r="AE78" s="6"/>
      <c r="AF78" s="19"/>
      <c r="AG78" s="6"/>
      <c r="AH78" s="19"/>
      <c r="AJ78" s="14"/>
      <c r="AM78" s="149"/>
    </row>
    <row r="79" spans="2:39" ht="15.75" x14ac:dyDescent="0.25">
      <c r="B79" t="s">
        <v>15</v>
      </c>
      <c r="C79" s="6" t="s">
        <v>38</v>
      </c>
      <c r="D79" s="12" t="e">
        <f>SUMIFS('Base Period'!104:104,'Base Period'!$28:$28,'Budget by Task'!D$6)+SUMIFS('Option Period 1'!104:104,'Option Period 1'!$28:$28,'Budget by Task'!D$6)+SUMIFS(#REF!,#REF!,'Budget by Task'!D$6)+SUMIFS(#REF!,#REF!,'Budget by Task'!D$6)+SUMIFS(#REF!,#REF!,'Budget by Task'!D$6)+SUMIFS(#REF!,#REF!,'Budget by Task'!D$6)+SUMIFS(#REF!,#REF!,'Budget by Task'!D$6)+SUMIFS(#REF!,#REF!,'Budget by Task'!D$6)+SUMIFS(#REF!,#REF!,'Budget by Task'!D$6)+SUMIFS(#REF!,#REF!,'Budget by Task'!D$6)</f>
        <v>#REF!</v>
      </c>
      <c r="E79" s="6" t="s">
        <v>38</v>
      </c>
      <c r="F79" s="12" t="e">
        <f>SUMIFS('Base Period'!104:104,'Base Period'!$28:$28,'Budget by Task'!F$6)+SUMIFS('Option Period 1'!104:104,'Option Period 1'!$28:$28,'Budget by Task'!F$6)+SUMIFS(#REF!,#REF!,'Budget by Task'!F$6)+SUMIFS(#REF!,#REF!,'Budget by Task'!F$6)+SUMIFS(#REF!,#REF!,'Budget by Task'!F$6)+SUMIFS(#REF!,#REF!,'Budget by Task'!F$6)+SUMIFS(#REF!,#REF!,'Budget by Task'!F$6)+SUMIFS(#REF!,#REF!,'Budget by Task'!F$6)+SUMIFS(#REF!,#REF!,'Budget by Task'!F$6)+SUMIFS(#REF!,#REF!,'Budget by Task'!F$6)</f>
        <v>#REF!</v>
      </c>
      <c r="G79" s="6" t="s">
        <v>38</v>
      </c>
      <c r="H79" s="12" t="e">
        <f>SUMIFS('Base Period'!104:104,'Base Period'!$28:$28,'Budget by Task'!H$6)+SUMIFS('Option Period 1'!104:104,'Option Period 1'!$28:$28,'Budget by Task'!H$6)+SUMIFS(#REF!,#REF!,'Budget by Task'!H$6)+SUMIFS(#REF!,#REF!,'Budget by Task'!H$6)+SUMIFS(#REF!,#REF!,'Budget by Task'!H$6)+SUMIFS(#REF!,#REF!,'Budget by Task'!H$6)+SUMIFS(#REF!,#REF!,'Budget by Task'!H$6)+SUMIFS(#REF!,#REF!,'Budget by Task'!H$6)+SUMIFS(#REF!,#REF!,'Budget by Task'!H$6)+SUMIFS(#REF!,#REF!,'Budget by Task'!H$6)</f>
        <v>#REF!</v>
      </c>
      <c r="I79" s="6" t="s">
        <v>38</v>
      </c>
      <c r="J79" s="12" t="e">
        <f>SUMIFS('Base Period'!104:104,'Base Period'!$28:$28,'Budget by Task'!J$6)+SUMIFS('Option Period 1'!104:104,'Option Period 1'!$28:$28,'Budget by Task'!J$6)+SUMIFS(#REF!,#REF!,'Budget by Task'!J$6)+SUMIFS(#REF!,#REF!,'Budget by Task'!J$6)+SUMIFS(#REF!,#REF!,'Budget by Task'!J$6)+SUMIFS(#REF!,#REF!,'Budget by Task'!J$6)+SUMIFS(#REF!,#REF!,'Budget by Task'!J$6)+SUMIFS(#REF!,#REF!,'Budget by Task'!J$6)+SUMIFS(#REF!,#REF!,'Budget by Task'!J$6)+SUMIFS(#REF!,#REF!,'Budget by Task'!J$6)</f>
        <v>#REF!</v>
      </c>
      <c r="K79" s="6" t="s">
        <v>38</v>
      </c>
      <c r="L79" s="12" t="e">
        <f>SUMIFS('Base Period'!104:104,'Base Period'!$28:$28,'Budget by Task'!L$6)+SUMIFS('Option Period 1'!104:104,'Option Period 1'!$28:$28,'Budget by Task'!L$6)+SUMIFS(#REF!,#REF!,'Budget by Task'!L$6)+SUMIFS(#REF!,#REF!,'Budget by Task'!L$6)+SUMIFS(#REF!,#REF!,'Budget by Task'!L$6)+SUMIFS(#REF!,#REF!,'Budget by Task'!L$6)+SUMIFS(#REF!,#REF!,'Budget by Task'!L$6)+SUMIFS(#REF!,#REF!,'Budget by Task'!L$6)+SUMIFS(#REF!,#REF!,'Budget by Task'!L$6)+SUMIFS(#REF!,#REF!,'Budget by Task'!L$6)</f>
        <v>#REF!</v>
      </c>
      <c r="M79" s="6" t="s">
        <v>38</v>
      </c>
      <c r="N79" s="12" t="e">
        <f>SUMIFS('Base Period'!104:104,'Base Period'!$28:$28,'Budget by Task'!N$6)+SUMIFS('Option Period 1'!104:104,'Option Period 1'!$28:$28,'Budget by Task'!N$6)+SUMIFS(#REF!,#REF!,'Budget by Task'!N$6)+SUMIFS(#REF!,#REF!,'Budget by Task'!N$6)+SUMIFS(#REF!,#REF!,'Budget by Task'!N$6)+SUMIFS(#REF!,#REF!,'Budget by Task'!N$6)+SUMIFS(#REF!,#REF!,'Budget by Task'!N$6)+SUMIFS(#REF!,#REF!,'Budget by Task'!N$6)+SUMIFS(#REF!,#REF!,'Budget by Task'!N$6)+SUMIFS(#REF!,#REF!,'Budget by Task'!N$6)</f>
        <v>#REF!</v>
      </c>
      <c r="O79" s="6" t="s">
        <v>38</v>
      </c>
      <c r="P79" s="12" t="e">
        <f>SUMIFS('Base Period'!104:104,'Base Period'!$28:$28,'Budget by Task'!P$6)+SUMIFS('Option Period 1'!104:104,'Option Period 1'!$28:$28,'Budget by Task'!P$6)+SUMIFS(#REF!,#REF!,'Budget by Task'!P$6)+SUMIFS(#REF!,#REF!,'Budget by Task'!P$6)+SUMIFS(#REF!,#REF!,'Budget by Task'!P$6)+SUMIFS(#REF!,#REF!,'Budget by Task'!P$6)+SUMIFS(#REF!,#REF!,'Budget by Task'!P$6)+SUMIFS(#REF!,#REF!,'Budget by Task'!P$6)+SUMIFS(#REF!,#REF!,'Budget by Task'!P$6)+SUMIFS(#REF!,#REF!,'Budget by Task'!P$6)</f>
        <v>#REF!</v>
      </c>
      <c r="Q79" s="6" t="s">
        <v>38</v>
      </c>
      <c r="R79" s="12" t="e">
        <f>SUMIFS('Base Period'!104:104,'Base Period'!$28:$28,'Budget by Task'!R$6)+SUMIFS('Option Period 1'!104:104,'Option Period 1'!$28:$28,'Budget by Task'!R$6)+SUMIFS(#REF!,#REF!,'Budget by Task'!R$6)+SUMIFS(#REF!,#REF!,'Budget by Task'!R$6)+SUMIFS(#REF!,#REF!,'Budget by Task'!R$6)+SUMIFS(#REF!,#REF!,'Budget by Task'!R$6)+SUMIFS(#REF!,#REF!,'Budget by Task'!R$6)+SUMIFS(#REF!,#REF!,'Budget by Task'!R$6)+SUMIFS(#REF!,#REF!,'Budget by Task'!R$6)+SUMIFS(#REF!,#REF!,'Budget by Task'!R$6)</f>
        <v>#REF!</v>
      </c>
      <c r="S79" s="6" t="s">
        <v>38</v>
      </c>
      <c r="T79" s="12" t="e">
        <f>SUMIFS('Base Period'!104:104,'Base Period'!$28:$28,'Budget by Task'!T$6)+SUMIFS('Option Period 1'!104:104,'Option Period 1'!$28:$28,'Budget by Task'!T$6)+SUMIFS(#REF!,#REF!,'Budget by Task'!T$6)+SUMIFS(#REF!,#REF!,'Budget by Task'!T$6)+SUMIFS(#REF!,#REF!,'Budget by Task'!T$6)+SUMIFS(#REF!,#REF!,'Budget by Task'!T$6)+SUMIFS(#REF!,#REF!,'Budget by Task'!T$6)+SUMIFS(#REF!,#REF!,'Budget by Task'!T$6)+SUMIFS(#REF!,#REF!,'Budget by Task'!T$6)+SUMIFS(#REF!,#REF!,'Budget by Task'!T$6)</f>
        <v>#REF!</v>
      </c>
      <c r="U79" s="6" t="s">
        <v>38</v>
      </c>
      <c r="V79" s="12" t="e">
        <f>SUMIFS('Base Period'!104:104,'Base Period'!$28:$28,'Budget by Task'!V$6)+SUMIFS('Option Period 1'!104:104,'Option Period 1'!$28:$28,'Budget by Task'!V$6)+SUMIFS(#REF!,#REF!,'Budget by Task'!V$6)+SUMIFS(#REF!,#REF!,'Budget by Task'!V$6)+SUMIFS(#REF!,#REF!,'Budget by Task'!V$6)+SUMIFS(#REF!,#REF!,'Budget by Task'!V$6)+SUMIFS(#REF!,#REF!,'Budget by Task'!V$6)+SUMIFS(#REF!,#REF!,'Budget by Task'!V$6)+SUMIFS(#REF!,#REF!,'Budget by Task'!V$6)+SUMIFS(#REF!,#REF!,'Budget by Task'!V$6)</f>
        <v>#REF!</v>
      </c>
      <c r="W79" s="6" t="s">
        <v>38</v>
      </c>
      <c r="X79" s="12" t="e">
        <f>SUMIFS('Base Period'!104:104,'Base Period'!$28:$28,'Budget by Task'!X$6)+SUMIFS('Option Period 1'!104:104,'Option Period 1'!$28:$28,'Budget by Task'!X$6)+SUMIFS(#REF!,#REF!,'Budget by Task'!X$6)+SUMIFS(#REF!,#REF!,'Budget by Task'!X$6)+SUMIFS(#REF!,#REF!,'Budget by Task'!X$6)+SUMIFS(#REF!,#REF!,'Budget by Task'!X$6)+SUMIFS(#REF!,#REF!,'Budget by Task'!X$6)+SUMIFS(#REF!,#REF!,'Budget by Task'!X$6)+SUMIFS(#REF!,#REF!,'Budget by Task'!X$6)+SUMIFS(#REF!,#REF!,'Budget by Task'!X$6)</f>
        <v>#REF!</v>
      </c>
      <c r="Y79" s="6" t="s">
        <v>38</v>
      </c>
      <c r="Z79" s="12" t="e">
        <f>SUMIFS('Base Period'!104:104,'Base Period'!$28:$28,'Budget by Task'!Z$6)+SUMIFS('Option Period 1'!104:104,'Option Period 1'!$28:$28,'Budget by Task'!Z$6)+SUMIFS(#REF!,#REF!,'Budget by Task'!Z$6)+SUMIFS(#REF!,#REF!,'Budget by Task'!Z$6)+SUMIFS(#REF!,#REF!,'Budget by Task'!Z$6)+SUMIFS(#REF!,#REF!,'Budget by Task'!Z$6)+SUMIFS(#REF!,#REF!,'Budget by Task'!Z$6)+SUMIFS(#REF!,#REF!,'Budget by Task'!Z$6)+SUMIFS(#REF!,#REF!,'Budget by Task'!Z$6)+SUMIFS(#REF!,#REF!,'Budget by Task'!Z$6)</f>
        <v>#REF!</v>
      </c>
      <c r="AA79" s="6" t="s">
        <v>38</v>
      </c>
      <c r="AB79" s="12" t="e">
        <f>SUMIFS('Base Period'!104:104,'Base Period'!$28:$28,'Budget by Task'!AB$6)+SUMIFS('Option Period 1'!104:104,'Option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79" s="6" t="s">
        <v>38</v>
      </c>
      <c r="AD79" s="12" t="e">
        <f>SUMIFS('Base Period'!104:104,'Base Period'!$28:$28,'Budget by Task'!AD$6)+SUMIFS('Option Period 1'!104:104,'Option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79" s="6" t="s">
        <v>38</v>
      </c>
      <c r="AF79" s="12" t="e">
        <f>SUMIFS('Base Period'!104:104,'Base Period'!$28:$28,'Budget by Task'!AF$6)+SUMIFS('Option Period 1'!104:104,'Option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79" s="6" t="s">
        <v>38</v>
      </c>
      <c r="AH79" s="12" t="e">
        <f>SUMIFS('Base Period'!104:104,'Base Period'!$28:$28,'Budget by Task'!AH$6)+SUMIFS('Option Period 1'!104:104,'Option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79" s="11" t="e">
        <f>SUMIF($12:$12, "Dollar Value",79:79 )</f>
        <v>#REF!</v>
      </c>
      <c r="AM79" s="151" t="e">
        <f>ROUND(AJ79-'Base Period'!BN104-'Option Period 1'!BN104-#REF!-#REF!-#REF!-#REF!-#REF!-#REF!-#REF!-#REF!,0)</f>
        <v>#REF!</v>
      </c>
    </row>
    <row r="80" spans="2:39" ht="15.75" x14ac:dyDescent="0.25">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J80" s="24"/>
      <c r="AM80" s="149"/>
    </row>
    <row r="81" spans="2:39" ht="15.75" x14ac:dyDescent="0.25">
      <c r="B81" s="3"/>
      <c r="C81" s="6"/>
      <c r="D81" s="19"/>
      <c r="E81" s="6"/>
      <c r="F81" s="19"/>
      <c r="G81" s="6"/>
      <c r="H81" s="19"/>
      <c r="I81" s="6"/>
      <c r="J81" s="19"/>
      <c r="K81" s="6"/>
      <c r="L81" s="19"/>
      <c r="M81" s="6"/>
      <c r="N81" s="19"/>
      <c r="O81" s="6"/>
      <c r="P81" s="19"/>
      <c r="Q81" s="6"/>
      <c r="R81" s="19"/>
      <c r="S81" s="6"/>
      <c r="T81" s="19"/>
      <c r="U81" s="6"/>
      <c r="V81" s="19"/>
      <c r="W81" s="6"/>
      <c r="X81" s="19"/>
      <c r="Y81" s="6"/>
      <c r="Z81" s="19"/>
      <c r="AA81" s="6"/>
      <c r="AB81" s="19"/>
      <c r="AC81" s="6"/>
      <c r="AD81" s="19"/>
      <c r="AE81" s="6"/>
      <c r="AF81" s="19"/>
      <c r="AG81" s="6"/>
      <c r="AH81" s="19"/>
      <c r="AJ81" s="14"/>
      <c r="AM81" s="149"/>
    </row>
    <row r="82" spans="2:39" ht="15.75" x14ac:dyDescent="0.25">
      <c r="B82" t="s">
        <v>18</v>
      </c>
      <c r="C82" s="6" t="s">
        <v>38</v>
      </c>
      <c r="D82" s="12" t="e">
        <f>SUMIFS('Base Period'!114:114,'Base Period'!$28:$28,'Budget by Task'!D$6)+SUMIFS('Option Period 1'!114:114,'Option Period 1'!$28:$28,'Budget by Task'!D$6)+SUMIFS(#REF!,#REF!,'Budget by Task'!D$6)+SUMIFS(#REF!,#REF!,'Budget by Task'!D$6)+SUMIFS(#REF!,#REF!,'Budget by Task'!D$6)+SUMIFS(#REF!,#REF!,'Budget by Task'!D$6)+SUMIFS(#REF!,#REF!,'Budget by Task'!D$6)+SUMIFS(#REF!,#REF!,'Budget by Task'!D$6)+SUMIFS(#REF!,#REF!,'Budget by Task'!D$6)+SUMIFS(#REF!,#REF!,'Budget by Task'!D$6)</f>
        <v>#REF!</v>
      </c>
      <c r="E82" s="6" t="s">
        <v>38</v>
      </c>
      <c r="F82" s="12" t="e">
        <f>SUMIFS('Base Period'!114:114,'Base Period'!$28:$28,'Budget by Task'!F$6)+SUMIFS('Option Period 1'!114:114,'Option Period 1'!$28:$28,'Budget by Task'!F$6)+SUMIFS(#REF!,#REF!,'Budget by Task'!F$6)+SUMIFS(#REF!,#REF!,'Budget by Task'!F$6)+SUMIFS(#REF!,#REF!,'Budget by Task'!F$6)+SUMIFS(#REF!,#REF!,'Budget by Task'!F$6)+SUMIFS(#REF!,#REF!,'Budget by Task'!F$6)+SUMIFS(#REF!,#REF!,'Budget by Task'!F$6)+SUMIFS(#REF!,#REF!,'Budget by Task'!F$6)+SUMIFS(#REF!,#REF!,'Budget by Task'!F$6)</f>
        <v>#REF!</v>
      </c>
      <c r="G82" s="6" t="s">
        <v>38</v>
      </c>
      <c r="H82" s="12" t="e">
        <f>SUMIFS('Base Period'!114:114,'Base Period'!$28:$28,'Budget by Task'!H$6)+SUMIFS('Option Period 1'!114:114,'Option Period 1'!$28:$28,'Budget by Task'!H$6)+SUMIFS(#REF!,#REF!,'Budget by Task'!H$6)+SUMIFS(#REF!,#REF!,'Budget by Task'!H$6)+SUMIFS(#REF!,#REF!,'Budget by Task'!H$6)+SUMIFS(#REF!,#REF!,'Budget by Task'!H$6)+SUMIFS(#REF!,#REF!,'Budget by Task'!H$6)+SUMIFS(#REF!,#REF!,'Budget by Task'!H$6)+SUMIFS(#REF!,#REF!,'Budget by Task'!H$6)+SUMIFS(#REF!,#REF!,'Budget by Task'!H$6)</f>
        <v>#REF!</v>
      </c>
      <c r="I82" s="6" t="s">
        <v>38</v>
      </c>
      <c r="J82" s="12" t="e">
        <f>SUMIFS('Base Period'!114:114,'Base Period'!$28:$28,'Budget by Task'!J$6)+SUMIFS('Option Period 1'!114:114,'Option Period 1'!$28:$28,'Budget by Task'!J$6)+SUMIFS(#REF!,#REF!,'Budget by Task'!J$6)+SUMIFS(#REF!,#REF!,'Budget by Task'!J$6)+SUMIFS(#REF!,#REF!,'Budget by Task'!J$6)+SUMIFS(#REF!,#REF!,'Budget by Task'!J$6)+SUMIFS(#REF!,#REF!,'Budget by Task'!J$6)+SUMIFS(#REF!,#REF!,'Budget by Task'!J$6)+SUMIFS(#REF!,#REF!,'Budget by Task'!J$6)+SUMIFS(#REF!,#REF!,'Budget by Task'!J$6)</f>
        <v>#REF!</v>
      </c>
      <c r="K82" s="6" t="s">
        <v>38</v>
      </c>
      <c r="L82" s="12" t="e">
        <f>SUMIFS('Base Period'!114:114,'Base Period'!$28:$28,'Budget by Task'!L$6)+SUMIFS('Option Period 1'!114:114,'Option Period 1'!$28:$28,'Budget by Task'!L$6)+SUMIFS(#REF!,#REF!,'Budget by Task'!L$6)+SUMIFS(#REF!,#REF!,'Budget by Task'!L$6)+SUMIFS(#REF!,#REF!,'Budget by Task'!L$6)+SUMIFS(#REF!,#REF!,'Budget by Task'!L$6)+SUMIFS(#REF!,#REF!,'Budget by Task'!L$6)+SUMIFS(#REF!,#REF!,'Budget by Task'!L$6)+SUMIFS(#REF!,#REF!,'Budget by Task'!L$6)+SUMIFS(#REF!,#REF!,'Budget by Task'!L$6)</f>
        <v>#REF!</v>
      </c>
      <c r="M82" s="6" t="s">
        <v>38</v>
      </c>
      <c r="N82" s="12" t="e">
        <f>SUMIFS('Base Period'!114:114,'Base Period'!$28:$28,'Budget by Task'!N$6)+SUMIFS('Option Period 1'!114:114,'Option Period 1'!$28:$28,'Budget by Task'!N$6)+SUMIFS(#REF!,#REF!,'Budget by Task'!N$6)+SUMIFS(#REF!,#REF!,'Budget by Task'!N$6)+SUMIFS(#REF!,#REF!,'Budget by Task'!N$6)+SUMIFS(#REF!,#REF!,'Budget by Task'!N$6)+SUMIFS(#REF!,#REF!,'Budget by Task'!N$6)+SUMIFS(#REF!,#REF!,'Budget by Task'!N$6)+SUMIFS(#REF!,#REF!,'Budget by Task'!N$6)+SUMIFS(#REF!,#REF!,'Budget by Task'!N$6)</f>
        <v>#REF!</v>
      </c>
      <c r="O82" s="6" t="s">
        <v>38</v>
      </c>
      <c r="P82" s="12" t="e">
        <f>SUMIFS('Base Period'!114:114,'Base Period'!$28:$28,'Budget by Task'!P$6)+SUMIFS('Option Period 1'!114:114,'Option Period 1'!$28:$28,'Budget by Task'!P$6)+SUMIFS(#REF!,#REF!,'Budget by Task'!P$6)+SUMIFS(#REF!,#REF!,'Budget by Task'!P$6)+SUMIFS(#REF!,#REF!,'Budget by Task'!P$6)+SUMIFS(#REF!,#REF!,'Budget by Task'!P$6)+SUMIFS(#REF!,#REF!,'Budget by Task'!P$6)+SUMIFS(#REF!,#REF!,'Budget by Task'!P$6)+SUMIFS(#REF!,#REF!,'Budget by Task'!P$6)+SUMIFS(#REF!,#REF!,'Budget by Task'!P$6)</f>
        <v>#REF!</v>
      </c>
      <c r="Q82" s="6" t="s">
        <v>38</v>
      </c>
      <c r="R82" s="12" t="e">
        <f>SUMIFS('Base Period'!114:114,'Base Period'!$28:$28,'Budget by Task'!R$6)+SUMIFS('Option Period 1'!114:114,'Option Period 1'!$28:$28,'Budget by Task'!R$6)+SUMIFS(#REF!,#REF!,'Budget by Task'!R$6)+SUMIFS(#REF!,#REF!,'Budget by Task'!R$6)+SUMIFS(#REF!,#REF!,'Budget by Task'!R$6)+SUMIFS(#REF!,#REF!,'Budget by Task'!R$6)+SUMIFS(#REF!,#REF!,'Budget by Task'!R$6)+SUMIFS(#REF!,#REF!,'Budget by Task'!R$6)+SUMIFS(#REF!,#REF!,'Budget by Task'!R$6)+SUMIFS(#REF!,#REF!,'Budget by Task'!R$6)</f>
        <v>#REF!</v>
      </c>
      <c r="S82" s="6" t="s">
        <v>38</v>
      </c>
      <c r="T82" s="12" t="e">
        <f>SUMIFS('Base Period'!114:114,'Base Period'!$28:$28,'Budget by Task'!T$6)+SUMIFS('Option Period 1'!114:114,'Option Period 1'!$28:$28,'Budget by Task'!T$6)+SUMIFS(#REF!,#REF!,'Budget by Task'!T$6)+SUMIFS(#REF!,#REF!,'Budget by Task'!T$6)+SUMIFS(#REF!,#REF!,'Budget by Task'!T$6)+SUMIFS(#REF!,#REF!,'Budget by Task'!T$6)+SUMIFS(#REF!,#REF!,'Budget by Task'!T$6)+SUMIFS(#REF!,#REF!,'Budget by Task'!T$6)+SUMIFS(#REF!,#REF!,'Budget by Task'!T$6)+SUMIFS(#REF!,#REF!,'Budget by Task'!T$6)</f>
        <v>#REF!</v>
      </c>
      <c r="U82" s="6" t="s">
        <v>38</v>
      </c>
      <c r="V82" s="12" t="e">
        <f>SUMIFS('Base Period'!114:114,'Base Period'!$28:$28,'Budget by Task'!V$6)+SUMIFS('Option Period 1'!114:114,'Option Period 1'!$28:$28,'Budget by Task'!V$6)+SUMIFS(#REF!,#REF!,'Budget by Task'!V$6)+SUMIFS(#REF!,#REF!,'Budget by Task'!V$6)+SUMIFS(#REF!,#REF!,'Budget by Task'!V$6)+SUMIFS(#REF!,#REF!,'Budget by Task'!V$6)+SUMIFS(#REF!,#REF!,'Budget by Task'!V$6)+SUMIFS(#REF!,#REF!,'Budget by Task'!V$6)+SUMIFS(#REF!,#REF!,'Budget by Task'!V$6)+SUMIFS(#REF!,#REF!,'Budget by Task'!V$6)</f>
        <v>#REF!</v>
      </c>
      <c r="W82" s="6" t="s">
        <v>38</v>
      </c>
      <c r="X82" s="12" t="e">
        <f>SUMIFS('Base Period'!114:114,'Base Period'!$28:$28,'Budget by Task'!X$6)+SUMIFS('Option Period 1'!114:114,'Option Period 1'!$28:$28,'Budget by Task'!X$6)+SUMIFS(#REF!,#REF!,'Budget by Task'!X$6)+SUMIFS(#REF!,#REF!,'Budget by Task'!X$6)+SUMIFS(#REF!,#REF!,'Budget by Task'!X$6)+SUMIFS(#REF!,#REF!,'Budget by Task'!X$6)+SUMIFS(#REF!,#REF!,'Budget by Task'!X$6)+SUMIFS(#REF!,#REF!,'Budget by Task'!X$6)+SUMIFS(#REF!,#REF!,'Budget by Task'!X$6)+SUMIFS(#REF!,#REF!,'Budget by Task'!X$6)</f>
        <v>#REF!</v>
      </c>
      <c r="Y82" s="6" t="s">
        <v>38</v>
      </c>
      <c r="Z82" s="12" t="e">
        <f>SUMIFS('Base Period'!114:114,'Base Period'!$28:$28,'Budget by Task'!Z$6)+SUMIFS('Option Period 1'!114:114,'Option Period 1'!$28:$28,'Budget by Task'!Z$6)+SUMIFS(#REF!,#REF!,'Budget by Task'!Z$6)+SUMIFS(#REF!,#REF!,'Budget by Task'!Z$6)+SUMIFS(#REF!,#REF!,'Budget by Task'!Z$6)+SUMIFS(#REF!,#REF!,'Budget by Task'!Z$6)+SUMIFS(#REF!,#REF!,'Budget by Task'!Z$6)+SUMIFS(#REF!,#REF!,'Budget by Task'!Z$6)+SUMIFS(#REF!,#REF!,'Budget by Task'!Z$6)+SUMIFS(#REF!,#REF!,'Budget by Task'!Z$6)</f>
        <v>#REF!</v>
      </c>
      <c r="AA82" s="6" t="s">
        <v>38</v>
      </c>
      <c r="AB82" s="12" t="e">
        <f>SUMIFS('Base Period'!114:114,'Base Period'!$28:$28,'Budget by Task'!AB$6)+SUMIFS('Option Period 1'!114:114,'Option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82" s="6" t="s">
        <v>38</v>
      </c>
      <c r="AD82" s="12" t="e">
        <f>SUMIFS('Base Period'!114:114,'Base Period'!$28:$28,'Budget by Task'!AD$6)+SUMIFS('Option Period 1'!114:114,'Option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82" s="6" t="s">
        <v>38</v>
      </c>
      <c r="AF82" s="12" t="e">
        <f>SUMIFS('Base Period'!114:114,'Base Period'!$28:$28,'Budget by Task'!AF$6)+SUMIFS('Option Period 1'!114:114,'Option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82" s="6" t="s">
        <v>38</v>
      </c>
      <c r="AH82" s="12" t="e">
        <f>SUMIFS('Base Period'!114:114,'Base Period'!$28:$28,'Budget by Task'!AH$6)+SUMIFS('Option Period 1'!114:114,'Option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82" s="11" t="e">
        <f>SUMIF($12:$12, "Dollar Value",82:82 )</f>
        <v>#REF!</v>
      </c>
      <c r="AM82" s="151" t="e">
        <f>ROUND(AJ82-'Base Period'!BN114-'Option Period 1'!BN114-#REF!-#REF!-#REF!-#REF!-#REF!-#REF!-#REF!-#REF!,0)</f>
        <v>#REF!</v>
      </c>
    </row>
    <row r="83" spans="2:39" ht="15.75" x14ac:dyDescent="0.25">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J83" s="24"/>
      <c r="AM83" s="149"/>
    </row>
    <row r="84" spans="2:39" ht="15.75" x14ac:dyDescent="0.25">
      <c r="B84" s="3"/>
      <c r="C84" s="6"/>
      <c r="D84" s="19"/>
      <c r="E84" s="6"/>
      <c r="F84" s="19"/>
      <c r="G84" s="6"/>
      <c r="H84" s="19"/>
      <c r="I84" s="6"/>
      <c r="J84" s="19"/>
      <c r="K84" s="6"/>
      <c r="L84" s="19"/>
      <c r="M84" s="6"/>
      <c r="N84" s="19"/>
      <c r="O84" s="6"/>
      <c r="P84" s="19"/>
      <c r="Q84" s="6"/>
      <c r="R84" s="19"/>
      <c r="S84" s="6"/>
      <c r="T84" s="19"/>
      <c r="U84" s="6"/>
      <c r="V84" s="19"/>
      <c r="W84" s="6"/>
      <c r="X84" s="19"/>
      <c r="Y84" s="6"/>
      <c r="Z84" s="19"/>
      <c r="AA84" s="6"/>
      <c r="AB84" s="19"/>
      <c r="AC84" s="6"/>
      <c r="AD84" s="19"/>
      <c r="AE84" s="6"/>
      <c r="AF84" s="19"/>
      <c r="AG84" s="6"/>
      <c r="AH84" s="19"/>
      <c r="AJ84" s="14"/>
      <c r="AM84" s="149"/>
    </row>
    <row r="85" spans="2:39" ht="15.75" x14ac:dyDescent="0.25">
      <c r="B85" t="s">
        <v>85</v>
      </c>
      <c r="C85" s="6" t="s">
        <v>38</v>
      </c>
      <c r="D85" s="12" t="e">
        <f>SUMIFS('Base Period'!124:124,'Base Period'!$28:$28,'Budget by Task'!D$6)+SUMIFS('Option Period 1'!124:124,'Option Period 1'!$28:$28,'Budget by Task'!D$6)+SUMIFS(#REF!,#REF!,'Budget by Task'!D$6)+SUMIFS(#REF!,#REF!,'Budget by Task'!D$6)+SUMIFS(#REF!,#REF!,'Budget by Task'!D$6)+SUMIFS(#REF!,#REF!,'Budget by Task'!D$6)+SUMIFS(#REF!,#REF!,'Budget by Task'!D$6)+SUMIFS(#REF!,#REF!,'Budget by Task'!D$6)+SUMIFS(#REF!,#REF!,'Budget by Task'!D$6)+SUMIFS(#REF!,#REF!,'Budget by Task'!D$6)</f>
        <v>#REF!</v>
      </c>
      <c r="E85" s="6" t="s">
        <v>38</v>
      </c>
      <c r="F85" s="12" t="e">
        <f>SUMIFS('Base Period'!124:124,'Base Period'!$28:$28,'Budget by Task'!F$6)+SUMIFS('Option Period 1'!124:124,'Option Period 1'!$28:$28,'Budget by Task'!F$6)+SUMIFS(#REF!,#REF!,'Budget by Task'!F$6)+SUMIFS(#REF!,#REF!,'Budget by Task'!F$6)+SUMIFS(#REF!,#REF!,'Budget by Task'!F$6)+SUMIFS(#REF!,#REF!,'Budget by Task'!F$6)+SUMIFS(#REF!,#REF!,'Budget by Task'!F$6)+SUMIFS(#REF!,#REF!,'Budget by Task'!F$6)+SUMIFS(#REF!,#REF!,'Budget by Task'!F$6)+SUMIFS(#REF!,#REF!,'Budget by Task'!F$6)</f>
        <v>#REF!</v>
      </c>
      <c r="G85" s="6" t="s">
        <v>38</v>
      </c>
      <c r="H85" s="12" t="e">
        <f>SUMIFS('Base Period'!124:124,'Base Period'!$28:$28,'Budget by Task'!H$6)+SUMIFS('Option Period 1'!124:124,'Option Period 1'!$28:$28,'Budget by Task'!H$6)+SUMIFS(#REF!,#REF!,'Budget by Task'!H$6)+SUMIFS(#REF!,#REF!,'Budget by Task'!H$6)+SUMIFS(#REF!,#REF!,'Budget by Task'!H$6)+SUMIFS(#REF!,#REF!,'Budget by Task'!H$6)+SUMIFS(#REF!,#REF!,'Budget by Task'!H$6)+SUMIFS(#REF!,#REF!,'Budget by Task'!H$6)+SUMIFS(#REF!,#REF!,'Budget by Task'!H$6)+SUMIFS(#REF!,#REF!,'Budget by Task'!H$6)</f>
        <v>#REF!</v>
      </c>
      <c r="I85" s="6" t="s">
        <v>38</v>
      </c>
      <c r="J85" s="12" t="e">
        <f>SUMIFS('Base Period'!124:124,'Base Period'!$28:$28,'Budget by Task'!J$6)+SUMIFS('Option Period 1'!124:124,'Option Period 1'!$28:$28,'Budget by Task'!J$6)+SUMIFS(#REF!,#REF!,'Budget by Task'!J$6)+SUMIFS(#REF!,#REF!,'Budget by Task'!J$6)+SUMIFS(#REF!,#REF!,'Budget by Task'!J$6)+SUMIFS(#REF!,#REF!,'Budget by Task'!J$6)+SUMIFS(#REF!,#REF!,'Budget by Task'!J$6)+SUMIFS(#REF!,#REF!,'Budget by Task'!J$6)+SUMIFS(#REF!,#REF!,'Budget by Task'!J$6)+SUMIFS(#REF!,#REF!,'Budget by Task'!J$6)</f>
        <v>#REF!</v>
      </c>
      <c r="K85" s="6" t="s">
        <v>38</v>
      </c>
      <c r="L85" s="12" t="e">
        <f>SUMIFS('Base Period'!124:124,'Base Period'!$28:$28,'Budget by Task'!L$6)+SUMIFS('Option Period 1'!124:124,'Option Period 1'!$28:$28,'Budget by Task'!L$6)+SUMIFS(#REF!,#REF!,'Budget by Task'!L$6)+SUMIFS(#REF!,#REF!,'Budget by Task'!L$6)+SUMIFS(#REF!,#REF!,'Budget by Task'!L$6)+SUMIFS(#REF!,#REF!,'Budget by Task'!L$6)+SUMIFS(#REF!,#REF!,'Budget by Task'!L$6)+SUMIFS(#REF!,#REF!,'Budget by Task'!L$6)+SUMIFS(#REF!,#REF!,'Budget by Task'!L$6)+SUMIFS(#REF!,#REF!,'Budget by Task'!L$6)</f>
        <v>#REF!</v>
      </c>
      <c r="M85" s="6" t="s">
        <v>38</v>
      </c>
      <c r="N85" s="12" t="e">
        <f>SUMIFS('Base Period'!124:124,'Base Period'!$28:$28,'Budget by Task'!N$6)+SUMIFS('Option Period 1'!124:124,'Option Period 1'!$28:$28,'Budget by Task'!N$6)+SUMIFS(#REF!,#REF!,'Budget by Task'!N$6)+SUMIFS(#REF!,#REF!,'Budget by Task'!N$6)+SUMIFS(#REF!,#REF!,'Budget by Task'!N$6)+SUMIFS(#REF!,#REF!,'Budget by Task'!N$6)+SUMIFS(#REF!,#REF!,'Budget by Task'!N$6)+SUMIFS(#REF!,#REF!,'Budget by Task'!N$6)+SUMIFS(#REF!,#REF!,'Budget by Task'!N$6)+SUMIFS(#REF!,#REF!,'Budget by Task'!N$6)</f>
        <v>#REF!</v>
      </c>
      <c r="O85" s="6" t="s">
        <v>38</v>
      </c>
      <c r="P85" s="12" t="e">
        <f>SUMIFS('Base Period'!124:124,'Base Period'!$28:$28,'Budget by Task'!P$6)+SUMIFS('Option Period 1'!124:124,'Option Period 1'!$28:$28,'Budget by Task'!P$6)+SUMIFS(#REF!,#REF!,'Budget by Task'!P$6)+SUMIFS(#REF!,#REF!,'Budget by Task'!P$6)+SUMIFS(#REF!,#REF!,'Budget by Task'!P$6)+SUMIFS(#REF!,#REF!,'Budget by Task'!P$6)+SUMIFS(#REF!,#REF!,'Budget by Task'!P$6)+SUMIFS(#REF!,#REF!,'Budget by Task'!P$6)+SUMIFS(#REF!,#REF!,'Budget by Task'!P$6)+SUMIFS(#REF!,#REF!,'Budget by Task'!P$6)</f>
        <v>#REF!</v>
      </c>
      <c r="Q85" s="6" t="s">
        <v>38</v>
      </c>
      <c r="R85" s="12" t="e">
        <f>SUMIFS('Base Period'!124:124,'Base Period'!$28:$28,'Budget by Task'!R$6)+SUMIFS('Option Period 1'!124:124,'Option Period 1'!$28:$28,'Budget by Task'!R$6)+SUMIFS(#REF!,#REF!,'Budget by Task'!R$6)+SUMIFS(#REF!,#REF!,'Budget by Task'!R$6)+SUMIFS(#REF!,#REF!,'Budget by Task'!R$6)+SUMIFS(#REF!,#REF!,'Budget by Task'!R$6)+SUMIFS(#REF!,#REF!,'Budget by Task'!R$6)+SUMIFS(#REF!,#REF!,'Budget by Task'!R$6)+SUMIFS(#REF!,#REF!,'Budget by Task'!R$6)+SUMIFS(#REF!,#REF!,'Budget by Task'!R$6)</f>
        <v>#REF!</v>
      </c>
      <c r="S85" s="6" t="s">
        <v>38</v>
      </c>
      <c r="T85" s="12" t="e">
        <f>SUMIFS('Base Period'!124:124,'Base Period'!$28:$28,'Budget by Task'!T$6)+SUMIFS('Option Period 1'!124:124,'Option Period 1'!$28:$28,'Budget by Task'!T$6)+SUMIFS(#REF!,#REF!,'Budget by Task'!T$6)+SUMIFS(#REF!,#REF!,'Budget by Task'!T$6)+SUMIFS(#REF!,#REF!,'Budget by Task'!T$6)+SUMIFS(#REF!,#REF!,'Budget by Task'!T$6)+SUMIFS(#REF!,#REF!,'Budget by Task'!T$6)+SUMIFS(#REF!,#REF!,'Budget by Task'!T$6)+SUMIFS(#REF!,#REF!,'Budget by Task'!T$6)+SUMIFS(#REF!,#REF!,'Budget by Task'!T$6)</f>
        <v>#REF!</v>
      </c>
      <c r="U85" s="6" t="s">
        <v>38</v>
      </c>
      <c r="V85" s="12" t="e">
        <f>SUMIFS('Base Period'!124:124,'Base Period'!$28:$28,'Budget by Task'!V$6)+SUMIFS('Option Period 1'!124:124,'Option Period 1'!$28:$28,'Budget by Task'!V$6)+SUMIFS(#REF!,#REF!,'Budget by Task'!V$6)+SUMIFS(#REF!,#REF!,'Budget by Task'!V$6)+SUMIFS(#REF!,#REF!,'Budget by Task'!V$6)+SUMIFS(#REF!,#REF!,'Budget by Task'!V$6)+SUMIFS(#REF!,#REF!,'Budget by Task'!V$6)+SUMIFS(#REF!,#REF!,'Budget by Task'!V$6)+SUMIFS(#REF!,#REF!,'Budget by Task'!V$6)+SUMIFS(#REF!,#REF!,'Budget by Task'!V$6)</f>
        <v>#REF!</v>
      </c>
      <c r="W85" s="6" t="s">
        <v>38</v>
      </c>
      <c r="X85" s="12" t="e">
        <f>SUMIFS('Base Period'!124:124,'Base Period'!$28:$28,'Budget by Task'!X$6)+SUMIFS('Option Period 1'!124:124,'Option Period 1'!$28:$28,'Budget by Task'!X$6)+SUMIFS(#REF!,#REF!,'Budget by Task'!X$6)+SUMIFS(#REF!,#REF!,'Budget by Task'!X$6)+SUMIFS(#REF!,#REF!,'Budget by Task'!X$6)+SUMIFS(#REF!,#REF!,'Budget by Task'!X$6)+SUMIFS(#REF!,#REF!,'Budget by Task'!X$6)+SUMIFS(#REF!,#REF!,'Budget by Task'!X$6)+SUMIFS(#REF!,#REF!,'Budget by Task'!X$6)+SUMIFS(#REF!,#REF!,'Budget by Task'!X$6)</f>
        <v>#REF!</v>
      </c>
      <c r="Y85" s="6" t="s">
        <v>38</v>
      </c>
      <c r="Z85" s="12" t="e">
        <f>SUMIFS('Base Period'!124:124,'Base Period'!$28:$28,'Budget by Task'!Z$6)+SUMIFS('Option Period 1'!124:124,'Option Period 1'!$28:$28,'Budget by Task'!Z$6)+SUMIFS(#REF!,#REF!,'Budget by Task'!Z$6)+SUMIFS(#REF!,#REF!,'Budget by Task'!Z$6)+SUMIFS(#REF!,#REF!,'Budget by Task'!Z$6)+SUMIFS(#REF!,#REF!,'Budget by Task'!Z$6)+SUMIFS(#REF!,#REF!,'Budget by Task'!Z$6)+SUMIFS(#REF!,#REF!,'Budget by Task'!Z$6)+SUMIFS(#REF!,#REF!,'Budget by Task'!Z$6)+SUMIFS(#REF!,#REF!,'Budget by Task'!Z$6)</f>
        <v>#REF!</v>
      </c>
      <c r="AA85" s="6" t="s">
        <v>38</v>
      </c>
      <c r="AB85" s="12" t="e">
        <f>SUMIFS('Base Period'!124:124,'Base Period'!$28:$28,'Budget by Task'!AB$6)+SUMIFS('Option Period 1'!124:124,'Option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85" s="6" t="s">
        <v>38</v>
      </c>
      <c r="AD85" s="12" t="e">
        <f>SUMIFS('Base Period'!124:124,'Base Period'!$28:$28,'Budget by Task'!AD$6)+SUMIFS('Option Period 1'!124:124,'Option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85" s="6" t="s">
        <v>38</v>
      </c>
      <c r="AF85" s="12" t="e">
        <f>SUMIFS('Base Period'!124:124,'Base Period'!$28:$28,'Budget by Task'!AF$6)+SUMIFS('Option Period 1'!124:124,'Option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85" s="6" t="s">
        <v>38</v>
      </c>
      <c r="AH85" s="12" t="e">
        <f>SUMIFS('Base Period'!124:124,'Base Period'!$28:$28,'Budget by Task'!AH$6)+SUMIFS('Option Period 1'!124:124,'Option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85" s="11" t="e">
        <f>SUMIF($12:$12, "Dollar Value",85:85 )</f>
        <v>#REF!</v>
      </c>
      <c r="AM85" s="151" t="e">
        <f>ROUND(AJ85-'Base Period'!BN124-'Option Period 1'!BN124-#REF!-#REF!-#REF!-#REF!-#REF!-#REF!-#REF!-#REF!,0)</f>
        <v>#REF!</v>
      </c>
    </row>
    <row r="86" spans="2:39" ht="15.75" x14ac:dyDescent="0.25">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J86" s="24"/>
      <c r="AM86" s="149"/>
    </row>
    <row r="87" spans="2:39" ht="15.75" x14ac:dyDescent="0.25">
      <c r="B87" s="3"/>
      <c r="C87" s="6"/>
      <c r="D87" s="19"/>
      <c r="E87" s="6"/>
      <c r="F87" s="19"/>
      <c r="G87" s="6"/>
      <c r="H87" s="19"/>
      <c r="I87" s="6"/>
      <c r="J87" s="19"/>
      <c r="K87" s="6"/>
      <c r="L87" s="19"/>
      <c r="M87" s="6"/>
      <c r="N87" s="19"/>
      <c r="O87" s="6"/>
      <c r="P87" s="19"/>
      <c r="Q87" s="6"/>
      <c r="R87" s="19"/>
      <c r="S87" s="6"/>
      <c r="T87" s="19"/>
      <c r="U87" s="6"/>
      <c r="V87" s="19"/>
      <c r="W87" s="6"/>
      <c r="X87" s="19"/>
      <c r="Y87" s="6"/>
      <c r="Z87" s="19"/>
      <c r="AA87" s="6"/>
      <c r="AB87" s="19"/>
      <c r="AC87" s="6"/>
      <c r="AD87" s="19"/>
      <c r="AE87" s="6"/>
      <c r="AF87" s="19"/>
      <c r="AG87" s="6"/>
      <c r="AH87" s="19"/>
      <c r="AJ87" s="14"/>
      <c r="AM87" s="149"/>
    </row>
    <row r="88" spans="2:39" ht="15.75" x14ac:dyDescent="0.25">
      <c r="B88" t="s">
        <v>86</v>
      </c>
      <c r="C88" s="6" t="s">
        <v>38</v>
      </c>
      <c r="D88" s="12" t="e">
        <f>SUMIFS('Base Period'!134:134,'Base Period'!$28:$28,'Budget by Task'!D$6)+SUMIFS('Option Period 1'!134:134,'Option Period 1'!$28:$28,'Budget by Task'!D$6)+SUMIFS(#REF!,#REF!,'Budget by Task'!D$6)+SUMIFS(#REF!,#REF!,'Budget by Task'!D$6)+SUMIFS(#REF!,#REF!,'Budget by Task'!D$6)+SUMIFS(#REF!,#REF!,'Budget by Task'!D$6)+SUMIFS(#REF!,#REF!,'Budget by Task'!D$6)+SUMIFS(#REF!,#REF!,'Budget by Task'!D$6)+SUMIFS(#REF!,#REF!,'Budget by Task'!D$6)+SUMIFS(#REF!,#REF!,'Budget by Task'!D$6)</f>
        <v>#REF!</v>
      </c>
      <c r="E88" s="6" t="s">
        <v>38</v>
      </c>
      <c r="F88" s="12" t="e">
        <f>SUMIFS('Base Period'!134:134,'Base Period'!$28:$28,'Budget by Task'!F$6)+SUMIFS('Option Period 1'!134:134,'Option Period 1'!$28:$28,'Budget by Task'!F$6)+SUMIFS(#REF!,#REF!,'Budget by Task'!F$6)+SUMIFS(#REF!,#REF!,'Budget by Task'!F$6)+SUMIFS(#REF!,#REF!,'Budget by Task'!F$6)+SUMIFS(#REF!,#REF!,'Budget by Task'!F$6)+SUMIFS(#REF!,#REF!,'Budget by Task'!F$6)+SUMIFS(#REF!,#REF!,'Budget by Task'!F$6)+SUMIFS(#REF!,#REF!,'Budget by Task'!F$6)+SUMIFS(#REF!,#REF!,'Budget by Task'!F$6)</f>
        <v>#REF!</v>
      </c>
      <c r="G88" s="6" t="s">
        <v>38</v>
      </c>
      <c r="H88" s="12" t="e">
        <f>SUMIFS('Base Period'!134:134,'Base Period'!$28:$28,'Budget by Task'!H$6)+SUMIFS('Option Period 1'!134:134,'Option Period 1'!$28:$28,'Budget by Task'!H$6)+SUMIFS(#REF!,#REF!,'Budget by Task'!H$6)+SUMIFS(#REF!,#REF!,'Budget by Task'!H$6)+SUMIFS(#REF!,#REF!,'Budget by Task'!H$6)+SUMIFS(#REF!,#REF!,'Budget by Task'!H$6)+SUMIFS(#REF!,#REF!,'Budget by Task'!H$6)+SUMIFS(#REF!,#REF!,'Budget by Task'!H$6)+SUMIFS(#REF!,#REF!,'Budget by Task'!H$6)+SUMIFS(#REF!,#REF!,'Budget by Task'!H$6)</f>
        <v>#REF!</v>
      </c>
      <c r="I88" s="6" t="s">
        <v>38</v>
      </c>
      <c r="J88" s="12" t="e">
        <f>SUMIFS('Base Period'!134:134,'Base Period'!$28:$28,'Budget by Task'!J$6)+SUMIFS('Option Period 1'!134:134,'Option Period 1'!$28:$28,'Budget by Task'!J$6)+SUMIFS(#REF!,#REF!,'Budget by Task'!J$6)+SUMIFS(#REF!,#REF!,'Budget by Task'!J$6)+SUMIFS(#REF!,#REF!,'Budget by Task'!J$6)+SUMIFS(#REF!,#REF!,'Budget by Task'!J$6)+SUMIFS(#REF!,#REF!,'Budget by Task'!J$6)+SUMIFS(#REF!,#REF!,'Budget by Task'!J$6)+SUMIFS(#REF!,#REF!,'Budget by Task'!J$6)+SUMIFS(#REF!,#REF!,'Budget by Task'!J$6)</f>
        <v>#REF!</v>
      </c>
      <c r="K88" s="6" t="s">
        <v>38</v>
      </c>
      <c r="L88" s="12" t="e">
        <f>SUMIFS('Base Period'!134:134,'Base Period'!$28:$28,'Budget by Task'!L$6)+SUMIFS('Option Period 1'!134:134,'Option Period 1'!$28:$28,'Budget by Task'!L$6)+SUMIFS(#REF!,#REF!,'Budget by Task'!L$6)+SUMIFS(#REF!,#REF!,'Budget by Task'!L$6)+SUMIFS(#REF!,#REF!,'Budget by Task'!L$6)+SUMIFS(#REF!,#REF!,'Budget by Task'!L$6)+SUMIFS(#REF!,#REF!,'Budget by Task'!L$6)+SUMIFS(#REF!,#REF!,'Budget by Task'!L$6)+SUMIFS(#REF!,#REF!,'Budget by Task'!L$6)+SUMIFS(#REF!,#REF!,'Budget by Task'!L$6)</f>
        <v>#REF!</v>
      </c>
      <c r="M88" s="6" t="s">
        <v>38</v>
      </c>
      <c r="N88" s="12" t="e">
        <f>SUMIFS('Base Period'!134:134,'Base Period'!$28:$28,'Budget by Task'!N$6)+SUMIFS('Option Period 1'!134:134,'Option Period 1'!$28:$28,'Budget by Task'!N$6)+SUMIFS(#REF!,#REF!,'Budget by Task'!N$6)+SUMIFS(#REF!,#REF!,'Budget by Task'!N$6)+SUMIFS(#REF!,#REF!,'Budget by Task'!N$6)+SUMIFS(#REF!,#REF!,'Budget by Task'!N$6)+SUMIFS(#REF!,#REF!,'Budget by Task'!N$6)+SUMIFS(#REF!,#REF!,'Budget by Task'!N$6)+SUMIFS(#REF!,#REF!,'Budget by Task'!N$6)+SUMIFS(#REF!,#REF!,'Budget by Task'!N$6)</f>
        <v>#REF!</v>
      </c>
      <c r="O88" s="6" t="s">
        <v>38</v>
      </c>
      <c r="P88" s="12" t="e">
        <f>SUMIFS('Base Period'!134:134,'Base Period'!$28:$28,'Budget by Task'!P$6)+SUMIFS('Option Period 1'!134:134,'Option Period 1'!$28:$28,'Budget by Task'!P$6)+SUMIFS(#REF!,#REF!,'Budget by Task'!P$6)+SUMIFS(#REF!,#REF!,'Budget by Task'!P$6)+SUMIFS(#REF!,#REF!,'Budget by Task'!P$6)+SUMIFS(#REF!,#REF!,'Budget by Task'!P$6)+SUMIFS(#REF!,#REF!,'Budget by Task'!P$6)+SUMIFS(#REF!,#REF!,'Budget by Task'!P$6)+SUMIFS(#REF!,#REF!,'Budget by Task'!P$6)+SUMIFS(#REF!,#REF!,'Budget by Task'!P$6)</f>
        <v>#REF!</v>
      </c>
      <c r="Q88" s="6" t="s">
        <v>38</v>
      </c>
      <c r="R88" s="12" t="e">
        <f>SUMIFS('Base Period'!134:134,'Base Period'!$28:$28,'Budget by Task'!R$6)+SUMIFS('Option Period 1'!134:134,'Option Period 1'!$28:$28,'Budget by Task'!R$6)+SUMIFS(#REF!,#REF!,'Budget by Task'!R$6)+SUMIFS(#REF!,#REF!,'Budget by Task'!R$6)+SUMIFS(#REF!,#REF!,'Budget by Task'!R$6)+SUMIFS(#REF!,#REF!,'Budget by Task'!R$6)+SUMIFS(#REF!,#REF!,'Budget by Task'!R$6)+SUMIFS(#REF!,#REF!,'Budget by Task'!R$6)+SUMIFS(#REF!,#REF!,'Budget by Task'!R$6)+SUMIFS(#REF!,#REF!,'Budget by Task'!R$6)</f>
        <v>#REF!</v>
      </c>
      <c r="S88" s="6" t="s">
        <v>38</v>
      </c>
      <c r="T88" s="12" t="e">
        <f>SUMIFS('Base Period'!134:134,'Base Period'!$28:$28,'Budget by Task'!T$6)+SUMIFS('Option Period 1'!134:134,'Option Period 1'!$28:$28,'Budget by Task'!T$6)+SUMIFS(#REF!,#REF!,'Budget by Task'!T$6)+SUMIFS(#REF!,#REF!,'Budget by Task'!T$6)+SUMIFS(#REF!,#REF!,'Budget by Task'!T$6)+SUMIFS(#REF!,#REF!,'Budget by Task'!T$6)+SUMIFS(#REF!,#REF!,'Budget by Task'!T$6)+SUMIFS(#REF!,#REF!,'Budget by Task'!T$6)+SUMIFS(#REF!,#REF!,'Budget by Task'!T$6)+SUMIFS(#REF!,#REF!,'Budget by Task'!T$6)</f>
        <v>#REF!</v>
      </c>
      <c r="U88" s="6" t="s">
        <v>38</v>
      </c>
      <c r="V88" s="12" t="e">
        <f>SUMIFS('Base Period'!134:134,'Base Period'!$28:$28,'Budget by Task'!V$6)+SUMIFS('Option Period 1'!134:134,'Option Period 1'!$28:$28,'Budget by Task'!V$6)+SUMIFS(#REF!,#REF!,'Budget by Task'!V$6)+SUMIFS(#REF!,#REF!,'Budget by Task'!V$6)+SUMIFS(#REF!,#REF!,'Budget by Task'!V$6)+SUMIFS(#REF!,#REF!,'Budget by Task'!V$6)+SUMIFS(#REF!,#REF!,'Budget by Task'!V$6)+SUMIFS(#REF!,#REF!,'Budget by Task'!V$6)+SUMIFS(#REF!,#REF!,'Budget by Task'!V$6)+SUMIFS(#REF!,#REF!,'Budget by Task'!V$6)</f>
        <v>#REF!</v>
      </c>
      <c r="W88" s="6" t="s">
        <v>38</v>
      </c>
      <c r="X88" s="12" t="e">
        <f>SUMIFS('Base Period'!134:134,'Base Period'!$28:$28,'Budget by Task'!X$6)+SUMIFS('Option Period 1'!134:134,'Option Period 1'!$28:$28,'Budget by Task'!X$6)+SUMIFS(#REF!,#REF!,'Budget by Task'!X$6)+SUMIFS(#REF!,#REF!,'Budget by Task'!X$6)+SUMIFS(#REF!,#REF!,'Budget by Task'!X$6)+SUMIFS(#REF!,#REF!,'Budget by Task'!X$6)+SUMIFS(#REF!,#REF!,'Budget by Task'!X$6)+SUMIFS(#REF!,#REF!,'Budget by Task'!X$6)+SUMIFS(#REF!,#REF!,'Budget by Task'!X$6)+SUMIFS(#REF!,#REF!,'Budget by Task'!X$6)</f>
        <v>#REF!</v>
      </c>
      <c r="Y88" s="6" t="s">
        <v>38</v>
      </c>
      <c r="Z88" s="12" t="e">
        <f>SUMIFS('Base Period'!134:134,'Base Period'!$28:$28,'Budget by Task'!Z$6)+SUMIFS('Option Period 1'!134:134,'Option Period 1'!$28:$28,'Budget by Task'!Z$6)+SUMIFS(#REF!,#REF!,'Budget by Task'!Z$6)+SUMIFS(#REF!,#REF!,'Budget by Task'!Z$6)+SUMIFS(#REF!,#REF!,'Budget by Task'!Z$6)+SUMIFS(#REF!,#REF!,'Budget by Task'!Z$6)+SUMIFS(#REF!,#REF!,'Budget by Task'!Z$6)+SUMIFS(#REF!,#REF!,'Budget by Task'!Z$6)+SUMIFS(#REF!,#REF!,'Budget by Task'!Z$6)+SUMIFS(#REF!,#REF!,'Budget by Task'!Z$6)</f>
        <v>#REF!</v>
      </c>
      <c r="AA88" s="6" t="s">
        <v>38</v>
      </c>
      <c r="AB88" s="12" t="e">
        <f>SUMIFS('Base Period'!134:134,'Base Period'!$28:$28,'Budget by Task'!AB$6)+SUMIFS('Option Period 1'!134:134,'Option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88" s="6" t="s">
        <v>38</v>
      </c>
      <c r="AD88" s="12" t="e">
        <f>SUMIFS('Base Period'!134:134,'Base Period'!$28:$28,'Budget by Task'!AD$6)+SUMIFS('Option Period 1'!134:134,'Option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88" s="6" t="s">
        <v>38</v>
      </c>
      <c r="AF88" s="12" t="e">
        <f>SUMIFS('Base Period'!134:134,'Base Period'!$28:$28,'Budget by Task'!AF$6)+SUMIFS('Option Period 1'!134:134,'Option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88" s="6" t="s">
        <v>38</v>
      </c>
      <c r="AH88" s="12" t="e">
        <f>SUMIFS('Base Period'!134:134,'Base Period'!$28:$28,'Budget by Task'!AH$6)+SUMIFS('Option Period 1'!134:134,'Option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88" s="11" t="e">
        <f>SUMIF($12:$12, "Dollar Value",88:88 )</f>
        <v>#REF!</v>
      </c>
      <c r="AM88" s="151" t="e">
        <f>ROUND(AJ88-'Base Period'!BN134-'Option Period 1'!BN134-#REF!-#REF!-#REF!-#REF!-#REF!-#REF!-#REF!-#REF!,0)</f>
        <v>#REF!</v>
      </c>
    </row>
    <row r="89" spans="2:39" ht="15.75" x14ac:dyDescent="0.25">
      <c r="C89" s="6"/>
      <c r="D89" s="12"/>
      <c r="E89" s="6"/>
      <c r="F89" s="12"/>
      <c r="G89" s="6"/>
      <c r="H89" s="12"/>
      <c r="I89" s="6"/>
      <c r="J89" s="12"/>
      <c r="K89" s="6"/>
      <c r="L89" s="12"/>
      <c r="M89" s="6"/>
      <c r="N89" s="12"/>
      <c r="O89" s="6"/>
      <c r="P89" s="12"/>
      <c r="Q89" s="6"/>
      <c r="R89" s="12"/>
      <c r="S89" s="6"/>
      <c r="T89" s="12"/>
      <c r="U89" s="6"/>
      <c r="V89" s="12"/>
      <c r="W89" s="6"/>
      <c r="X89" s="12"/>
      <c r="Y89" s="6"/>
      <c r="Z89" s="12"/>
      <c r="AA89" s="6"/>
      <c r="AB89" s="12"/>
      <c r="AC89" s="6"/>
      <c r="AD89" s="12"/>
      <c r="AE89" s="6"/>
      <c r="AF89" s="12"/>
      <c r="AG89" s="6"/>
      <c r="AH89" s="12"/>
      <c r="AJ89" s="11"/>
      <c r="AM89" s="149"/>
    </row>
    <row r="90" spans="2:39" ht="15.75" x14ac:dyDescent="0.25">
      <c r="B90" s="3"/>
      <c r="C90" s="6"/>
      <c r="D90" s="19"/>
      <c r="E90" s="6"/>
      <c r="F90" s="19"/>
      <c r="G90" s="6"/>
      <c r="H90" s="19"/>
      <c r="I90" s="6"/>
      <c r="J90" s="19"/>
      <c r="K90" s="6"/>
      <c r="L90" s="19"/>
      <c r="M90" s="6"/>
      <c r="N90" s="19"/>
      <c r="O90" s="6"/>
      <c r="P90" s="19"/>
      <c r="Q90" s="6"/>
      <c r="R90" s="19"/>
      <c r="S90" s="6"/>
      <c r="T90" s="19"/>
      <c r="U90" s="6"/>
      <c r="V90" s="19"/>
      <c r="W90" s="6"/>
      <c r="X90" s="19"/>
      <c r="Y90" s="6"/>
      <c r="Z90" s="19"/>
      <c r="AA90" s="6"/>
      <c r="AB90" s="19"/>
      <c r="AC90" s="6"/>
      <c r="AD90" s="19"/>
      <c r="AE90" s="6"/>
      <c r="AF90" s="19"/>
      <c r="AG90" s="6"/>
      <c r="AH90" s="19"/>
      <c r="AJ90" s="14"/>
      <c r="AM90" s="149"/>
    </row>
    <row r="91" spans="2:39" ht="15.75" x14ac:dyDescent="0.25">
      <c r="B91" t="s">
        <v>87</v>
      </c>
      <c r="C91" s="6" t="s">
        <v>38</v>
      </c>
      <c r="D91" s="12" t="e">
        <f>SUMIFS('Base Period'!144:144,'Base Period'!$28:$28,'Budget by Task'!D$6)+SUMIFS('Option Period 1'!144:144,'Option Period 1'!$28:$28,'Budget by Task'!D$6)+SUMIFS(#REF!,#REF!,'Budget by Task'!D$6)+SUMIFS(#REF!,#REF!,'Budget by Task'!D$6)+SUMIFS(#REF!,#REF!,'Budget by Task'!D$6)+SUMIFS(#REF!,#REF!,'Budget by Task'!D$6)+SUMIFS(#REF!,#REF!,'Budget by Task'!D$6)+SUMIFS(#REF!,#REF!,'Budget by Task'!D$6)+SUMIFS(#REF!,#REF!,'Budget by Task'!D$6)+SUMIFS(#REF!,#REF!,'Budget by Task'!D$6)</f>
        <v>#REF!</v>
      </c>
      <c r="E91" s="6" t="s">
        <v>38</v>
      </c>
      <c r="F91" s="12" t="e">
        <f>SUMIFS('Base Period'!144:144,'Base Period'!$28:$28,'Budget by Task'!F$6)+SUMIFS('Option Period 1'!144:144,'Option Period 1'!$28:$28,'Budget by Task'!F$6)+SUMIFS(#REF!,#REF!,'Budget by Task'!F$6)+SUMIFS(#REF!,#REF!,'Budget by Task'!F$6)+SUMIFS(#REF!,#REF!,'Budget by Task'!F$6)+SUMIFS(#REF!,#REF!,'Budget by Task'!F$6)+SUMIFS(#REF!,#REF!,'Budget by Task'!F$6)+SUMIFS(#REF!,#REF!,'Budget by Task'!F$6)+SUMIFS(#REF!,#REF!,'Budget by Task'!F$6)+SUMIFS(#REF!,#REF!,'Budget by Task'!F$6)</f>
        <v>#REF!</v>
      </c>
      <c r="G91" s="6" t="s">
        <v>38</v>
      </c>
      <c r="H91" s="12" t="e">
        <f>SUMIFS('Base Period'!144:144,'Base Period'!$28:$28,'Budget by Task'!H$6)+SUMIFS('Option Period 1'!144:144,'Option Period 1'!$28:$28,'Budget by Task'!H$6)+SUMIFS(#REF!,#REF!,'Budget by Task'!H$6)+SUMIFS(#REF!,#REF!,'Budget by Task'!H$6)+SUMIFS(#REF!,#REF!,'Budget by Task'!H$6)+SUMIFS(#REF!,#REF!,'Budget by Task'!H$6)+SUMIFS(#REF!,#REF!,'Budget by Task'!H$6)+SUMIFS(#REF!,#REF!,'Budget by Task'!H$6)+SUMIFS(#REF!,#REF!,'Budget by Task'!H$6)+SUMIFS(#REF!,#REF!,'Budget by Task'!H$6)</f>
        <v>#REF!</v>
      </c>
      <c r="I91" s="6" t="s">
        <v>38</v>
      </c>
      <c r="J91" s="12" t="e">
        <f>SUMIFS('Base Period'!144:144,'Base Period'!$28:$28,'Budget by Task'!J$6)+SUMIFS('Option Period 1'!144:144,'Option Period 1'!$28:$28,'Budget by Task'!J$6)+SUMIFS(#REF!,#REF!,'Budget by Task'!J$6)+SUMIFS(#REF!,#REF!,'Budget by Task'!J$6)+SUMIFS(#REF!,#REF!,'Budget by Task'!J$6)+SUMIFS(#REF!,#REF!,'Budget by Task'!J$6)+SUMIFS(#REF!,#REF!,'Budget by Task'!J$6)+SUMIFS(#REF!,#REF!,'Budget by Task'!J$6)+SUMIFS(#REF!,#REF!,'Budget by Task'!J$6)+SUMIFS(#REF!,#REF!,'Budget by Task'!J$6)</f>
        <v>#REF!</v>
      </c>
      <c r="K91" s="6" t="s">
        <v>38</v>
      </c>
      <c r="L91" s="12" t="e">
        <f>SUMIFS('Base Period'!144:144,'Base Period'!$28:$28,'Budget by Task'!L$6)+SUMIFS('Option Period 1'!144:144,'Option Period 1'!$28:$28,'Budget by Task'!L$6)+SUMIFS(#REF!,#REF!,'Budget by Task'!L$6)+SUMIFS(#REF!,#REF!,'Budget by Task'!L$6)+SUMIFS(#REF!,#REF!,'Budget by Task'!L$6)+SUMIFS(#REF!,#REF!,'Budget by Task'!L$6)+SUMIFS(#REF!,#REF!,'Budget by Task'!L$6)+SUMIFS(#REF!,#REF!,'Budget by Task'!L$6)+SUMIFS(#REF!,#REF!,'Budget by Task'!L$6)+SUMIFS(#REF!,#REF!,'Budget by Task'!L$6)</f>
        <v>#REF!</v>
      </c>
      <c r="M91" s="6" t="s">
        <v>38</v>
      </c>
      <c r="N91" s="12" t="e">
        <f>SUMIFS('Base Period'!144:144,'Base Period'!$28:$28,'Budget by Task'!N$6)+SUMIFS('Option Period 1'!144:144,'Option Period 1'!$28:$28,'Budget by Task'!N$6)+SUMIFS(#REF!,#REF!,'Budget by Task'!N$6)+SUMIFS(#REF!,#REF!,'Budget by Task'!N$6)+SUMIFS(#REF!,#REF!,'Budget by Task'!N$6)+SUMIFS(#REF!,#REF!,'Budget by Task'!N$6)+SUMIFS(#REF!,#REF!,'Budget by Task'!N$6)+SUMIFS(#REF!,#REF!,'Budget by Task'!N$6)+SUMIFS(#REF!,#REF!,'Budget by Task'!N$6)+SUMIFS(#REF!,#REF!,'Budget by Task'!N$6)</f>
        <v>#REF!</v>
      </c>
      <c r="O91" s="6" t="s">
        <v>38</v>
      </c>
      <c r="P91" s="12" t="e">
        <f>SUMIFS('Base Period'!144:144,'Base Period'!$28:$28,'Budget by Task'!P$6)+SUMIFS('Option Period 1'!144:144,'Option Period 1'!$28:$28,'Budget by Task'!P$6)+SUMIFS(#REF!,#REF!,'Budget by Task'!P$6)+SUMIFS(#REF!,#REF!,'Budget by Task'!P$6)+SUMIFS(#REF!,#REF!,'Budget by Task'!P$6)+SUMIFS(#REF!,#REF!,'Budget by Task'!P$6)+SUMIFS(#REF!,#REF!,'Budget by Task'!P$6)+SUMIFS(#REF!,#REF!,'Budget by Task'!P$6)+SUMIFS(#REF!,#REF!,'Budget by Task'!P$6)+SUMIFS(#REF!,#REF!,'Budget by Task'!P$6)</f>
        <v>#REF!</v>
      </c>
      <c r="Q91" s="6" t="s">
        <v>38</v>
      </c>
      <c r="R91" s="12" t="e">
        <f>SUMIFS('Base Period'!144:144,'Base Period'!$28:$28,'Budget by Task'!R$6)+SUMIFS('Option Period 1'!144:144,'Option Period 1'!$28:$28,'Budget by Task'!R$6)+SUMIFS(#REF!,#REF!,'Budget by Task'!R$6)+SUMIFS(#REF!,#REF!,'Budget by Task'!R$6)+SUMIFS(#REF!,#REF!,'Budget by Task'!R$6)+SUMIFS(#REF!,#REF!,'Budget by Task'!R$6)+SUMIFS(#REF!,#REF!,'Budget by Task'!R$6)+SUMIFS(#REF!,#REF!,'Budget by Task'!R$6)+SUMIFS(#REF!,#REF!,'Budget by Task'!R$6)+SUMIFS(#REF!,#REF!,'Budget by Task'!R$6)</f>
        <v>#REF!</v>
      </c>
      <c r="S91" s="6" t="s">
        <v>38</v>
      </c>
      <c r="T91" s="12" t="e">
        <f>SUMIFS('Base Period'!144:144,'Base Period'!$28:$28,'Budget by Task'!T$6)+SUMIFS('Option Period 1'!144:144,'Option Period 1'!$28:$28,'Budget by Task'!T$6)+SUMIFS(#REF!,#REF!,'Budget by Task'!T$6)+SUMIFS(#REF!,#REF!,'Budget by Task'!T$6)+SUMIFS(#REF!,#REF!,'Budget by Task'!T$6)+SUMIFS(#REF!,#REF!,'Budget by Task'!T$6)+SUMIFS(#REF!,#REF!,'Budget by Task'!T$6)+SUMIFS(#REF!,#REF!,'Budget by Task'!T$6)+SUMIFS(#REF!,#REF!,'Budget by Task'!T$6)+SUMIFS(#REF!,#REF!,'Budget by Task'!T$6)</f>
        <v>#REF!</v>
      </c>
      <c r="U91" s="6" t="s">
        <v>38</v>
      </c>
      <c r="V91" s="12" t="e">
        <f>SUMIFS('Base Period'!144:144,'Base Period'!$28:$28,'Budget by Task'!V$6)+SUMIFS('Option Period 1'!144:144,'Option Period 1'!$28:$28,'Budget by Task'!V$6)+SUMIFS(#REF!,#REF!,'Budget by Task'!V$6)+SUMIFS(#REF!,#REF!,'Budget by Task'!V$6)+SUMIFS(#REF!,#REF!,'Budget by Task'!V$6)+SUMIFS(#REF!,#REF!,'Budget by Task'!V$6)+SUMIFS(#REF!,#REF!,'Budget by Task'!V$6)+SUMIFS(#REF!,#REF!,'Budget by Task'!V$6)+SUMIFS(#REF!,#REF!,'Budget by Task'!V$6)+SUMIFS(#REF!,#REF!,'Budget by Task'!V$6)</f>
        <v>#REF!</v>
      </c>
      <c r="W91" s="6" t="s">
        <v>38</v>
      </c>
      <c r="X91" s="12" t="e">
        <f>SUMIFS('Base Period'!144:144,'Base Period'!$28:$28,'Budget by Task'!X$6)+SUMIFS('Option Period 1'!144:144,'Option Period 1'!$28:$28,'Budget by Task'!X$6)+SUMIFS(#REF!,#REF!,'Budget by Task'!X$6)+SUMIFS(#REF!,#REF!,'Budget by Task'!X$6)+SUMIFS(#REF!,#REF!,'Budget by Task'!X$6)+SUMIFS(#REF!,#REF!,'Budget by Task'!X$6)+SUMIFS(#REF!,#REF!,'Budget by Task'!X$6)+SUMIFS(#REF!,#REF!,'Budget by Task'!X$6)+SUMIFS(#REF!,#REF!,'Budget by Task'!X$6)+SUMIFS(#REF!,#REF!,'Budget by Task'!X$6)</f>
        <v>#REF!</v>
      </c>
      <c r="Y91" s="6" t="s">
        <v>38</v>
      </c>
      <c r="Z91" s="12" t="e">
        <f>SUMIFS('Base Period'!144:144,'Base Period'!$28:$28,'Budget by Task'!Z$6)+SUMIFS('Option Period 1'!144:144,'Option Period 1'!$28:$28,'Budget by Task'!Z$6)+SUMIFS(#REF!,#REF!,'Budget by Task'!Z$6)+SUMIFS(#REF!,#REF!,'Budget by Task'!Z$6)+SUMIFS(#REF!,#REF!,'Budget by Task'!Z$6)+SUMIFS(#REF!,#REF!,'Budget by Task'!Z$6)+SUMIFS(#REF!,#REF!,'Budget by Task'!Z$6)+SUMIFS(#REF!,#REF!,'Budget by Task'!Z$6)+SUMIFS(#REF!,#REF!,'Budget by Task'!Z$6)+SUMIFS(#REF!,#REF!,'Budget by Task'!Z$6)</f>
        <v>#REF!</v>
      </c>
      <c r="AA91" s="6" t="s">
        <v>38</v>
      </c>
      <c r="AB91" s="12" t="e">
        <f>SUMIFS('Base Period'!144:144,'Base Period'!$28:$28,'Budget by Task'!AB$6)+SUMIFS('Option Period 1'!144:144,'Option Period 1'!$28:$28,'Budget by Task'!AB$6)+SUMIFS(#REF!,#REF!,'Budget by Task'!AB$6)+SUMIFS(#REF!,#REF!,'Budget by Task'!AB$6)+SUMIFS(#REF!,#REF!,'Budget by Task'!AB$6)+SUMIFS(#REF!,#REF!,'Budget by Task'!AB$6)+SUMIFS(#REF!,#REF!,'Budget by Task'!AB$6)+SUMIFS(#REF!,#REF!,'Budget by Task'!AB$6)+SUMIFS(#REF!,#REF!,'Budget by Task'!AB$6)+SUMIFS(#REF!,#REF!,'Budget by Task'!AB$6)</f>
        <v>#REF!</v>
      </c>
      <c r="AC91" s="6" t="s">
        <v>38</v>
      </c>
      <c r="AD91" s="12" t="e">
        <f>SUMIFS('Base Period'!144:144,'Base Period'!$28:$28,'Budget by Task'!AD$6)+SUMIFS('Option Period 1'!144:144,'Option Period 1'!$28:$28,'Budget by Task'!AD$6)+SUMIFS(#REF!,#REF!,'Budget by Task'!AD$6)+SUMIFS(#REF!,#REF!,'Budget by Task'!AD$6)+SUMIFS(#REF!,#REF!,'Budget by Task'!AD$6)+SUMIFS(#REF!,#REF!,'Budget by Task'!AD$6)+SUMIFS(#REF!,#REF!,'Budget by Task'!AD$6)+SUMIFS(#REF!,#REF!,'Budget by Task'!AD$6)+SUMIFS(#REF!,#REF!,'Budget by Task'!AD$6)+SUMIFS(#REF!,#REF!,'Budget by Task'!AD$6)</f>
        <v>#REF!</v>
      </c>
      <c r="AE91" s="6" t="s">
        <v>38</v>
      </c>
      <c r="AF91" s="12" t="e">
        <f>SUMIFS('Base Period'!144:144,'Base Period'!$28:$28,'Budget by Task'!AF$6)+SUMIFS('Option Period 1'!144:144,'Option Period 1'!$28:$28,'Budget by Task'!AF$6)+SUMIFS(#REF!,#REF!,'Budget by Task'!AF$6)+SUMIFS(#REF!,#REF!,'Budget by Task'!AF$6)+SUMIFS(#REF!,#REF!,'Budget by Task'!AF$6)+SUMIFS(#REF!,#REF!,'Budget by Task'!AF$6)+SUMIFS(#REF!,#REF!,'Budget by Task'!AF$6)+SUMIFS(#REF!,#REF!,'Budget by Task'!AF$6)+SUMIFS(#REF!,#REF!,'Budget by Task'!AF$6)+SUMIFS(#REF!,#REF!,'Budget by Task'!AF$6)</f>
        <v>#REF!</v>
      </c>
      <c r="AG91" s="6" t="s">
        <v>38</v>
      </c>
      <c r="AH91" s="12" t="e">
        <f>SUMIFS('Base Period'!144:144,'Base Period'!$28:$28,'Budget by Task'!AH$6)+SUMIFS('Option Period 1'!144:144,'Option Period 1'!$28:$28,'Budget by Task'!AH$6)+SUMIFS(#REF!,#REF!,'Budget by Task'!AH$6)+SUMIFS(#REF!,#REF!,'Budget by Task'!AH$6)+SUMIFS(#REF!,#REF!,'Budget by Task'!AH$6)+SUMIFS(#REF!,#REF!,'Budget by Task'!AH$6)+SUMIFS(#REF!,#REF!,'Budget by Task'!AH$6)+SUMIFS(#REF!,#REF!,'Budget by Task'!AH$6)+SUMIFS(#REF!,#REF!,'Budget by Task'!AH$6)+SUMIFS(#REF!,#REF!,'Budget by Task'!AH$6)</f>
        <v>#REF!</v>
      </c>
      <c r="AJ91" s="11" t="e">
        <f>SUMIF($12:$12, "Dollar Value",91:91 )</f>
        <v>#REF!</v>
      </c>
      <c r="AM91" s="151" t="e">
        <f>ROUND(AJ91-'Base Period'!BN144-'Option Period 1'!BN144-#REF!-#REF!-#REF!-#REF!-#REF!-#REF!-#REF!-#REF!,0)</f>
        <v>#REF!</v>
      </c>
    </row>
    <row r="92" spans="2:39" ht="15.75" x14ac:dyDescent="0.25">
      <c r="C92" s="6"/>
      <c r="D92" s="12"/>
      <c r="E92" s="6"/>
      <c r="F92" s="12"/>
      <c r="G92" s="6"/>
      <c r="H92" s="12"/>
      <c r="I92" s="6"/>
      <c r="J92" s="12"/>
      <c r="K92" s="6"/>
      <c r="L92" s="12"/>
      <c r="M92" s="6"/>
      <c r="N92" s="12"/>
      <c r="O92" s="6"/>
      <c r="P92" s="12"/>
      <c r="Q92" s="6"/>
      <c r="R92" s="12"/>
      <c r="S92" s="6"/>
      <c r="T92" s="12"/>
      <c r="U92" s="6"/>
      <c r="V92" s="12"/>
      <c r="W92" s="6"/>
      <c r="X92" s="12"/>
      <c r="Y92" s="6"/>
      <c r="Z92" s="12"/>
      <c r="AA92" s="6"/>
      <c r="AB92" s="12"/>
      <c r="AC92" s="6"/>
      <c r="AD92" s="12"/>
      <c r="AE92" s="6"/>
      <c r="AF92" s="12"/>
      <c r="AG92" s="6"/>
      <c r="AH92" s="12"/>
      <c r="AJ92" s="11"/>
      <c r="AM92" s="149"/>
    </row>
    <row r="93" spans="2:39" ht="15.75" x14ac:dyDescent="0.25">
      <c r="B93" s="4" t="s">
        <v>19</v>
      </c>
      <c r="D93" s="11" t="e">
        <f>SUM(D56:D91)</f>
        <v>#REF!</v>
      </c>
      <c r="E93" s="11"/>
      <c r="F93" s="11" t="e">
        <f t="shared" ref="F93" si="1">SUM(F56:F91)</f>
        <v>#REF!</v>
      </c>
      <c r="G93" s="1"/>
      <c r="H93" s="11" t="e">
        <f>SUM(H56:H91)</f>
        <v>#REF!</v>
      </c>
      <c r="I93" s="1"/>
      <c r="J93" s="11" t="e">
        <f>SUM(J56:J91)</f>
        <v>#REF!</v>
      </c>
      <c r="K93" s="1"/>
      <c r="L93" s="11" t="e">
        <f>SUM(L56:L91)</f>
        <v>#REF!</v>
      </c>
      <c r="M93" s="1"/>
      <c r="N93" s="11" t="e">
        <f>SUM(N56:N91)</f>
        <v>#REF!</v>
      </c>
      <c r="O93" s="1"/>
      <c r="P93" s="11" t="e">
        <f>SUM(P56:P91)</f>
        <v>#REF!</v>
      </c>
      <c r="Q93" s="1"/>
      <c r="R93" s="11" t="e">
        <f>SUM(R56:R91)</f>
        <v>#REF!</v>
      </c>
      <c r="S93" s="1"/>
      <c r="T93" s="11" t="e">
        <f>SUM(T56:T91)</f>
        <v>#REF!</v>
      </c>
      <c r="U93" s="1"/>
      <c r="V93" s="11" t="e">
        <f>SUM(V56:V91)</f>
        <v>#REF!</v>
      </c>
      <c r="W93" s="1"/>
      <c r="X93" s="11" t="e">
        <f>SUM(X56:X91)</f>
        <v>#REF!</v>
      </c>
      <c r="Y93" s="1"/>
      <c r="Z93" s="11" t="e">
        <f>SUM(Z56:Z91)</f>
        <v>#REF!</v>
      </c>
      <c r="AA93" s="1"/>
      <c r="AB93" s="11" t="e">
        <f>SUM(AB56:AB91)</f>
        <v>#REF!</v>
      </c>
      <c r="AC93" s="1"/>
      <c r="AD93" s="11" t="e">
        <f>SUM(AD56:AD91)</f>
        <v>#REF!</v>
      </c>
      <c r="AE93" s="1"/>
      <c r="AF93" s="11" t="e">
        <f>SUM(AF56:AF91)</f>
        <v>#REF!</v>
      </c>
      <c r="AG93" s="1"/>
      <c r="AH93" s="11" t="e">
        <f>SUM(AH56:AH91)</f>
        <v>#REF!</v>
      </c>
      <c r="AJ93" s="11" t="e">
        <f>SUM(C93:AI93)</f>
        <v>#REF!</v>
      </c>
      <c r="AM93" s="151" t="e">
        <f>ROUND(AJ93-'Base Period'!BN146-'Option Period 1'!BN146-#REF!-#REF!-#REF!-#REF!-#REF!-#REF!-#REF!-#REF!,0)</f>
        <v>#REF!</v>
      </c>
    </row>
    <row r="94" spans="2:39" ht="15.75" x14ac:dyDescent="0.25">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J94" s="24"/>
      <c r="AM94" s="149"/>
    </row>
    <row r="95" spans="2:39" ht="15.75" x14ac:dyDescent="0.25">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J95" s="14"/>
      <c r="AM95" s="149"/>
    </row>
    <row r="96" spans="2:39" ht="15.75" x14ac:dyDescent="0.25">
      <c r="B96" t="s">
        <v>20</v>
      </c>
      <c r="D96" s="11" t="e">
        <f>D93+D52</f>
        <v>#REF!</v>
      </c>
      <c r="E96" s="1"/>
      <c r="F96" s="11" t="e">
        <f>F93+F52</f>
        <v>#REF!</v>
      </c>
      <c r="G96" s="1"/>
      <c r="H96" s="11" t="e">
        <f>H93+H52</f>
        <v>#REF!</v>
      </c>
      <c r="I96" s="1"/>
      <c r="J96" s="11" t="e">
        <f>J93+J52</f>
        <v>#REF!</v>
      </c>
      <c r="K96" s="1"/>
      <c r="L96" s="11" t="e">
        <f>L93+L52</f>
        <v>#REF!</v>
      </c>
      <c r="M96" s="1"/>
      <c r="N96" s="11" t="e">
        <f>N93+N52</f>
        <v>#REF!</v>
      </c>
      <c r="O96" s="1"/>
      <c r="P96" s="11" t="e">
        <f>P93+P52</f>
        <v>#REF!</v>
      </c>
      <c r="Q96" s="1"/>
      <c r="R96" s="11" t="e">
        <f>R93+R52</f>
        <v>#REF!</v>
      </c>
      <c r="S96" s="1"/>
      <c r="T96" s="11" t="e">
        <f>T93+T52</f>
        <v>#REF!</v>
      </c>
      <c r="U96" s="1"/>
      <c r="V96" s="11" t="e">
        <f>V93+V52</f>
        <v>#REF!</v>
      </c>
      <c r="W96" s="1"/>
      <c r="X96" s="11" t="e">
        <f>X93+X52</f>
        <v>#REF!</v>
      </c>
      <c r="Y96" s="1"/>
      <c r="Z96" s="11" t="e">
        <f>Z93+Z52</f>
        <v>#REF!</v>
      </c>
      <c r="AA96" s="1"/>
      <c r="AB96" s="11" t="e">
        <f>AB93+AB52</f>
        <v>#REF!</v>
      </c>
      <c r="AC96" s="1"/>
      <c r="AD96" s="11" t="e">
        <f>AD93+AD52</f>
        <v>#REF!</v>
      </c>
      <c r="AE96" s="1"/>
      <c r="AF96" s="11" t="e">
        <f>AF93+AF52</f>
        <v>#REF!</v>
      </c>
      <c r="AG96" s="1"/>
      <c r="AH96" s="11" t="e">
        <f>AH93+AH52</f>
        <v>#REF!</v>
      </c>
      <c r="AJ96" s="11" t="e">
        <f>SUM(C96:AI96)</f>
        <v>#REF!</v>
      </c>
      <c r="AM96" s="151" t="e">
        <f>ROUND(AJ96-'Base Period'!BN148-'Option Period 1'!BN148-#REF!-#REF!-#REF!-#REF!-#REF!-#REF!-#REF!-#REF!,0)</f>
        <v>#REF!</v>
      </c>
    </row>
    <row r="97" spans="2:39" ht="15.75" x14ac:dyDescent="0.25">
      <c r="B97" t="s">
        <v>70</v>
      </c>
      <c r="D97" s="11" t="e">
        <f>D96*'Base Period'!$D$149</f>
        <v>#REF!</v>
      </c>
      <c r="E97" s="1"/>
      <c r="F97" s="11" t="e">
        <f>F96*'Base Period'!$D$149</f>
        <v>#REF!</v>
      </c>
      <c r="G97" s="1"/>
      <c r="H97" s="11" t="e">
        <f>H96*'Base Period'!$D$149</f>
        <v>#REF!</v>
      </c>
      <c r="I97" s="1"/>
      <c r="J97" s="11" t="e">
        <f>J96*'Base Period'!$D$149</f>
        <v>#REF!</v>
      </c>
      <c r="K97" s="1"/>
      <c r="L97" s="11" t="e">
        <f>L96*'Base Period'!$D$149</f>
        <v>#REF!</v>
      </c>
      <c r="M97" s="1"/>
      <c r="N97" s="11" t="e">
        <f>N96*'Base Period'!$D$149</f>
        <v>#REF!</v>
      </c>
      <c r="O97" s="1"/>
      <c r="P97" s="11" t="e">
        <f>P96*'Base Period'!$D$149</f>
        <v>#REF!</v>
      </c>
      <c r="Q97" s="1"/>
      <c r="R97" s="11" t="e">
        <f>R96*'Base Period'!$D$149</f>
        <v>#REF!</v>
      </c>
      <c r="S97" s="1"/>
      <c r="T97" s="11" t="e">
        <f>T96*'Base Period'!$D$149</f>
        <v>#REF!</v>
      </c>
      <c r="U97" s="1"/>
      <c r="V97" s="11" t="e">
        <f>V96*'Base Period'!$D$149</f>
        <v>#REF!</v>
      </c>
      <c r="W97" s="1"/>
      <c r="X97" s="11" t="e">
        <f>X96*'Base Period'!$D$149</f>
        <v>#REF!</v>
      </c>
      <c r="Y97" s="1"/>
      <c r="Z97" s="11" t="e">
        <f>Z96*'Base Period'!$D$149</f>
        <v>#REF!</v>
      </c>
      <c r="AA97" s="1"/>
      <c r="AB97" s="11" t="e">
        <f>AB96*'Base Period'!$D$149</f>
        <v>#REF!</v>
      </c>
      <c r="AC97" s="1"/>
      <c r="AD97" s="11" t="e">
        <f>AD96*'Base Period'!$D$149</f>
        <v>#REF!</v>
      </c>
      <c r="AE97" s="1"/>
      <c r="AF97" s="11" t="e">
        <f>AF96*'Base Period'!$D$149</f>
        <v>#REF!</v>
      </c>
      <c r="AG97" s="1"/>
      <c r="AH97" s="11" t="e">
        <f>AH96*'Base Period'!$D$149</f>
        <v>#REF!</v>
      </c>
      <c r="AJ97" s="11" t="e">
        <f>SUM(C97:AI97)</f>
        <v>#REF!</v>
      </c>
      <c r="AM97" s="151" t="e">
        <f>ROUND(AJ97-'Base Period'!BN149-'Option Period 1'!BN149-#REF!-#REF!-#REF!-#REF!-#REF!-#REF!-#REF!-#REF!,0)</f>
        <v>#REF!</v>
      </c>
    </row>
    <row r="98" spans="2:39" ht="15.75" x14ac:dyDescent="0.25">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J98" s="24"/>
      <c r="AM98" s="149"/>
    </row>
    <row r="99" spans="2:39" ht="15.75" x14ac:dyDescent="0.25">
      <c r="B99" s="4" t="s">
        <v>21</v>
      </c>
      <c r="D99" s="11" t="e">
        <f>D97+D96</f>
        <v>#REF!</v>
      </c>
      <c r="E99" s="1"/>
      <c r="F99" s="11" t="e">
        <f>F97+F96</f>
        <v>#REF!</v>
      </c>
      <c r="G99" s="1"/>
      <c r="H99" s="11" t="e">
        <f>H97+H96</f>
        <v>#REF!</v>
      </c>
      <c r="I99" s="1"/>
      <c r="J99" s="11" t="e">
        <f>J97+J96</f>
        <v>#REF!</v>
      </c>
      <c r="K99" s="1"/>
      <c r="L99" s="11" t="e">
        <f>L97+L96</f>
        <v>#REF!</v>
      </c>
      <c r="M99" s="1"/>
      <c r="N99" s="11" t="e">
        <f>N97+N96</f>
        <v>#REF!</v>
      </c>
      <c r="O99" s="1"/>
      <c r="P99" s="11" t="e">
        <f>P97+P96</f>
        <v>#REF!</v>
      </c>
      <c r="Q99" s="1"/>
      <c r="R99" s="11" t="e">
        <f>R97+R96</f>
        <v>#REF!</v>
      </c>
      <c r="S99" s="1"/>
      <c r="T99" s="11" t="e">
        <f>T97+T96</f>
        <v>#REF!</v>
      </c>
      <c r="U99" s="1"/>
      <c r="V99" s="11" t="e">
        <f>V97+V96</f>
        <v>#REF!</v>
      </c>
      <c r="W99" s="1"/>
      <c r="X99" s="11" t="e">
        <f>X97+X96</f>
        <v>#REF!</v>
      </c>
      <c r="Y99" s="1"/>
      <c r="Z99" s="11" t="e">
        <f>Z97+Z96</f>
        <v>#REF!</v>
      </c>
      <c r="AA99" s="1"/>
      <c r="AB99" s="11" t="e">
        <f>AB97+AB96</f>
        <v>#REF!</v>
      </c>
      <c r="AC99" s="1"/>
      <c r="AD99" s="11" t="e">
        <f>AD97+AD96</f>
        <v>#REF!</v>
      </c>
      <c r="AE99" s="1"/>
      <c r="AF99" s="11" t="e">
        <f>AF97+AF96</f>
        <v>#REF!</v>
      </c>
      <c r="AG99" s="1"/>
      <c r="AH99" s="11" t="e">
        <f>AH97+AH96</f>
        <v>#REF!</v>
      </c>
      <c r="AI99" s="1" t="e">
        <f>AI44</f>
        <v>#REF!</v>
      </c>
      <c r="AJ99" s="11" t="e">
        <f>SUM(C99:AH99)</f>
        <v>#REF!</v>
      </c>
      <c r="AM99" s="151" t="e">
        <f>ROUND(AJ99-'Base Period'!BN152-'Option Period 1'!BN152-#REF!-#REF!-#REF!-#REF!-#REF!-#REF!-#REF!-#REF!,0)</f>
        <v>#REF!</v>
      </c>
    </row>
    <row r="100" spans="2:39" ht="15.75" x14ac:dyDescent="0.25">
      <c r="B100" t="s">
        <v>22</v>
      </c>
      <c r="D100" s="11" t="e">
        <f>D99*'Base Period'!$D$153</f>
        <v>#REF!</v>
      </c>
      <c r="E100" s="1"/>
      <c r="F100" s="11" t="e">
        <f>F99*'Base Period'!$D$153</f>
        <v>#REF!</v>
      </c>
      <c r="G100" s="1"/>
      <c r="H100" s="11" t="e">
        <f>H99*'Base Period'!$D$153</f>
        <v>#REF!</v>
      </c>
      <c r="I100" s="1"/>
      <c r="J100" s="11" t="e">
        <f>J99*'Base Period'!$D$153</f>
        <v>#REF!</v>
      </c>
      <c r="K100" s="1"/>
      <c r="L100" s="11" t="e">
        <f>L99*'Base Period'!$D$153</f>
        <v>#REF!</v>
      </c>
      <c r="M100" s="1"/>
      <c r="N100" s="11" t="e">
        <f>N99*'Base Period'!$D$153</f>
        <v>#REF!</v>
      </c>
      <c r="O100" s="1"/>
      <c r="P100" s="11" t="e">
        <f>P99*'Base Period'!$D$153</f>
        <v>#REF!</v>
      </c>
      <c r="Q100" s="1"/>
      <c r="R100" s="11" t="e">
        <f>R99*'Base Period'!$D$153</f>
        <v>#REF!</v>
      </c>
      <c r="S100" s="1"/>
      <c r="T100" s="11" t="e">
        <f>T99*'Base Period'!$D$153</f>
        <v>#REF!</v>
      </c>
      <c r="U100" s="1"/>
      <c r="V100" s="11" t="e">
        <f>V99*'Base Period'!$D$153</f>
        <v>#REF!</v>
      </c>
      <c r="W100" s="1"/>
      <c r="X100" s="11" t="e">
        <f>X99*'Base Period'!$D$153</f>
        <v>#REF!</v>
      </c>
      <c r="Y100" s="1"/>
      <c r="Z100" s="11" t="e">
        <f>Z99*'Base Period'!$D$153</f>
        <v>#REF!</v>
      </c>
      <c r="AA100" s="1"/>
      <c r="AB100" s="11" t="e">
        <f>AB99*'Base Period'!$D$153</f>
        <v>#REF!</v>
      </c>
      <c r="AC100" s="1"/>
      <c r="AD100" s="11" t="e">
        <f>AD99*'Base Period'!$D$153</f>
        <v>#REF!</v>
      </c>
      <c r="AE100" s="1"/>
      <c r="AF100" s="11" t="e">
        <f>AF99*'Base Period'!$D$153</f>
        <v>#REF!</v>
      </c>
      <c r="AG100" s="1"/>
      <c r="AH100" s="11" t="e">
        <f>AH99*'Base Period'!$D$153</f>
        <v>#REF!</v>
      </c>
      <c r="AI100" s="5"/>
      <c r="AJ100" s="11" t="e">
        <f>SUM(C100:AH100)</f>
        <v>#REF!</v>
      </c>
      <c r="AM100" s="151" t="e">
        <f>ROUND(AJ100-'Base Period'!BN153-'Option Period 1'!BN153-#REF!-#REF!-#REF!-#REF!-#REF!-#REF!-#REF!-#REF!,0)</f>
        <v>#REF!</v>
      </c>
    </row>
    <row r="101" spans="2:39" ht="16.5" thickBot="1" x14ac:dyDescent="0.3">
      <c r="B101" s="4" t="s">
        <v>23</v>
      </c>
      <c r="D101" s="11" t="e">
        <f>SUM(D99:D100)</f>
        <v>#REF!</v>
      </c>
      <c r="E101" s="1"/>
      <c r="F101" s="11" t="e">
        <f>SUM(F99:F100)</f>
        <v>#REF!</v>
      </c>
      <c r="G101" s="1"/>
      <c r="H101" s="11" t="e">
        <f>SUM(H99:H100)</f>
        <v>#REF!</v>
      </c>
      <c r="I101" s="1"/>
      <c r="J101" s="11" t="e">
        <f>SUM(J99:J100)</f>
        <v>#REF!</v>
      </c>
      <c r="K101" s="1"/>
      <c r="L101" s="11" t="e">
        <f>SUM(L99:L100)</f>
        <v>#REF!</v>
      </c>
      <c r="M101" s="1"/>
      <c r="N101" s="11" t="e">
        <f>SUM(N99:N100)</f>
        <v>#REF!</v>
      </c>
      <c r="O101" s="1"/>
      <c r="P101" s="11" t="e">
        <f>SUM(P99:P100)</f>
        <v>#REF!</v>
      </c>
      <c r="Q101" s="1"/>
      <c r="R101" s="11" t="e">
        <f>SUM(R99:R100)</f>
        <v>#REF!</v>
      </c>
      <c r="S101" s="1"/>
      <c r="T101" s="11" t="e">
        <f>SUM(T99:T100)</f>
        <v>#REF!</v>
      </c>
      <c r="U101" s="1"/>
      <c r="V101" s="11" t="e">
        <f>SUM(V99:V100)</f>
        <v>#REF!</v>
      </c>
      <c r="W101" s="1"/>
      <c r="X101" s="11" t="e">
        <f>SUM(X99:X100)</f>
        <v>#REF!</v>
      </c>
      <c r="Y101" s="1"/>
      <c r="Z101" s="11" t="e">
        <f>SUM(Z99:Z100)</f>
        <v>#REF!</v>
      </c>
      <c r="AA101" s="1"/>
      <c r="AB101" s="11" t="e">
        <f>SUM(AB99:AB100)</f>
        <v>#REF!</v>
      </c>
      <c r="AC101" s="1"/>
      <c r="AD101" s="11" t="e">
        <f>SUM(AD99:AD100)</f>
        <v>#REF!</v>
      </c>
      <c r="AE101" s="1"/>
      <c r="AF101" s="11" t="e">
        <f>SUM(AF99:AF100)</f>
        <v>#REF!</v>
      </c>
      <c r="AG101" s="1"/>
      <c r="AH101" s="11" t="e">
        <f>SUM(AH99:AH100)</f>
        <v>#REF!</v>
      </c>
      <c r="AJ101" s="11" t="e">
        <f>SUM(C101:AH101)</f>
        <v>#REF!</v>
      </c>
      <c r="AM101" s="151" t="e">
        <f>ROUND(AJ101-'Base Period'!BN154-'Option Period 1'!BN154-#REF!-#REF!-#REF!-#REF!-#REF!-#REF!-#REF!-#REF!,0)</f>
        <v>#REF!</v>
      </c>
    </row>
    <row r="102" spans="2:39" x14ac:dyDescent="0.25">
      <c r="AJ102" s="24"/>
      <c r="AM102" s="150"/>
    </row>
  </sheetData>
  <mergeCells count="96">
    <mergeCell ref="O8:P8"/>
    <mergeCell ref="Q8:R8"/>
    <mergeCell ref="S8:T8"/>
    <mergeCell ref="U8:V8"/>
    <mergeCell ref="O7:P7"/>
    <mergeCell ref="Q7:R7"/>
    <mergeCell ref="S7:T7"/>
    <mergeCell ref="U7:V7"/>
    <mergeCell ref="M8:N8"/>
    <mergeCell ref="C7:D7"/>
    <mergeCell ref="E7:F7"/>
    <mergeCell ref="G7:H7"/>
    <mergeCell ref="I7:J7"/>
    <mergeCell ref="K7:L7"/>
    <mergeCell ref="M7:N7"/>
    <mergeCell ref="C8:D8"/>
    <mergeCell ref="E8:F8"/>
    <mergeCell ref="G8:H8"/>
    <mergeCell ref="I8:J8"/>
    <mergeCell ref="K8:L8"/>
    <mergeCell ref="C9:D9"/>
    <mergeCell ref="E9:F9"/>
    <mergeCell ref="G9:H9"/>
    <mergeCell ref="I9:J9"/>
    <mergeCell ref="K9:L9"/>
    <mergeCell ref="C10:D10"/>
    <mergeCell ref="E10:F10"/>
    <mergeCell ref="G10:H10"/>
    <mergeCell ref="I10:J10"/>
    <mergeCell ref="K10:L10"/>
    <mergeCell ref="U9:V9"/>
    <mergeCell ref="M10:N10"/>
    <mergeCell ref="O10:P10"/>
    <mergeCell ref="Q10:R10"/>
    <mergeCell ref="S10:T10"/>
    <mergeCell ref="U10:V10"/>
    <mergeCell ref="M9:N9"/>
    <mergeCell ref="O9:P9"/>
    <mergeCell ref="Q9:R9"/>
    <mergeCell ref="S9:T9"/>
    <mergeCell ref="C11:D11"/>
    <mergeCell ref="E11:F11"/>
    <mergeCell ref="G11:H11"/>
    <mergeCell ref="I11:J11"/>
    <mergeCell ref="K11:L11"/>
    <mergeCell ref="M11:N11"/>
    <mergeCell ref="O11:P11"/>
    <mergeCell ref="Q11:R11"/>
    <mergeCell ref="S11:T11"/>
    <mergeCell ref="U11:V11"/>
    <mergeCell ref="C55:D55"/>
    <mergeCell ref="E55:F55"/>
    <mergeCell ref="G55:H55"/>
    <mergeCell ref="I55:J55"/>
    <mergeCell ref="K55:L55"/>
    <mergeCell ref="M55:N55"/>
    <mergeCell ref="O55:P55"/>
    <mergeCell ref="Q55:R55"/>
    <mergeCell ref="S55:T55"/>
    <mergeCell ref="U55:V55"/>
    <mergeCell ref="AG7:AH7"/>
    <mergeCell ref="W8:X8"/>
    <mergeCell ref="Y8:Z8"/>
    <mergeCell ref="AA8:AB8"/>
    <mergeCell ref="AC8:AD8"/>
    <mergeCell ref="AE8:AF8"/>
    <mergeCell ref="AG8:AH8"/>
    <mergeCell ref="W7:X7"/>
    <mergeCell ref="Y7:Z7"/>
    <mergeCell ref="AA7:AB7"/>
    <mergeCell ref="AC7:AD7"/>
    <mergeCell ref="AE7:AF7"/>
    <mergeCell ref="AG9:AH9"/>
    <mergeCell ref="W10:X10"/>
    <mergeCell ref="Y10:Z10"/>
    <mergeCell ref="AA10:AB10"/>
    <mergeCell ref="AC10:AD10"/>
    <mergeCell ref="AE10:AF10"/>
    <mergeCell ref="AG10:AH10"/>
    <mergeCell ref="W9:X9"/>
    <mergeCell ref="Y9:Z9"/>
    <mergeCell ref="AA9:AB9"/>
    <mergeCell ref="AC9:AD9"/>
    <mergeCell ref="AE9:AF9"/>
    <mergeCell ref="AG11:AH11"/>
    <mergeCell ref="W55:X55"/>
    <mergeCell ref="Y55:Z55"/>
    <mergeCell ref="AA55:AB55"/>
    <mergeCell ref="AC55:AD55"/>
    <mergeCell ref="AE55:AF55"/>
    <mergeCell ref="AG55:AH55"/>
    <mergeCell ref="W11:X11"/>
    <mergeCell ref="Y11:Z11"/>
    <mergeCell ref="AA11:AB11"/>
    <mergeCell ref="AC11:AD11"/>
    <mergeCell ref="AE11:AF11"/>
  </mergeCells>
  <pageMargins left="0.7" right="0.7" top="0.75" bottom="0.75" header="0.3" footer="0.3"/>
  <pageSetup scale="60" orientation="landscape" r:id="rId1"/>
  <headerFooter>
    <oddFooter>&amp;CUse or disclosure of data contained on this page is subject to the restriction on the title page of this proposal.</oddFooter>
  </headerFooter>
  <rowBreaks count="1" manualBreakCount="1">
    <brk id="52" min="2" max="35" man="1"/>
  </rowBreaks>
  <colBreaks count="2" manualBreakCount="2">
    <brk id="16" min="11" max="99" man="1"/>
    <brk id="30" min="11" max="99" man="1"/>
  </colBreaks>
  <ignoredErrors>
    <ignoredError sqref="D6" unlockedFormula="1"/>
  </ignoredErrors>
  <drawing r:id="rId2"/>
  <legacyDrawing r:id="rId3"/>
  <controls>
    <mc:AlternateContent xmlns:mc="http://schemas.openxmlformats.org/markup-compatibility/2006">
      <mc:Choice Requires="x14">
        <control shapeId="12289" r:id="rId4" name="CommandButton1">
          <controlPr defaultSize="0" print="0" autoLine="0" r:id="rId5">
            <anchor moveWithCells="1">
              <from>
                <xdr:col>3</xdr:col>
                <xdr:colOff>704850</xdr:colOff>
                <xdr:row>0</xdr:row>
                <xdr:rowOff>133350</xdr:rowOff>
              </from>
              <to>
                <xdr:col>6</xdr:col>
                <xdr:colOff>104775</xdr:colOff>
                <xdr:row>3</xdr:row>
                <xdr:rowOff>171450</xdr:rowOff>
              </to>
            </anchor>
          </controlPr>
        </control>
      </mc:Choice>
      <mc:Fallback>
        <control shapeId="12289"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K111"/>
  <sheetViews>
    <sheetView zoomScale="85" zoomScaleNormal="85" workbookViewId="0">
      <pane xSplit="2" ySplit="12" topLeftCell="C13" activePane="bottomRight" state="frozen"/>
      <selection pane="topRight" activeCell="H1" sqref="H1"/>
      <selection pane="bottomLeft" activeCell="A15" sqref="A15"/>
      <selection pane="bottomRight" activeCell="E14" sqref="E14"/>
    </sheetView>
  </sheetViews>
  <sheetFormatPr defaultRowHeight="15" x14ac:dyDescent="0.25"/>
  <cols>
    <col min="1" max="1" width="6.7109375" customWidth="1"/>
    <col min="2" max="2" width="23.7109375" customWidth="1"/>
    <col min="3" max="3" width="13.28515625" customWidth="1"/>
    <col min="4" max="4" width="11.85546875" customWidth="1"/>
    <col min="5" max="5" width="13.5703125" customWidth="1"/>
    <col min="6" max="6" width="13.28515625" customWidth="1"/>
    <col min="7" max="7" width="11.85546875" customWidth="1"/>
    <col min="8" max="8" width="13.7109375" customWidth="1"/>
    <col min="9" max="9" width="13.28515625" customWidth="1"/>
    <col min="10" max="10" width="11.85546875" customWidth="1"/>
    <col min="11" max="11" width="13.5703125" customWidth="1"/>
    <col min="12" max="12" width="13.28515625" customWidth="1"/>
    <col min="13" max="13" width="11.85546875" customWidth="1"/>
    <col min="14" max="14" width="13.5703125" customWidth="1"/>
    <col min="15" max="15" width="13.28515625" customWidth="1"/>
    <col min="16" max="16" width="11.85546875" customWidth="1"/>
    <col min="17" max="17" width="13.5703125" customWidth="1"/>
    <col min="18" max="18" width="13.28515625" customWidth="1"/>
    <col min="19" max="19" width="11.85546875" customWidth="1"/>
    <col min="20" max="20" width="13.5703125" customWidth="1"/>
    <col min="21" max="21" width="13.28515625" customWidth="1"/>
    <col min="22" max="22" width="11.85546875" customWidth="1"/>
    <col min="23" max="23" width="13.5703125" customWidth="1"/>
    <col min="24" max="24" width="13.28515625" customWidth="1"/>
    <col min="25" max="25" width="11.85546875" customWidth="1"/>
    <col min="26" max="26" width="13.5703125" customWidth="1"/>
    <col min="27" max="27" width="13.28515625" customWidth="1"/>
    <col min="28" max="28" width="11.85546875" customWidth="1"/>
    <col min="29" max="29" width="13.5703125" customWidth="1"/>
    <col min="30" max="30" width="13.28515625" customWidth="1"/>
    <col min="31" max="31" width="11.85546875" customWidth="1"/>
    <col min="32" max="32" width="13.5703125" customWidth="1"/>
    <col min="33" max="33" width="14.5703125" bestFit="1" customWidth="1"/>
    <col min="34" max="34" width="15.85546875" bestFit="1" customWidth="1"/>
  </cols>
  <sheetData>
    <row r="1" spans="1:37" x14ac:dyDescent="0.25">
      <c r="A1" s="2"/>
      <c r="B1" s="6" t="str">
        <f>'Base Period'!B1</f>
        <v>Vendor</v>
      </c>
      <c r="C1" s="2"/>
    </row>
    <row r="2" spans="1:37" x14ac:dyDescent="0.25">
      <c r="B2" s="6" t="str">
        <f>'Base Period'!B2</f>
        <v>Description of Contract</v>
      </c>
    </row>
    <row r="3" spans="1:37" x14ac:dyDescent="0.25">
      <c r="B3" s="6" t="str">
        <f>'Base Period'!B3</f>
        <v>Centers for Medicare and Medicaid Services</v>
      </c>
    </row>
    <row r="4" spans="1:37" x14ac:dyDescent="0.25">
      <c r="B4" s="6" t="s">
        <v>143</v>
      </c>
    </row>
    <row r="5" spans="1:37" x14ac:dyDescent="0.25">
      <c r="B5" s="2"/>
    </row>
    <row r="6" spans="1:37" ht="15" hidden="1" customHeight="1" x14ac:dyDescent="0.25">
      <c r="B6" s="2"/>
      <c r="E6" s="1" t="str">
        <f>C7</f>
        <v>Base Period</v>
      </c>
      <c r="H6" t="str">
        <f>F7</f>
        <v>Option Period 1</v>
      </c>
      <c r="K6" t="str">
        <f>I7</f>
        <v>Option Period 2</v>
      </c>
      <c r="N6" t="str">
        <f>L7</f>
        <v>Option Period 3</v>
      </c>
      <c r="Q6" t="str">
        <f>O7</f>
        <v>Option Period 4</v>
      </c>
      <c r="T6" t="str">
        <f>R7</f>
        <v>Option Period 5</v>
      </c>
      <c r="W6" t="str">
        <f>U7</f>
        <v>Option Period 6</v>
      </c>
      <c r="Z6" t="str">
        <f>X7</f>
        <v>Option Period 7</v>
      </c>
      <c r="AC6" t="str">
        <f>AA7</f>
        <v>Option Period 8</v>
      </c>
      <c r="AF6" t="str">
        <f>AD7</f>
        <v>Option Period 9</v>
      </c>
    </row>
    <row r="7" spans="1:37" x14ac:dyDescent="0.25">
      <c r="B7" t="s">
        <v>93</v>
      </c>
      <c r="C7" s="192" t="s">
        <v>144</v>
      </c>
      <c r="D7" s="192"/>
      <c r="E7" s="192"/>
      <c r="F7" s="192" t="s">
        <v>145</v>
      </c>
      <c r="G7" s="192" t="s">
        <v>57</v>
      </c>
      <c r="H7" s="192"/>
      <c r="I7" s="192" t="s">
        <v>146</v>
      </c>
      <c r="J7" s="192" t="s">
        <v>58</v>
      </c>
      <c r="K7" s="192"/>
      <c r="L7" s="192" t="s">
        <v>147</v>
      </c>
      <c r="M7" s="192" t="s">
        <v>59</v>
      </c>
      <c r="N7" s="192"/>
      <c r="O7" s="192" t="s">
        <v>148</v>
      </c>
      <c r="P7" s="192" t="s">
        <v>60</v>
      </c>
      <c r="Q7" s="192"/>
      <c r="R7" s="192" t="s">
        <v>149</v>
      </c>
      <c r="S7" s="192" t="s">
        <v>61</v>
      </c>
      <c r="T7" s="192"/>
      <c r="U7" s="192" t="s">
        <v>150</v>
      </c>
      <c r="V7" s="192" t="s">
        <v>89</v>
      </c>
      <c r="W7" s="192"/>
      <c r="X7" s="192" t="s">
        <v>151</v>
      </c>
      <c r="Y7" s="192" t="s">
        <v>90</v>
      </c>
      <c r="Z7" s="192"/>
      <c r="AA7" s="192" t="s">
        <v>152</v>
      </c>
      <c r="AB7" s="192" t="s">
        <v>91</v>
      </c>
      <c r="AC7" s="192"/>
      <c r="AD7" s="192" t="s">
        <v>153</v>
      </c>
      <c r="AE7" s="192" t="s">
        <v>92</v>
      </c>
      <c r="AF7" s="192"/>
      <c r="AG7" s="4" t="s">
        <v>53</v>
      </c>
      <c r="AH7" s="4" t="s">
        <v>54</v>
      </c>
    </row>
    <row r="8" spans="1:37" ht="15.75" customHeight="1" thickBot="1" x14ac:dyDescent="0.3">
      <c r="D8" s="193"/>
      <c r="E8" s="193"/>
      <c r="G8" s="193"/>
      <c r="H8" s="193"/>
      <c r="J8" s="193"/>
      <c r="K8" s="193"/>
      <c r="M8" s="193"/>
      <c r="N8" s="193"/>
      <c r="P8" s="193"/>
      <c r="Q8" s="193"/>
      <c r="S8" s="193"/>
      <c r="T8" s="193"/>
      <c r="V8" s="193"/>
      <c r="W8" s="193"/>
      <c r="Y8" s="193"/>
      <c r="Z8" s="193"/>
      <c r="AB8" s="193"/>
      <c r="AC8" s="193"/>
      <c r="AE8" s="193"/>
      <c r="AF8" s="193"/>
    </row>
    <row r="9" spans="1:37" ht="16.5" thickTop="1" x14ac:dyDescent="0.25">
      <c r="C9" s="192"/>
      <c r="D9" s="192"/>
      <c r="E9" s="192"/>
      <c r="F9" s="192"/>
      <c r="G9" s="192"/>
      <c r="H9" s="192"/>
      <c r="I9" s="192"/>
      <c r="J9" s="192"/>
      <c r="K9" s="192"/>
      <c r="L9" s="192"/>
      <c r="M9" s="192"/>
      <c r="N9" s="192"/>
      <c r="O9" s="192"/>
      <c r="P9" s="192"/>
      <c r="Q9" s="192"/>
      <c r="R9" s="192"/>
      <c r="S9" s="192"/>
      <c r="T9" s="192"/>
      <c r="U9" s="192"/>
      <c r="V9" s="192"/>
      <c r="W9" s="192"/>
      <c r="X9" s="192"/>
      <c r="Y9" s="192"/>
      <c r="Z9" s="192"/>
      <c r="AA9" s="192"/>
      <c r="AB9" s="192"/>
      <c r="AC9" s="192"/>
      <c r="AD9" s="192"/>
      <c r="AE9" s="192"/>
      <c r="AF9" s="192"/>
      <c r="AJ9" s="146"/>
      <c r="AK9" s="147" t="s">
        <v>137</v>
      </c>
    </row>
    <row r="10" spans="1:37" ht="15.75" x14ac:dyDescent="0.25">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J10" s="148" t="s">
        <v>137</v>
      </c>
      <c r="AK10" s="149" t="s">
        <v>138</v>
      </c>
    </row>
    <row r="11" spans="1:37" ht="15.75" x14ac:dyDescent="0.25">
      <c r="C11" s="192"/>
      <c r="D11" s="192"/>
      <c r="E11" s="192"/>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K11" s="149"/>
    </row>
    <row r="12" spans="1:37" ht="15.75" x14ac:dyDescent="0.25">
      <c r="B12" t="s">
        <v>63</v>
      </c>
      <c r="C12" s="1" t="s">
        <v>5</v>
      </c>
      <c r="D12" s="24" t="s">
        <v>6</v>
      </c>
      <c r="E12" s="1" t="s">
        <v>7</v>
      </c>
      <c r="F12" s="1" t="s">
        <v>5</v>
      </c>
      <c r="G12" s="24" t="s">
        <v>6</v>
      </c>
      <c r="H12" s="1" t="s">
        <v>7</v>
      </c>
      <c r="I12" s="1" t="s">
        <v>5</v>
      </c>
      <c r="J12" s="24" t="s">
        <v>6</v>
      </c>
      <c r="K12" s="1" t="s">
        <v>7</v>
      </c>
      <c r="L12" s="1" t="s">
        <v>5</v>
      </c>
      <c r="M12" s="24" t="s">
        <v>6</v>
      </c>
      <c r="N12" s="1" t="s">
        <v>7</v>
      </c>
      <c r="O12" s="1" t="s">
        <v>5</v>
      </c>
      <c r="P12" s="116" t="s">
        <v>6</v>
      </c>
      <c r="Q12" s="1" t="s">
        <v>7</v>
      </c>
      <c r="R12" s="1" t="s">
        <v>5</v>
      </c>
      <c r="S12" s="24" t="s">
        <v>6</v>
      </c>
      <c r="T12" s="1" t="s">
        <v>7</v>
      </c>
      <c r="U12" s="1" t="s">
        <v>5</v>
      </c>
      <c r="V12" s="24" t="s">
        <v>6</v>
      </c>
      <c r="W12" s="1" t="s">
        <v>7</v>
      </c>
      <c r="X12" s="1" t="s">
        <v>5</v>
      </c>
      <c r="Y12" s="24" t="s">
        <v>6</v>
      </c>
      <c r="Z12" s="1" t="s">
        <v>7</v>
      </c>
      <c r="AA12" s="1" t="s">
        <v>5</v>
      </c>
      <c r="AB12" s="24" t="s">
        <v>6</v>
      </c>
      <c r="AC12" s="1" t="s">
        <v>7</v>
      </c>
      <c r="AD12" s="1" t="s">
        <v>5</v>
      </c>
      <c r="AE12" s="24" t="s">
        <v>6</v>
      </c>
      <c r="AF12" s="1" t="s">
        <v>7</v>
      </c>
      <c r="AK12" s="149"/>
    </row>
    <row r="13" spans="1:37" ht="15.75" x14ac:dyDescent="0.25">
      <c r="B13" s="6" t="str">
        <f>'Base Period'!B33</f>
        <v>Name</v>
      </c>
      <c r="C13" s="20">
        <f>'Base Period'!D33</f>
        <v>13</v>
      </c>
      <c r="D13" s="15">
        <f>'Base Period'!BM33</f>
        <v>11</v>
      </c>
      <c r="E13" s="16">
        <f>'Base Period'!BN33</f>
        <v>143</v>
      </c>
      <c r="F13" s="20">
        <f>'Option Period 1'!D33</f>
        <v>13</v>
      </c>
      <c r="G13" s="15">
        <f>'Option Period 1'!BM33</f>
        <v>330</v>
      </c>
      <c r="H13" s="16">
        <f>'Option Period 1'!BN33</f>
        <v>401</v>
      </c>
      <c r="I13" s="20" t="e">
        <f>#REF!</f>
        <v>#REF!</v>
      </c>
      <c r="J13" s="15" t="e">
        <f>#REF!</f>
        <v>#REF!</v>
      </c>
      <c r="K13" s="16" t="e">
        <f>#REF!</f>
        <v>#REF!</v>
      </c>
      <c r="L13" s="20" t="e">
        <f>#REF!</f>
        <v>#REF!</v>
      </c>
      <c r="M13" s="15" t="e">
        <f>#REF!</f>
        <v>#REF!</v>
      </c>
      <c r="N13" s="16" t="e">
        <f>#REF!</f>
        <v>#REF!</v>
      </c>
      <c r="O13" s="20" t="e">
        <f>#REF!</f>
        <v>#REF!</v>
      </c>
      <c r="P13" s="117" t="e">
        <f>#REF!</f>
        <v>#REF!</v>
      </c>
      <c r="Q13" s="16" t="e">
        <f>#REF!</f>
        <v>#REF!</v>
      </c>
      <c r="R13" s="20" t="e">
        <f>#REF!</f>
        <v>#REF!</v>
      </c>
      <c r="S13" s="15" t="e">
        <f>#REF!</f>
        <v>#REF!</v>
      </c>
      <c r="T13" s="16" t="e">
        <f>#REF!</f>
        <v>#REF!</v>
      </c>
      <c r="U13" s="20" t="e">
        <f>#REF!</f>
        <v>#REF!</v>
      </c>
      <c r="V13" s="15" t="e">
        <f>#REF!</f>
        <v>#REF!</v>
      </c>
      <c r="W13" s="16" t="e">
        <f>#REF!</f>
        <v>#REF!</v>
      </c>
      <c r="X13" s="20" t="e">
        <f>#REF!</f>
        <v>#REF!</v>
      </c>
      <c r="Y13" s="15" t="e">
        <f>#REF!</f>
        <v>#REF!</v>
      </c>
      <c r="Z13" s="16" t="e">
        <f>#REF!</f>
        <v>#REF!</v>
      </c>
      <c r="AA13" s="20" t="e">
        <f>#REF!</f>
        <v>#REF!</v>
      </c>
      <c r="AB13" s="15" t="e">
        <f>#REF!</f>
        <v>#REF!</v>
      </c>
      <c r="AC13" s="16" t="e">
        <f>#REF!</f>
        <v>#REF!</v>
      </c>
      <c r="AD13" s="20" t="e">
        <f>#REF!</f>
        <v>#REF!</v>
      </c>
      <c r="AE13" s="15" t="e">
        <f>#REF!</f>
        <v>#REF!</v>
      </c>
      <c r="AF13" s="16" t="e">
        <f>#REF!</f>
        <v>#REF!</v>
      </c>
      <c r="AG13" s="1" t="e">
        <f t="shared" ref="AG13:AG42" si="0">SUMIF($12:$12, "# Hours",13:13 )</f>
        <v>#REF!</v>
      </c>
      <c r="AH13" s="11" t="e">
        <f t="shared" ref="AH13:AH42" si="1">SUMIF($12:$12,"Dollar Value",13:13 )</f>
        <v>#REF!</v>
      </c>
      <c r="AK13" s="151" t="e">
        <f>ROUND(AH13-'Base Period'!BN33-'Option Period 1'!BN33-#REF!-#REF!-#REF!-#REF!-#REF!-#REF!-#REF!-#REF!,0)</f>
        <v>#REF!</v>
      </c>
    </row>
    <row r="14" spans="1:37" ht="15.75" x14ac:dyDescent="0.25">
      <c r="B14" s="6" t="str">
        <f>'Base Period'!B34</f>
        <v>Name</v>
      </c>
      <c r="C14" s="20">
        <f>'Base Period'!D34</f>
        <v>14</v>
      </c>
      <c r="D14" s="15">
        <f>'Base Period'!BM34</f>
        <v>11</v>
      </c>
      <c r="E14" s="16">
        <f>'Base Period'!BN34</f>
        <v>154</v>
      </c>
      <c r="F14" s="20">
        <f>'Option Period 1'!D34</f>
        <v>14</v>
      </c>
      <c r="G14" s="15">
        <f>'Option Period 1'!BM34</f>
        <v>180</v>
      </c>
      <c r="H14" s="16">
        <f>'Option Period 1'!BN34</f>
        <v>431</v>
      </c>
      <c r="I14" s="20" t="e">
        <f>#REF!</f>
        <v>#REF!</v>
      </c>
      <c r="J14" s="15" t="e">
        <f>#REF!</f>
        <v>#REF!</v>
      </c>
      <c r="K14" s="16" t="e">
        <f>#REF!</f>
        <v>#REF!</v>
      </c>
      <c r="L14" s="20" t="e">
        <f>#REF!</f>
        <v>#REF!</v>
      </c>
      <c r="M14" s="15" t="e">
        <f>#REF!</f>
        <v>#REF!</v>
      </c>
      <c r="N14" s="16" t="e">
        <f>#REF!</f>
        <v>#REF!</v>
      </c>
      <c r="O14" s="20" t="e">
        <f>#REF!</f>
        <v>#REF!</v>
      </c>
      <c r="P14" s="117" t="e">
        <f>#REF!</f>
        <v>#REF!</v>
      </c>
      <c r="Q14" s="16" t="e">
        <f>#REF!</f>
        <v>#REF!</v>
      </c>
      <c r="R14" s="20" t="e">
        <f>#REF!</f>
        <v>#REF!</v>
      </c>
      <c r="S14" s="15" t="e">
        <f>#REF!</f>
        <v>#REF!</v>
      </c>
      <c r="T14" s="16" t="e">
        <f>#REF!</f>
        <v>#REF!</v>
      </c>
      <c r="U14" s="20" t="e">
        <f>#REF!</f>
        <v>#REF!</v>
      </c>
      <c r="V14" s="15" t="e">
        <f>#REF!</f>
        <v>#REF!</v>
      </c>
      <c r="W14" s="16" t="e">
        <f>#REF!</f>
        <v>#REF!</v>
      </c>
      <c r="X14" s="20" t="e">
        <f>#REF!</f>
        <v>#REF!</v>
      </c>
      <c r="Y14" s="15" t="e">
        <f>#REF!</f>
        <v>#REF!</v>
      </c>
      <c r="Z14" s="16" t="e">
        <f>#REF!</f>
        <v>#REF!</v>
      </c>
      <c r="AA14" s="20" t="e">
        <f>#REF!</f>
        <v>#REF!</v>
      </c>
      <c r="AB14" s="15" t="e">
        <f>#REF!</f>
        <v>#REF!</v>
      </c>
      <c r="AC14" s="16" t="e">
        <f>#REF!</f>
        <v>#REF!</v>
      </c>
      <c r="AD14" s="20" t="e">
        <f>#REF!</f>
        <v>#REF!</v>
      </c>
      <c r="AE14" s="15" t="e">
        <f>#REF!</f>
        <v>#REF!</v>
      </c>
      <c r="AF14" s="16" t="e">
        <f>#REF!</f>
        <v>#REF!</v>
      </c>
      <c r="AG14" s="1" t="e">
        <f t="shared" si="0"/>
        <v>#REF!</v>
      </c>
      <c r="AH14" s="11" t="e">
        <f t="shared" si="1"/>
        <v>#REF!</v>
      </c>
      <c r="AK14" s="151" t="e">
        <f>ROUND(AH14-'Base Period'!BN34-'Option Period 1'!BN34-#REF!-#REF!-#REF!-#REF!-#REF!-#REF!-#REF!-#REF!,0)</f>
        <v>#REF!</v>
      </c>
    </row>
    <row r="15" spans="1:37" ht="15.75" x14ac:dyDescent="0.25">
      <c r="B15" s="6" t="str">
        <f>'Base Period'!B35</f>
        <v>Name</v>
      </c>
      <c r="C15" s="20">
        <f>'Base Period'!D35</f>
        <v>15</v>
      </c>
      <c r="D15" s="15">
        <f>'Base Period'!BM35</f>
        <v>11</v>
      </c>
      <c r="E15" s="16">
        <f>'Base Period'!BN35</f>
        <v>165</v>
      </c>
      <c r="F15" s="20">
        <f>'Option Period 1'!D35</f>
        <v>15</v>
      </c>
      <c r="G15" s="15">
        <f>'Option Period 1'!BM35</f>
        <v>310</v>
      </c>
      <c r="H15" s="16">
        <f>'Option Period 1'!BN35</f>
        <v>461</v>
      </c>
      <c r="I15" s="20" t="e">
        <f>#REF!</f>
        <v>#REF!</v>
      </c>
      <c r="J15" s="15" t="e">
        <f>#REF!</f>
        <v>#REF!</v>
      </c>
      <c r="K15" s="16" t="e">
        <f>#REF!</f>
        <v>#REF!</v>
      </c>
      <c r="L15" s="20" t="e">
        <f>#REF!</f>
        <v>#REF!</v>
      </c>
      <c r="M15" s="15" t="e">
        <f>#REF!</f>
        <v>#REF!</v>
      </c>
      <c r="N15" s="16" t="e">
        <f>#REF!</f>
        <v>#REF!</v>
      </c>
      <c r="O15" s="20" t="e">
        <f>#REF!</f>
        <v>#REF!</v>
      </c>
      <c r="P15" s="117" t="e">
        <f>#REF!</f>
        <v>#REF!</v>
      </c>
      <c r="Q15" s="16" t="e">
        <f>#REF!</f>
        <v>#REF!</v>
      </c>
      <c r="R15" s="20" t="e">
        <f>#REF!</f>
        <v>#REF!</v>
      </c>
      <c r="S15" s="15" t="e">
        <f>#REF!</f>
        <v>#REF!</v>
      </c>
      <c r="T15" s="16" t="e">
        <f>#REF!</f>
        <v>#REF!</v>
      </c>
      <c r="U15" s="20" t="e">
        <f>#REF!</f>
        <v>#REF!</v>
      </c>
      <c r="V15" s="15" t="e">
        <f>#REF!</f>
        <v>#REF!</v>
      </c>
      <c r="W15" s="16" t="e">
        <f>#REF!</f>
        <v>#REF!</v>
      </c>
      <c r="X15" s="20" t="e">
        <f>#REF!</f>
        <v>#REF!</v>
      </c>
      <c r="Y15" s="15" t="e">
        <f>#REF!</f>
        <v>#REF!</v>
      </c>
      <c r="Z15" s="16" t="e">
        <f>#REF!</f>
        <v>#REF!</v>
      </c>
      <c r="AA15" s="20" t="e">
        <f>#REF!</f>
        <v>#REF!</v>
      </c>
      <c r="AB15" s="15" t="e">
        <f>#REF!</f>
        <v>#REF!</v>
      </c>
      <c r="AC15" s="16" t="e">
        <f>#REF!</f>
        <v>#REF!</v>
      </c>
      <c r="AD15" s="20" t="e">
        <f>#REF!</f>
        <v>#REF!</v>
      </c>
      <c r="AE15" s="15" t="e">
        <f>#REF!</f>
        <v>#REF!</v>
      </c>
      <c r="AF15" s="16" t="e">
        <f>#REF!</f>
        <v>#REF!</v>
      </c>
      <c r="AG15" s="1" t="e">
        <f t="shared" si="0"/>
        <v>#REF!</v>
      </c>
      <c r="AH15" s="11" t="e">
        <f t="shared" si="1"/>
        <v>#REF!</v>
      </c>
      <c r="AK15" s="151" t="e">
        <f>ROUND(AH15-'Base Period'!BN35-'Option Period 1'!BN35-#REF!-#REF!-#REF!-#REF!-#REF!-#REF!-#REF!-#REF!,0)</f>
        <v>#REF!</v>
      </c>
    </row>
    <row r="16" spans="1:37" ht="15.75" x14ac:dyDescent="0.25">
      <c r="B16" s="6" t="str">
        <f>'Base Period'!B36</f>
        <v>Name</v>
      </c>
      <c r="C16" s="20">
        <f>'Base Period'!D36</f>
        <v>16</v>
      </c>
      <c r="D16" s="15">
        <f>'Base Period'!BM36</f>
        <v>13</v>
      </c>
      <c r="E16" s="16">
        <f>'Base Period'!BN36</f>
        <v>208</v>
      </c>
      <c r="F16" s="20">
        <f>'Option Period 1'!D36</f>
        <v>16</v>
      </c>
      <c r="G16" s="15">
        <f>'Option Period 1'!BM36</f>
        <v>290</v>
      </c>
      <c r="H16" s="16">
        <f>'Option Period 1'!BN36</f>
        <v>492</v>
      </c>
      <c r="I16" s="20" t="e">
        <f>#REF!</f>
        <v>#REF!</v>
      </c>
      <c r="J16" s="15" t="e">
        <f>#REF!</f>
        <v>#REF!</v>
      </c>
      <c r="K16" s="16" t="e">
        <f>#REF!</f>
        <v>#REF!</v>
      </c>
      <c r="L16" s="20" t="e">
        <f>#REF!</f>
        <v>#REF!</v>
      </c>
      <c r="M16" s="15" t="e">
        <f>#REF!</f>
        <v>#REF!</v>
      </c>
      <c r="N16" s="16" t="e">
        <f>#REF!</f>
        <v>#REF!</v>
      </c>
      <c r="O16" s="20" t="e">
        <f>#REF!</f>
        <v>#REF!</v>
      </c>
      <c r="P16" s="117" t="e">
        <f>#REF!</f>
        <v>#REF!</v>
      </c>
      <c r="Q16" s="16" t="e">
        <f>#REF!</f>
        <v>#REF!</v>
      </c>
      <c r="R16" s="20" t="e">
        <f>#REF!</f>
        <v>#REF!</v>
      </c>
      <c r="S16" s="15" t="e">
        <f>#REF!</f>
        <v>#REF!</v>
      </c>
      <c r="T16" s="16" t="e">
        <f>#REF!</f>
        <v>#REF!</v>
      </c>
      <c r="U16" s="20" t="e">
        <f>#REF!</f>
        <v>#REF!</v>
      </c>
      <c r="V16" s="15" t="e">
        <f>#REF!</f>
        <v>#REF!</v>
      </c>
      <c r="W16" s="16" t="e">
        <f>#REF!</f>
        <v>#REF!</v>
      </c>
      <c r="X16" s="20" t="e">
        <f>#REF!</f>
        <v>#REF!</v>
      </c>
      <c r="Y16" s="15" t="e">
        <f>#REF!</f>
        <v>#REF!</v>
      </c>
      <c r="Z16" s="16" t="e">
        <f>#REF!</f>
        <v>#REF!</v>
      </c>
      <c r="AA16" s="20" t="e">
        <f>#REF!</f>
        <v>#REF!</v>
      </c>
      <c r="AB16" s="15" t="e">
        <f>#REF!</f>
        <v>#REF!</v>
      </c>
      <c r="AC16" s="16" t="e">
        <f>#REF!</f>
        <v>#REF!</v>
      </c>
      <c r="AD16" s="20" t="e">
        <f>#REF!</f>
        <v>#REF!</v>
      </c>
      <c r="AE16" s="15" t="e">
        <f>#REF!</f>
        <v>#REF!</v>
      </c>
      <c r="AF16" s="16" t="e">
        <f>#REF!</f>
        <v>#REF!</v>
      </c>
      <c r="AG16" s="1" t="e">
        <f t="shared" si="0"/>
        <v>#REF!</v>
      </c>
      <c r="AH16" s="11" t="e">
        <f t="shared" si="1"/>
        <v>#REF!</v>
      </c>
      <c r="AK16" s="151" t="e">
        <f>ROUND(AH16-'Base Period'!BN36-'Option Period 1'!BN36-#REF!-#REF!-#REF!-#REF!-#REF!-#REF!-#REF!-#REF!,0)</f>
        <v>#REF!</v>
      </c>
    </row>
    <row r="17" spans="2:37" ht="15.75" x14ac:dyDescent="0.25">
      <c r="B17" s="6" t="str">
        <f>'Base Period'!B37</f>
        <v>Name</v>
      </c>
      <c r="C17" s="20">
        <f>'Base Period'!D37</f>
        <v>17</v>
      </c>
      <c r="D17" s="15">
        <f>'Base Period'!BM37</f>
        <v>11</v>
      </c>
      <c r="E17" s="16">
        <f>'Base Period'!BN37</f>
        <v>187</v>
      </c>
      <c r="F17" s="20">
        <f>'Option Period 1'!D37</f>
        <v>17</v>
      </c>
      <c r="G17" s="15">
        <f>'Option Period 1'!BM37</f>
        <v>330</v>
      </c>
      <c r="H17" s="16">
        <f>'Option Period 1'!BN37</f>
        <v>521</v>
      </c>
      <c r="I17" s="20" t="e">
        <f>#REF!</f>
        <v>#REF!</v>
      </c>
      <c r="J17" s="15" t="e">
        <f>#REF!</f>
        <v>#REF!</v>
      </c>
      <c r="K17" s="16" t="e">
        <f>#REF!</f>
        <v>#REF!</v>
      </c>
      <c r="L17" s="20" t="e">
        <f>#REF!</f>
        <v>#REF!</v>
      </c>
      <c r="M17" s="15" t="e">
        <f>#REF!</f>
        <v>#REF!</v>
      </c>
      <c r="N17" s="16" t="e">
        <f>#REF!</f>
        <v>#REF!</v>
      </c>
      <c r="O17" s="20" t="e">
        <f>#REF!</f>
        <v>#REF!</v>
      </c>
      <c r="P17" s="117" t="e">
        <f>#REF!</f>
        <v>#REF!</v>
      </c>
      <c r="Q17" s="16" t="e">
        <f>#REF!</f>
        <v>#REF!</v>
      </c>
      <c r="R17" s="20" t="e">
        <f>#REF!</f>
        <v>#REF!</v>
      </c>
      <c r="S17" s="15" t="e">
        <f>#REF!</f>
        <v>#REF!</v>
      </c>
      <c r="T17" s="16" t="e">
        <f>#REF!</f>
        <v>#REF!</v>
      </c>
      <c r="U17" s="20" t="e">
        <f>#REF!</f>
        <v>#REF!</v>
      </c>
      <c r="V17" s="15" t="e">
        <f>#REF!</f>
        <v>#REF!</v>
      </c>
      <c r="W17" s="16" t="e">
        <f>#REF!</f>
        <v>#REF!</v>
      </c>
      <c r="X17" s="20" t="e">
        <f>#REF!</f>
        <v>#REF!</v>
      </c>
      <c r="Y17" s="15" t="e">
        <f>#REF!</f>
        <v>#REF!</v>
      </c>
      <c r="Z17" s="16" t="e">
        <f>#REF!</f>
        <v>#REF!</v>
      </c>
      <c r="AA17" s="20" t="e">
        <f>#REF!</f>
        <v>#REF!</v>
      </c>
      <c r="AB17" s="15" t="e">
        <f>#REF!</f>
        <v>#REF!</v>
      </c>
      <c r="AC17" s="16" t="e">
        <f>#REF!</f>
        <v>#REF!</v>
      </c>
      <c r="AD17" s="20" t="e">
        <f>#REF!</f>
        <v>#REF!</v>
      </c>
      <c r="AE17" s="15" t="e">
        <f>#REF!</f>
        <v>#REF!</v>
      </c>
      <c r="AF17" s="16" t="e">
        <f>#REF!</f>
        <v>#REF!</v>
      </c>
      <c r="AG17" s="1" t="e">
        <f t="shared" si="0"/>
        <v>#REF!</v>
      </c>
      <c r="AH17" s="11" t="e">
        <f t="shared" si="1"/>
        <v>#REF!</v>
      </c>
      <c r="AK17" s="151" t="e">
        <f>ROUND(AH17-'Base Period'!BN37-'Option Period 1'!BN37-#REF!-#REF!-#REF!-#REF!-#REF!-#REF!-#REF!-#REF!,0)</f>
        <v>#REF!</v>
      </c>
    </row>
    <row r="18" spans="2:37" ht="15.75" x14ac:dyDescent="0.25">
      <c r="B18" s="6" t="str">
        <f>'Base Period'!B38</f>
        <v>Name</v>
      </c>
      <c r="C18" s="20">
        <f>'Base Period'!D38</f>
        <v>20</v>
      </c>
      <c r="D18" s="15">
        <f>'Base Period'!BM38</f>
        <v>0</v>
      </c>
      <c r="E18" s="16">
        <f>'Base Period'!BN38</f>
        <v>0</v>
      </c>
      <c r="F18" s="20">
        <f>'Option Period 1'!D38</f>
        <v>20</v>
      </c>
      <c r="G18" s="15">
        <f>'Option Period 1'!BM38</f>
        <v>330</v>
      </c>
      <c r="H18" s="16">
        <f>'Option Period 1'!BN38</f>
        <v>611</v>
      </c>
      <c r="I18" s="20" t="e">
        <f>#REF!</f>
        <v>#REF!</v>
      </c>
      <c r="J18" s="15" t="e">
        <f>#REF!</f>
        <v>#REF!</v>
      </c>
      <c r="K18" s="16" t="e">
        <f>#REF!</f>
        <v>#REF!</v>
      </c>
      <c r="L18" s="20" t="e">
        <f>#REF!</f>
        <v>#REF!</v>
      </c>
      <c r="M18" s="15" t="e">
        <f>#REF!</f>
        <v>#REF!</v>
      </c>
      <c r="N18" s="16" t="e">
        <f>#REF!</f>
        <v>#REF!</v>
      </c>
      <c r="O18" s="20" t="e">
        <f>#REF!</f>
        <v>#REF!</v>
      </c>
      <c r="P18" s="117" t="e">
        <f>#REF!</f>
        <v>#REF!</v>
      </c>
      <c r="Q18" s="16" t="e">
        <f>#REF!</f>
        <v>#REF!</v>
      </c>
      <c r="R18" s="20" t="e">
        <f>#REF!</f>
        <v>#REF!</v>
      </c>
      <c r="S18" s="15" t="e">
        <f>#REF!</f>
        <v>#REF!</v>
      </c>
      <c r="T18" s="16" t="e">
        <f>#REF!</f>
        <v>#REF!</v>
      </c>
      <c r="U18" s="20" t="e">
        <f>#REF!</f>
        <v>#REF!</v>
      </c>
      <c r="V18" s="15" t="e">
        <f>#REF!</f>
        <v>#REF!</v>
      </c>
      <c r="W18" s="16" t="e">
        <f>#REF!</f>
        <v>#REF!</v>
      </c>
      <c r="X18" s="20" t="e">
        <f>#REF!</f>
        <v>#REF!</v>
      </c>
      <c r="Y18" s="15" t="e">
        <f>#REF!</f>
        <v>#REF!</v>
      </c>
      <c r="Z18" s="16" t="e">
        <f>#REF!</f>
        <v>#REF!</v>
      </c>
      <c r="AA18" s="20" t="e">
        <f>#REF!</f>
        <v>#REF!</v>
      </c>
      <c r="AB18" s="15" t="e">
        <f>#REF!</f>
        <v>#REF!</v>
      </c>
      <c r="AC18" s="16" t="e">
        <f>#REF!</f>
        <v>#REF!</v>
      </c>
      <c r="AD18" s="20" t="e">
        <f>#REF!</f>
        <v>#REF!</v>
      </c>
      <c r="AE18" s="15" t="e">
        <f>#REF!</f>
        <v>#REF!</v>
      </c>
      <c r="AF18" s="16" t="e">
        <f>#REF!</f>
        <v>#REF!</v>
      </c>
      <c r="AG18" s="1" t="e">
        <f t="shared" si="0"/>
        <v>#REF!</v>
      </c>
      <c r="AH18" s="11" t="e">
        <f t="shared" si="1"/>
        <v>#REF!</v>
      </c>
      <c r="AK18" s="151" t="e">
        <f>ROUND(AH18-'Base Period'!BN38-'Option Period 1'!BN38-#REF!-#REF!-#REF!-#REF!-#REF!-#REF!-#REF!-#REF!,0)</f>
        <v>#REF!</v>
      </c>
    </row>
    <row r="19" spans="2:37" ht="15.75" x14ac:dyDescent="0.25">
      <c r="B19" s="6" t="str">
        <f>'Base Period'!B39</f>
        <v>Name</v>
      </c>
      <c r="C19" s="20">
        <f>'Base Period'!D39</f>
        <v>0</v>
      </c>
      <c r="D19" s="15">
        <f>'Base Period'!BM39</f>
        <v>0</v>
      </c>
      <c r="E19" s="16">
        <f>'Base Period'!BN39</f>
        <v>0</v>
      </c>
      <c r="F19" s="20">
        <f>'Option Period 1'!D39</f>
        <v>0</v>
      </c>
      <c r="G19" s="15">
        <f>'Option Period 1'!BM39</f>
        <v>0</v>
      </c>
      <c r="H19" s="16">
        <f>'Option Period 1'!BN39</f>
        <v>0</v>
      </c>
      <c r="I19" s="20" t="e">
        <f>#REF!</f>
        <v>#REF!</v>
      </c>
      <c r="J19" s="15" t="e">
        <f>#REF!</f>
        <v>#REF!</v>
      </c>
      <c r="K19" s="16" t="e">
        <f>#REF!</f>
        <v>#REF!</v>
      </c>
      <c r="L19" s="20" t="e">
        <f>#REF!</f>
        <v>#REF!</v>
      </c>
      <c r="M19" s="15" t="e">
        <f>#REF!</f>
        <v>#REF!</v>
      </c>
      <c r="N19" s="16" t="e">
        <f>#REF!</f>
        <v>#REF!</v>
      </c>
      <c r="O19" s="20" t="e">
        <f>#REF!</f>
        <v>#REF!</v>
      </c>
      <c r="P19" s="117" t="e">
        <f>#REF!</f>
        <v>#REF!</v>
      </c>
      <c r="Q19" s="16" t="e">
        <f>#REF!</f>
        <v>#REF!</v>
      </c>
      <c r="R19" s="20" t="e">
        <f>#REF!</f>
        <v>#REF!</v>
      </c>
      <c r="S19" s="15" t="e">
        <f>#REF!</f>
        <v>#REF!</v>
      </c>
      <c r="T19" s="16" t="e">
        <f>#REF!</f>
        <v>#REF!</v>
      </c>
      <c r="U19" s="20" t="e">
        <f>#REF!</f>
        <v>#REF!</v>
      </c>
      <c r="V19" s="15" t="e">
        <f>#REF!</f>
        <v>#REF!</v>
      </c>
      <c r="W19" s="16" t="e">
        <f>#REF!</f>
        <v>#REF!</v>
      </c>
      <c r="X19" s="20" t="e">
        <f>#REF!</f>
        <v>#REF!</v>
      </c>
      <c r="Y19" s="15" t="e">
        <f>#REF!</f>
        <v>#REF!</v>
      </c>
      <c r="Z19" s="16" t="e">
        <f>#REF!</f>
        <v>#REF!</v>
      </c>
      <c r="AA19" s="20" t="e">
        <f>#REF!</f>
        <v>#REF!</v>
      </c>
      <c r="AB19" s="15" t="e">
        <f>#REF!</f>
        <v>#REF!</v>
      </c>
      <c r="AC19" s="16" t="e">
        <f>#REF!</f>
        <v>#REF!</v>
      </c>
      <c r="AD19" s="20" t="e">
        <f>#REF!</f>
        <v>#REF!</v>
      </c>
      <c r="AE19" s="15" t="e">
        <f>#REF!</f>
        <v>#REF!</v>
      </c>
      <c r="AF19" s="16" t="e">
        <f>#REF!</f>
        <v>#REF!</v>
      </c>
      <c r="AG19" s="1" t="e">
        <f t="shared" si="0"/>
        <v>#REF!</v>
      </c>
      <c r="AH19" s="11" t="e">
        <f t="shared" si="1"/>
        <v>#REF!</v>
      </c>
      <c r="AK19" s="151" t="e">
        <f>ROUND(AH19-'Base Period'!BN39-'Option Period 1'!BN39-#REF!-#REF!-#REF!-#REF!-#REF!-#REF!-#REF!-#REF!,0)</f>
        <v>#REF!</v>
      </c>
    </row>
    <row r="20" spans="2:37" ht="15.75" x14ac:dyDescent="0.25">
      <c r="B20" s="6" t="str">
        <f>'Base Period'!B40</f>
        <v>Name</v>
      </c>
      <c r="C20" s="20">
        <f>'Base Period'!D40</f>
        <v>0</v>
      </c>
      <c r="D20" s="15">
        <f>'Base Period'!BM40</f>
        <v>0</v>
      </c>
      <c r="E20" s="16">
        <f>'Base Period'!BN40</f>
        <v>0</v>
      </c>
      <c r="F20" s="20">
        <f>'Option Period 1'!D40</f>
        <v>0</v>
      </c>
      <c r="G20" s="15">
        <f>'Option Period 1'!BM40</f>
        <v>0</v>
      </c>
      <c r="H20" s="16">
        <f>'Option Period 1'!BN40</f>
        <v>0</v>
      </c>
      <c r="I20" s="20" t="e">
        <f>#REF!</f>
        <v>#REF!</v>
      </c>
      <c r="J20" s="15" t="e">
        <f>#REF!</f>
        <v>#REF!</v>
      </c>
      <c r="K20" s="16" t="e">
        <f>#REF!</f>
        <v>#REF!</v>
      </c>
      <c r="L20" s="20" t="e">
        <f>#REF!</f>
        <v>#REF!</v>
      </c>
      <c r="M20" s="15" t="e">
        <f>#REF!</f>
        <v>#REF!</v>
      </c>
      <c r="N20" s="16" t="e">
        <f>#REF!</f>
        <v>#REF!</v>
      </c>
      <c r="O20" s="20" t="e">
        <f>#REF!</f>
        <v>#REF!</v>
      </c>
      <c r="P20" s="117" t="e">
        <f>#REF!</f>
        <v>#REF!</v>
      </c>
      <c r="Q20" s="16" t="e">
        <f>#REF!</f>
        <v>#REF!</v>
      </c>
      <c r="R20" s="20" t="e">
        <f>#REF!</f>
        <v>#REF!</v>
      </c>
      <c r="S20" s="15" t="e">
        <f>#REF!</f>
        <v>#REF!</v>
      </c>
      <c r="T20" s="16" t="e">
        <f>#REF!</f>
        <v>#REF!</v>
      </c>
      <c r="U20" s="20" t="e">
        <f>#REF!</f>
        <v>#REF!</v>
      </c>
      <c r="V20" s="15" t="e">
        <f>#REF!</f>
        <v>#REF!</v>
      </c>
      <c r="W20" s="16" t="e">
        <f>#REF!</f>
        <v>#REF!</v>
      </c>
      <c r="X20" s="20" t="e">
        <f>#REF!</f>
        <v>#REF!</v>
      </c>
      <c r="Y20" s="15" t="e">
        <f>#REF!</f>
        <v>#REF!</v>
      </c>
      <c r="Z20" s="16" t="e">
        <f>#REF!</f>
        <v>#REF!</v>
      </c>
      <c r="AA20" s="20" t="e">
        <f>#REF!</f>
        <v>#REF!</v>
      </c>
      <c r="AB20" s="15" t="e">
        <f>#REF!</f>
        <v>#REF!</v>
      </c>
      <c r="AC20" s="16" t="e">
        <f>#REF!</f>
        <v>#REF!</v>
      </c>
      <c r="AD20" s="20" t="e">
        <f>#REF!</f>
        <v>#REF!</v>
      </c>
      <c r="AE20" s="15" t="e">
        <f>#REF!</f>
        <v>#REF!</v>
      </c>
      <c r="AF20" s="16" t="e">
        <f>#REF!</f>
        <v>#REF!</v>
      </c>
      <c r="AG20" s="1" t="e">
        <f t="shared" si="0"/>
        <v>#REF!</v>
      </c>
      <c r="AH20" s="11" t="e">
        <f t="shared" si="1"/>
        <v>#REF!</v>
      </c>
      <c r="AK20" s="151" t="e">
        <f>ROUND(AH20-'Base Period'!BN40-'Option Period 1'!BN40-#REF!-#REF!-#REF!-#REF!-#REF!-#REF!-#REF!-#REF!,0)</f>
        <v>#REF!</v>
      </c>
    </row>
    <row r="21" spans="2:37" ht="15.75" x14ac:dyDescent="0.25">
      <c r="B21" s="6" t="str">
        <f>'Base Period'!B41</f>
        <v>Name</v>
      </c>
      <c r="C21" s="20">
        <f>'Base Period'!D41</f>
        <v>0</v>
      </c>
      <c r="D21" s="15">
        <f>'Base Period'!BM41</f>
        <v>0</v>
      </c>
      <c r="E21" s="16">
        <f>'Base Period'!BN41</f>
        <v>0</v>
      </c>
      <c r="F21" s="20">
        <f>'Option Period 1'!D41</f>
        <v>0</v>
      </c>
      <c r="G21" s="15">
        <f>'Option Period 1'!BM41</f>
        <v>0</v>
      </c>
      <c r="H21" s="16">
        <f>'Option Period 1'!BN41</f>
        <v>0</v>
      </c>
      <c r="I21" s="20" t="e">
        <f>#REF!</f>
        <v>#REF!</v>
      </c>
      <c r="J21" s="15" t="e">
        <f>#REF!</f>
        <v>#REF!</v>
      </c>
      <c r="K21" s="16" t="e">
        <f>#REF!</f>
        <v>#REF!</v>
      </c>
      <c r="L21" s="20" t="e">
        <f>#REF!</f>
        <v>#REF!</v>
      </c>
      <c r="M21" s="15" t="e">
        <f>#REF!</f>
        <v>#REF!</v>
      </c>
      <c r="N21" s="16" t="e">
        <f>#REF!</f>
        <v>#REF!</v>
      </c>
      <c r="O21" s="20" t="e">
        <f>#REF!</f>
        <v>#REF!</v>
      </c>
      <c r="P21" s="117" t="e">
        <f>#REF!</f>
        <v>#REF!</v>
      </c>
      <c r="Q21" s="16" t="e">
        <f>#REF!</f>
        <v>#REF!</v>
      </c>
      <c r="R21" s="20" t="e">
        <f>#REF!</f>
        <v>#REF!</v>
      </c>
      <c r="S21" s="15" t="e">
        <f>#REF!</f>
        <v>#REF!</v>
      </c>
      <c r="T21" s="16" t="e">
        <f>#REF!</f>
        <v>#REF!</v>
      </c>
      <c r="U21" s="20" t="e">
        <f>#REF!</f>
        <v>#REF!</v>
      </c>
      <c r="V21" s="15" t="e">
        <f>#REF!</f>
        <v>#REF!</v>
      </c>
      <c r="W21" s="16" t="e">
        <f>#REF!</f>
        <v>#REF!</v>
      </c>
      <c r="X21" s="20" t="e">
        <f>#REF!</f>
        <v>#REF!</v>
      </c>
      <c r="Y21" s="15" t="e">
        <f>#REF!</f>
        <v>#REF!</v>
      </c>
      <c r="Z21" s="16" t="e">
        <f>#REF!</f>
        <v>#REF!</v>
      </c>
      <c r="AA21" s="20" t="e">
        <f>#REF!</f>
        <v>#REF!</v>
      </c>
      <c r="AB21" s="15" t="e">
        <f>#REF!</f>
        <v>#REF!</v>
      </c>
      <c r="AC21" s="16" t="e">
        <f>#REF!</f>
        <v>#REF!</v>
      </c>
      <c r="AD21" s="20" t="e">
        <f>#REF!</f>
        <v>#REF!</v>
      </c>
      <c r="AE21" s="15" t="e">
        <f>#REF!</f>
        <v>#REF!</v>
      </c>
      <c r="AF21" s="16" t="e">
        <f>#REF!</f>
        <v>#REF!</v>
      </c>
      <c r="AG21" s="1" t="e">
        <f t="shared" si="0"/>
        <v>#REF!</v>
      </c>
      <c r="AH21" s="11" t="e">
        <f t="shared" si="1"/>
        <v>#REF!</v>
      </c>
      <c r="AK21" s="151" t="e">
        <f>ROUND(AH21-'Base Period'!BN41-'Option Period 1'!BN41-#REF!-#REF!-#REF!-#REF!-#REF!-#REF!-#REF!-#REF!,0)</f>
        <v>#REF!</v>
      </c>
    </row>
    <row r="22" spans="2:37" ht="15.75" x14ac:dyDescent="0.25">
      <c r="B22" s="6" t="str">
        <f>'Base Period'!B42</f>
        <v>Name</v>
      </c>
      <c r="C22" s="20">
        <f>'Base Period'!D42</f>
        <v>0</v>
      </c>
      <c r="D22" s="15">
        <f>'Base Period'!BM42</f>
        <v>0</v>
      </c>
      <c r="E22" s="16">
        <f>'Base Period'!BN42</f>
        <v>0</v>
      </c>
      <c r="F22" s="20">
        <f>'Option Period 1'!D42</f>
        <v>0</v>
      </c>
      <c r="G22" s="15">
        <f>'Option Period 1'!BM42</f>
        <v>0</v>
      </c>
      <c r="H22" s="16">
        <f>'Option Period 1'!BN42</f>
        <v>0</v>
      </c>
      <c r="I22" s="20" t="e">
        <f>#REF!</f>
        <v>#REF!</v>
      </c>
      <c r="J22" s="15" t="e">
        <f>#REF!</f>
        <v>#REF!</v>
      </c>
      <c r="K22" s="16" t="e">
        <f>#REF!</f>
        <v>#REF!</v>
      </c>
      <c r="L22" s="20" t="e">
        <f>#REF!</f>
        <v>#REF!</v>
      </c>
      <c r="M22" s="15" t="e">
        <f>#REF!</f>
        <v>#REF!</v>
      </c>
      <c r="N22" s="16" t="e">
        <f>#REF!</f>
        <v>#REF!</v>
      </c>
      <c r="O22" s="20" t="e">
        <f>#REF!</f>
        <v>#REF!</v>
      </c>
      <c r="P22" s="117" t="e">
        <f>#REF!</f>
        <v>#REF!</v>
      </c>
      <c r="Q22" s="16" t="e">
        <f>#REF!</f>
        <v>#REF!</v>
      </c>
      <c r="R22" s="20" t="e">
        <f>#REF!</f>
        <v>#REF!</v>
      </c>
      <c r="S22" s="15" t="e">
        <f>#REF!</f>
        <v>#REF!</v>
      </c>
      <c r="T22" s="16" t="e">
        <f>#REF!</f>
        <v>#REF!</v>
      </c>
      <c r="U22" s="20" t="e">
        <f>#REF!</f>
        <v>#REF!</v>
      </c>
      <c r="V22" s="15" t="e">
        <f>#REF!</f>
        <v>#REF!</v>
      </c>
      <c r="W22" s="16" t="e">
        <f>#REF!</f>
        <v>#REF!</v>
      </c>
      <c r="X22" s="20" t="e">
        <f>#REF!</f>
        <v>#REF!</v>
      </c>
      <c r="Y22" s="15" t="e">
        <f>#REF!</f>
        <v>#REF!</v>
      </c>
      <c r="Z22" s="16" t="e">
        <f>#REF!</f>
        <v>#REF!</v>
      </c>
      <c r="AA22" s="20" t="e">
        <f>#REF!</f>
        <v>#REF!</v>
      </c>
      <c r="AB22" s="15" t="e">
        <f>#REF!</f>
        <v>#REF!</v>
      </c>
      <c r="AC22" s="16" t="e">
        <f>#REF!</f>
        <v>#REF!</v>
      </c>
      <c r="AD22" s="20" t="e">
        <f>#REF!</f>
        <v>#REF!</v>
      </c>
      <c r="AE22" s="15" t="e">
        <f>#REF!</f>
        <v>#REF!</v>
      </c>
      <c r="AF22" s="16" t="e">
        <f>#REF!</f>
        <v>#REF!</v>
      </c>
      <c r="AG22" s="1" t="e">
        <f t="shared" si="0"/>
        <v>#REF!</v>
      </c>
      <c r="AH22" s="11" t="e">
        <f t="shared" si="1"/>
        <v>#REF!</v>
      </c>
      <c r="AK22" s="151" t="e">
        <f>ROUND(AH22-'Base Period'!BN42-'Option Period 1'!BN42-#REF!-#REF!-#REF!-#REF!-#REF!-#REF!-#REF!-#REF!,0)</f>
        <v>#REF!</v>
      </c>
    </row>
    <row r="23" spans="2:37" ht="15.75" x14ac:dyDescent="0.25">
      <c r="B23" s="6" t="str">
        <f>'Base Period'!B43</f>
        <v>Name</v>
      </c>
      <c r="C23" s="20">
        <f>'Base Period'!D43</f>
        <v>0</v>
      </c>
      <c r="D23" s="15">
        <f>'Base Period'!BM43</f>
        <v>0</v>
      </c>
      <c r="E23" s="16">
        <f>'Base Period'!BN43</f>
        <v>0</v>
      </c>
      <c r="F23" s="20">
        <f>'Option Period 1'!D43</f>
        <v>0</v>
      </c>
      <c r="G23" s="15">
        <f>'Option Period 1'!BM43</f>
        <v>0</v>
      </c>
      <c r="H23" s="16">
        <f>'Option Period 1'!BN43</f>
        <v>0</v>
      </c>
      <c r="I23" s="20" t="e">
        <f>#REF!</f>
        <v>#REF!</v>
      </c>
      <c r="J23" s="15" t="e">
        <f>#REF!</f>
        <v>#REF!</v>
      </c>
      <c r="K23" s="16" t="e">
        <f>#REF!</f>
        <v>#REF!</v>
      </c>
      <c r="L23" s="20" t="e">
        <f>#REF!</f>
        <v>#REF!</v>
      </c>
      <c r="M23" s="15" t="e">
        <f>#REF!</f>
        <v>#REF!</v>
      </c>
      <c r="N23" s="16" t="e">
        <f>#REF!</f>
        <v>#REF!</v>
      </c>
      <c r="O23" s="20" t="e">
        <f>#REF!</f>
        <v>#REF!</v>
      </c>
      <c r="P23" s="15" t="e">
        <f>#REF!</f>
        <v>#REF!</v>
      </c>
      <c r="Q23" s="16" t="e">
        <f>#REF!</f>
        <v>#REF!</v>
      </c>
      <c r="R23" s="20" t="e">
        <f>#REF!</f>
        <v>#REF!</v>
      </c>
      <c r="S23" s="15" t="e">
        <f>#REF!</f>
        <v>#REF!</v>
      </c>
      <c r="T23" s="16" t="e">
        <f>#REF!</f>
        <v>#REF!</v>
      </c>
      <c r="U23" s="20" t="e">
        <f>#REF!</f>
        <v>#REF!</v>
      </c>
      <c r="V23" s="15" t="e">
        <f>#REF!</f>
        <v>#REF!</v>
      </c>
      <c r="W23" s="16" t="e">
        <f>#REF!</f>
        <v>#REF!</v>
      </c>
      <c r="X23" s="20" t="e">
        <f>#REF!</f>
        <v>#REF!</v>
      </c>
      <c r="Y23" s="15" t="e">
        <f>#REF!</f>
        <v>#REF!</v>
      </c>
      <c r="Z23" s="16" t="e">
        <f>#REF!</f>
        <v>#REF!</v>
      </c>
      <c r="AA23" s="20" t="e">
        <f>#REF!</f>
        <v>#REF!</v>
      </c>
      <c r="AB23" s="15" t="e">
        <f>#REF!</f>
        <v>#REF!</v>
      </c>
      <c r="AC23" s="16" t="e">
        <f>#REF!</f>
        <v>#REF!</v>
      </c>
      <c r="AD23" s="20" t="e">
        <f>#REF!</f>
        <v>#REF!</v>
      </c>
      <c r="AE23" s="15" t="e">
        <f>#REF!</f>
        <v>#REF!</v>
      </c>
      <c r="AF23" s="16" t="e">
        <f>#REF!</f>
        <v>#REF!</v>
      </c>
      <c r="AG23" s="1" t="e">
        <f t="shared" si="0"/>
        <v>#REF!</v>
      </c>
      <c r="AH23" s="11" t="e">
        <f t="shared" si="1"/>
        <v>#REF!</v>
      </c>
      <c r="AK23" s="151" t="e">
        <f>ROUND(AH23-'Base Period'!BN43-'Option Period 1'!BN43-#REF!-#REF!-#REF!-#REF!-#REF!-#REF!-#REF!-#REF!,0)</f>
        <v>#REF!</v>
      </c>
    </row>
    <row r="24" spans="2:37" ht="15.75" x14ac:dyDescent="0.25">
      <c r="B24" s="6" t="str">
        <f>'Base Period'!B44</f>
        <v>Name</v>
      </c>
      <c r="C24" s="20">
        <f>'Base Period'!D44</f>
        <v>0</v>
      </c>
      <c r="D24" s="15">
        <f>'Base Period'!BM44</f>
        <v>0</v>
      </c>
      <c r="E24" s="16">
        <f>'Base Period'!BN44</f>
        <v>0</v>
      </c>
      <c r="F24" s="20">
        <f>'Option Period 1'!D44</f>
        <v>0</v>
      </c>
      <c r="G24" s="15">
        <f>'Option Period 1'!BM44</f>
        <v>0</v>
      </c>
      <c r="H24" s="16">
        <f>'Option Period 1'!BN44</f>
        <v>0</v>
      </c>
      <c r="I24" s="20" t="e">
        <f>#REF!</f>
        <v>#REF!</v>
      </c>
      <c r="J24" s="15" t="e">
        <f>#REF!</f>
        <v>#REF!</v>
      </c>
      <c r="K24" s="16" t="e">
        <f>#REF!</f>
        <v>#REF!</v>
      </c>
      <c r="L24" s="20" t="e">
        <f>#REF!</f>
        <v>#REF!</v>
      </c>
      <c r="M24" s="15" t="e">
        <f>#REF!</f>
        <v>#REF!</v>
      </c>
      <c r="N24" s="16" t="e">
        <f>#REF!</f>
        <v>#REF!</v>
      </c>
      <c r="O24" s="20" t="e">
        <f>#REF!</f>
        <v>#REF!</v>
      </c>
      <c r="P24" s="15" t="e">
        <f>#REF!</f>
        <v>#REF!</v>
      </c>
      <c r="Q24" s="16" t="e">
        <f>#REF!</f>
        <v>#REF!</v>
      </c>
      <c r="R24" s="20" t="e">
        <f>#REF!</f>
        <v>#REF!</v>
      </c>
      <c r="S24" s="15" t="e">
        <f>#REF!</f>
        <v>#REF!</v>
      </c>
      <c r="T24" s="16" t="e">
        <f>#REF!</f>
        <v>#REF!</v>
      </c>
      <c r="U24" s="20" t="e">
        <f>#REF!</f>
        <v>#REF!</v>
      </c>
      <c r="V24" s="15" t="e">
        <f>#REF!</f>
        <v>#REF!</v>
      </c>
      <c r="W24" s="16" t="e">
        <f>#REF!</f>
        <v>#REF!</v>
      </c>
      <c r="X24" s="20" t="e">
        <f>#REF!</f>
        <v>#REF!</v>
      </c>
      <c r="Y24" s="15" t="e">
        <f>#REF!</f>
        <v>#REF!</v>
      </c>
      <c r="Z24" s="16" t="e">
        <f>#REF!</f>
        <v>#REF!</v>
      </c>
      <c r="AA24" s="20" t="e">
        <f>#REF!</f>
        <v>#REF!</v>
      </c>
      <c r="AB24" s="15" t="e">
        <f>#REF!</f>
        <v>#REF!</v>
      </c>
      <c r="AC24" s="16" t="e">
        <f>#REF!</f>
        <v>#REF!</v>
      </c>
      <c r="AD24" s="20" t="e">
        <f>#REF!</f>
        <v>#REF!</v>
      </c>
      <c r="AE24" s="15" t="e">
        <f>#REF!</f>
        <v>#REF!</v>
      </c>
      <c r="AF24" s="16" t="e">
        <f>#REF!</f>
        <v>#REF!</v>
      </c>
      <c r="AG24" s="1" t="e">
        <f t="shared" si="0"/>
        <v>#REF!</v>
      </c>
      <c r="AH24" s="11" t="e">
        <f t="shared" si="1"/>
        <v>#REF!</v>
      </c>
      <c r="AK24" s="151" t="e">
        <f>ROUND(AH24-'Base Period'!BN44-'Option Period 1'!BN44-#REF!-#REF!-#REF!-#REF!-#REF!-#REF!-#REF!-#REF!,0)</f>
        <v>#REF!</v>
      </c>
    </row>
    <row r="25" spans="2:37" ht="15.75" x14ac:dyDescent="0.25">
      <c r="B25" s="6" t="str">
        <f>'Base Period'!B45</f>
        <v>Name</v>
      </c>
      <c r="C25" s="20">
        <f>'Base Period'!D45</f>
        <v>0</v>
      </c>
      <c r="D25" s="15">
        <f>'Base Period'!BM45</f>
        <v>0</v>
      </c>
      <c r="E25" s="16">
        <f>'Base Period'!BN45</f>
        <v>0</v>
      </c>
      <c r="F25" s="20">
        <f>'Option Period 1'!D45</f>
        <v>0</v>
      </c>
      <c r="G25" s="15">
        <f>'Option Period 1'!BM45</f>
        <v>0</v>
      </c>
      <c r="H25" s="16">
        <f>'Option Period 1'!BN45</f>
        <v>0</v>
      </c>
      <c r="I25" s="20" t="e">
        <f>#REF!</f>
        <v>#REF!</v>
      </c>
      <c r="J25" s="15" t="e">
        <f>#REF!</f>
        <v>#REF!</v>
      </c>
      <c r="K25" s="16" t="e">
        <f>#REF!</f>
        <v>#REF!</v>
      </c>
      <c r="L25" s="20" t="e">
        <f>#REF!</f>
        <v>#REF!</v>
      </c>
      <c r="M25" s="15" t="e">
        <f>#REF!</f>
        <v>#REF!</v>
      </c>
      <c r="N25" s="16" t="e">
        <f>#REF!</f>
        <v>#REF!</v>
      </c>
      <c r="O25" s="20" t="e">
        <f>#REF!</f>
        <v>#REF!</v>
      </c>
      <c r="P25" s="117" t="e">
        <f>#REF!</f>
        <v>#REF!</v>
      </c>
      <c r="Q25" s="16" t="e">
        <f>#REF!</f>
        <v>#REF!</v>
      </c>
      <c r="R25" s="20" t="e">
        <f>#REF!</f>
        <v>#REF!</v>
      </c>
      <c r="S25" s="15" t="e">
        <f>#REF!</f>
        <v>#REF!</v>
      </c>
      <c r="T25" s="16" t="e">
        <f>#REF!</f>
        <v>#REF!</v>
      </c>
      <c r="U25" s="20" t="e">
        <f>#REF!</f>
        <v>#REF!</v>
      </c>
      <c r="V25" s="15" t="e">
        <f>#REF!</f>
        <v>#REF!</v>
      </c>
      <c r="W25" s="16" t="e">
        <f>#REF!</f>
        <v>#REF!</v>
      </c>
      <c r="X25" s="20" t="e">
        <f>#REF!</f>
        <v>#REF!</v>
      </c>
      <c r="Y25" s="15" t="e">
        <f>#REF!</f>
        <v>#REF!</v>
      </c>
      <c r="Z25" s="16" t="e">
        <f>#REF!</f>
        <v>#REF!</v>
      </c>
      <c r="AA25" s="20" t="e">
        <f>#REF!</f>
        <v>#REF!</v>
      </c>
      <c r="AB25" s="15" t="e">
        <f>#REF!</f>
        <v>#REF!</v>
      </c>
      <c r="AC25" s="16" t="e">
        <f>#REF!</f>
        <v>#REF!</v>
      </c>
      <c r="AD25" s="20" t="e">
        <f>#REF!</f>
        <v>#REF!</v>
      </c>
      <c r="AE25" s="15" t="e">
        <f>#REF!</f>
        <v>#REF!</v>
      </c>
      <c r="AF25" s="16" t="e">
        <f>#REF!</f>
        <v>#REF!</v>
      </c>
      <c r="AG25" s="1" t="e">
        <f t="shared" si="0"/>
        <v>#REF!</v>
      </c>
      <c r="AH25" s="11" t="e">
        <f t="shared" si="1"/>
        <v>#REF!</v>
      </c>
      <c r="AK25" s="151" t="e">
        <f>ROUND(AH25-'Base Period'!BN45-'Option Period 1'!BN45-#REF!-#REF!-#REF!-#REF!-#REF!-#REF!-#REF!-#REF!,0)</f>
        <v>#REF!</v>
      </c>
    </row>
    <row r="26" spans="2:37" ht="15.75" x14ac:dyDescent="0.25">
      <c r="B26" s="6" t="str">
        <f>'Base Period'!B46</f>
        <v>Name</v>
      </c>
      <c r="C26" s="20">
        <f>'Base Period'!D46</f>
        <v>0</v>
      </c>
      <c r="D26" s="15">
        <f>'Base Period'!BM46</f>
        <v>0</v>
      </c>
      <c r="E26" s="16">
        <f>'Base Period'!BN46</f>
        <v>0</v>
      </c>
      <c r="F26" s="20">
        <f>'Option Period 1'!D46</f>
        <v>0</v>
      </c>
      <c r="G26" s="15">
        <f>'Option Period 1'!BM46</f>
        <v>0</v>
      </c>
      <c r="H26" s="16">
        <f>'Option Period 1'!BN46</f>
        <v>0</v>
      </c>
      <c r="I26" s="20" t="e">
        <f>#REF!</f>
        <v>#REF!</v>
      </c>
      <c r="J26" s="15" t="e">
        <f>#REF!</f>
        <v>#REF!</v>
      </c>
      <c r="K26" s="16" t="e">
        <f>#REF!</f>
        <v>#REF!</v>
      </c>
      <c r="L26" s="20" t="e">
        <f>#REF!</f>
        <v>#REF!</v>
      </c>
      <c r="M26" s="15" t="e">
        <f>#REF!</f>
        <v>#REF!</v>
      </c>
      <c r="N26" s="16" t="e">
        <f>#REF!</f>
        <v>#REF!</v>
      </c>
      <c r="O26" s="20" t="e">
        <f>#REF!</f>
        <v>#REF!</v>
      </c>
      <c r="P26" s="117" t="e">
        <f>#REF!</f>
        <v>#REF!</v>
      </c>
      <c r="Q26" s="16" t="e">
        <f>#REF!</f>
        <v>#REF!</v>
      </c>
      <c r="R26" s="20" t="e">
        <f>#REF!</f>
        <v>#REF!</v>
      </c>
      <c r="S26" s="15" t="e">
        <f>#REF!</f>
        <v>#REF!</v>
      </c>
      <c r="T26" s="16" t="e">
        <f>#REF!</f>
        <v>#REF!</v>
      </c>
      <c r="U26" s="20" t="e">
        <f>#REF!</f>
        <v>#REF!</v>
      </c>
      <c r="V26" s="15" t="e">
        <f>#REF!</f>
        <v>#REF!</v>
      </c>
      <c r="W26" s="16" t="e">
        <f>#REF!</f>
        <v>#REF!</v>
      </c>
      <c r="X26" s="20" t="e">
        <f>#REF!</f>
        <v>#REF!</v>
      </c>
      <c r="Y26" s="15" t="e">
        <f>#REF!</f>
        <v>#REF!</v>
      </c>
      <c r="Z26" s="16" t="e">
        <f>#REF!</f>
        <v>#REF!</v>
      </c>
      <c r="AA26" s="20" t="e">
        <f>#REF!</f>
        <v>#REF!</v>
      </c>
      <c r="AB26" s="15" t="e">
        <f>#REF!</f>
        <v>#REF!</v>
      </c>
      <c r="AC26" s="16" t="e">
        <f>#REF!</f>
        <v>#REF!</v>
      </c>
      <c r="AD26" s="20" t="e">
        <f>#REF!</f>
        <v>#REF!</v>
      </c>
      <c r="AE26" s="15" t="e">
        <f>#REF!</f>
        <v>#REF!</v>
      </c>
      <c r="AF26" s="16" t="e">
        <f>#REF!</f>
        <v>#REF!</v>
      </c>
      <c r="AG26" s="1" t="e">
        <f t="shared" si="0"/>
        <v>#REF!</v>
      </c>
      <c r="AH26" s="11" t="e">
        <f t="shared" si="1"/>
        <v>#REF!</v>
      </c>
      <c r="AK26" s="151" t="e">
        <f>ROUND(AH26-'Base Period'!BN46-'Option Period 1'!BN46-#REF!-#REF!-#REF!-#REF!-#REF!-#REF!-#REF!-#REF!,0)</f>
        <v>#REF!</v>
      </c>
    </row>
    <row r="27" spans="2:37" ht="15.75" x14ac:dyDescent="0.25">
      <c r="B27" s="6" t="str">
        <f>'Base Period'!B47</f>
        <v>Name</v>
      </c>
      <c r="C27" s="20">
        <f>'Base Period'!D47</f>
        <v>0</v>
      </c>
      <c r="D27" s="15">
        <f>'Base Period'!BM47</f>
        <v>0</v>
      </c>
      <c r="E27" s="16">
        <f>'Base Period'!BN47</f>
        <v>0</v>
      </c>
      <c r="F27" s="20">
        <f>'Option Period 1'!D47</f>
        <v>0</v>
      </c>
      <c r="G27" s="15">
        <f>'Option Period 1'!BM47</f>
        <v>0</v>
      </c>
      <c r="H27" s="16">
        <f>'Option Period 1'!BN47</f>
        <v>0</v>
      </c>
      <c r="I27" s="20" t="e">
        <f>#REF!</f>
        <v>#REF!</v>
      </c>
      <c r="J27" s="15" t="e">
        <f>#REF!</f>
        <v>#REF!</v>
      </c>
      <c r="K27" s="16" t="e">
        <f>#REF!</f>
        <v>#REF!</v>
      </c>
      <c r="L27" s="20" t="e">
        <f>#REF!</f>
        <v>#REF!</v>
      </c>
      <c r="M27" s="15" t="e">
        <f>#REF!</f>
        <v>#REF!</v>
      </c>
      <c r="N27" s="16" t="e">
        <f>#REF!</f>
        <v>#REF!</v>
      </c>
      <c r="O27" s="20" t="e">
        <f>#REF!</f>
        <v>#REF!</v>
      </c>
      <c r="P27" s="117" t="e">
        <f>#REF!</f>
        <v>#REF!</v>
      </c>
      <c r="Q27" s="16" t="e">
        <f>#REF!</f>
        <v>#REF!</v>
      </c>
      <c r="R27" s="20" t="e">
        <f>#REF!</f>
        <v>#REF!</v>
      </c>
      <c r="S27" s="15" t="e">
        <f>#REF!</f>
        <v>#REF!</v>
      </c>
      <c r="T27" s="16" t="e">
        <f>#REF!</f>
        <v>#REF!</v>
      </c>
      <c r="U27" s="20" t="e">
        <f>#REF!</f>
        <v>#REF!</v>
      </c>
      <c r="V27" s="15" t="e">
        <f>#REF!</f>
        <v>#REF!</v>
      </c>
      <c r="W27" s="16" t="e">
        <f>#REF!</f>
        <v>#REF!</v>
      </c>
      <c r="X27" s="20" t="e">
        <f>#REF!</f>
        <v>#REF!</v>
      </c>
      <c r="Y27" s="15" t="e">
        <f>#REF!</f>
        <v>#REF!</v>
      </c>
      <c r="Z27" s="16" t="e">
        <f>#REF!</f>
        <v>#REF!</v>
      </c>
      <c r="AA27" s="20" t="e">
        <f>#REF!</f>
        <v>#REF!</v>
      </c>
      <c r="AB27" s="15" t="e">
        <f>#REF!</f>
        <v>#REF!</v>
      </c>
      <c r="AC27" s="16" t="e">
        <f>#REF!</f>
        <v>#REF!</v>
      </c>
      <c r="AD27" s="20" t="e">
        <f>#REF!</f>
        <v>#REF!</v>
      </c>
      <c r="AE27" s="15" t="e">
        <f>#REF!</f>
        <v>#REF!</v>
      </c>
      <c r="AF27" s="16" t="e">
        <f>#REF!</f>
        <v>#REF!</v>
      </c>
      <c r="AG27" s="1" t="e">
        <f t="shared" si="0"/>
        <v>#REF!</v>
      </c>
      <c r="AH27" s="11" t="e">
        <f t="shared" si="1"/>
        <v>#REF!</v>
      </c>
      <c r="AK27" s="151" t="e">
        <f>ROUND(AH27-'Base Period'!BN47-'Option Period 1'!BN47-#REF!-#REF!-#REF!-#REF!-#REF!-#REF!-#REF!-#REF!,0)</f>
        <v>#REF!</v>
      </c>
    </row>
    <row r="28" spans="2:37" ht="15.75" x14ac:dyDescent="0.25">
      <c r="B28" s="6" t="str">
        <f>'Base Period'!B48</f>
        <v>Name</v>
      </c>
      <c r="C28" s="20">
        <f>'Base Period'!D48</f>
        <v>0</v>
      </c>
      <c r="D28" s="15">
        <f>'Base Period'!BM48</f>
        <v>0</v>
      </c>
      <c r="E28" s="16">
        <f>'Base Period'!BN48</f>
        <v>0</v>
      </c>
      <c r="F28" s="20">
        <f>'Option Period 1'!D48</f>
        <v>0</v>
      </c>
      <c r="G28" s="15">
        <f>'Option Period 1'!BM48</f>
        <v>0</v>
      </c>
      <c r="H28" s="16">
        <f>'Option Period 1'!BN48</f>
        <v>0</v>
      </c>
      <c r="I28" s="20" t="e">
        <f>#REF!</f>
        <v>#REF!</v>
      </c>
      <c r="J28" s="15" t="e">
        <f>#REF!</f>
        <v>#REF!</v>
      </c>
      <c r="K28" s="16" t="e">
        <f>#REF!</f>
        <v>#REF!</v>
      </c>
      <c r="L28" s="20" t="e">
        <f>#REF!</f>
        <v>#REF!</v>
      </c>
      <c r="M28" s="15" t="e">
        <f>#REF!</f>
        <v>#REF!</v>
      </c>
      <c r="N28" s="16" t="e">
        <f>#REF!</f>
        <v>#REF!</v>
      </c>
      <c r="O28" s="20" t="e">
        <f>#REF!</f>
        <v>#REF!</v>
      </c>
      <c r="P28" s="117" t="e">
        <f>#REF!</f>
        <v>#REF!</v>
      </c>
      <c r="Q28" s="16" t="e">
        <f>#REF!</f>
        <v>#REF!</v>
      </c>
      <c r="R28" s="20" t="e">
        <f>#REF!</f>
        <v>#REF!</v>
      </c>
      <c r="S28" s="15" t="e">
        <f>#REF!</f>
        <v>#REF!</v>
      </c>
      <c r="T28" s="16" t="e">
        <f>#REF!</f>
        <v>#REF!</v>
      </c>
      <c r="U28" s="20" t="e">
        <f>#REF!</f>
        <v>#REF!</v>
      </c>
      <c r="V28" s="15" t="e">
        <f>#REF!</f>
        <v>#REF!</v>
      </c>
      <c r="W28" s="16" t="e">
        <f>#REF!</f>
        <v>#REF!</v>
      </c>
      <c r="X28" s="20" t="e">
        <f>#REF!</f>
        <v>#REF!</v>
      </c>
      <c r="Y28" s="15" t="e">
        <f>#REF!</f>
        <v>#REF!</v>
      </c>
      <c r="Z28" s="16" t="e">
        <f>#REF!</f>
        <v>#REF!</v>
      </c>
      <c r="AA28" s="20" t="e">
        <f>#REF!</f>
        <v>#REF!</v>
      </c>
      <c r="AB28" s="15" t="e">
        <f>#REF!</f>
        <v>#REF!</v>
      </c>
      <c r="AC28" s="16" t="e">
        <f>#REF!</f>
        <v>#REF!</v>
      </c>
      <c r="AD28" s="20" t="e">
        <f>#REF!</f>
        <v>#REF!</v>
      </c>
      <c r="AE28" s="15" t="e">
        <f>#REF!</f>
        <v>#REF!</v>
      </c>
      <c r="AF28" s="16" t="e">
        <f>#REF!</f>
        <v>#REF!</v>
      </c>
      <c r="AG28" s="1" t="e">
        <f t="shared" si="0"/>
        <v>#REF!</v>
      </c>
      <c r="AH28" s="11" t="e">
        <f t="shared" si="1"/>
        <v>#REF!</v>
      </c>
      <c r="AK28" s="151" t="e">
        <f>ROUND(AH28-'Base Period'!BN48-'Option Period 1'!BN48-#REF!-#REF!-#REF!-#REF!-#REF!-#REF!-#REF!-#REF!,0)</f>
        <v>#REF!</v>
      </c>
    </row>
    <row r="29" spans="2:37" ht="15.75" x14ac:dyDescent="0.25">
      <c r="B29" s="6" t="str">
        <f>'Base Period'!B49</f>
        <v>Name</v>
      </c>
      <c r="C29" s="20">
        <f>'Base Period'!D49</f>
        <v>0</v>
      </c>
      <c r="D29" s="15">
        <f>'Base Period'!BM49</f>
        <v>0</v>
      </c>
      <c r="E29" s="16">
        <f>'Base Period'!BN49</f>
        <v>0</v>
      </c>
      <c r="F29" s="20">
        <f>'Option Period 1'!D49</f>
        <v>0</v>
      </c>
      <c r="G29" s="15">
        <f>'Option Period 1'!BM49</f>
        <v>0</v>
      </c>
      <c r="H29" s="16">
        <f>'Option Period 1'!BN49</f>
        <v>0</v>
      </c>
      <c r="I29" s="20" t="e">
        <f>#REF!</f>
        <v>#REF!</v>
      </c>
      <c r="J29" s="15" t="e">
        <f>#REF!</f>
        <v>#REF!</v>
      </c>
      <c r="K29" s="16" t="e">
        <f>#REF!</f>
        <v>#REF!</v>
      </c>
      <c r="L29" s="20" t="e">
        <f>#REF!</f>
        <v>#REF!</v>
      </c>
      <c r="M29" s="15" t="e">
        <f>#REF!</f>
        <v>#REF!</v>
      </c>
      <c r="N29" s="16" t="e">
        <f>#REF!</f>
        <v>#REF!</v>
      </c>
      <c r="O29" s="20" t="e">
        <f>#REF!</f>
        <v>#REF!</v>
      </c>
      <c r="P29" s="117" t="e">
        <f>#REF!</f>
        <v>#REF!</v>
      </c>
      <c r="Q29" s="16" t="e">
        <f>#REF!</f>
        <v>#REF!</v>
      </c>
      <c r="R29" s="20" t="e">
        <f>#REF!</f>
        <v>#REF!</v>
      </c>
      <c r="S29" s="15" t="e">
        <f>#REF!</f>
        <v>#REF!</v>
      </c>
      <c r="T29" s="16" t="e">
        <f>#REF!</f>
        <v>#REF!</v>
      </c>
      <c r="U29" s="20" t="e">
        <f>#REF!</f>
        <v>#REF!</v>
      </c>
      <c r="V29" s="15" t="e">
        <f>#REF!</f>
        <v>#REF!</v>
      </c>
      <c r="W29" s="16" t="e">
        <f>#REF!</f>
        <v>#REF!</v>
      </c>
      <c r="X29" s="20" t="e">
        <f>#REF!</f>
        <v>#REF!</v>
      </c>
      <c r="Y29" s="15" t="e">
        <f>#REF!</f>
        <v>#REF!</v>
      </c>
      <c r="Z29" s="16" t="e">
        <f>#REF!</f>
        <v>#REF!</v>
      </c>
      <c r="AA29" s="20" t="e">
        <f>#REF!</f>
        <v>#REF!</v>
      </c>
      <c r="AB29" s="15" t="e">
        <f>#REF!</f>
        <v>#REF!</v>
      </c>
      <c r="AC29" s="16" t="e">
        <f>#REF!</f>
        <v>#REF!</v>
      </c>
      <c r="AD29" s="20" t="e">
        <f>#REF!</f>
        <v>#REF!</v>
      </c>
      <c r="AE29" s="15" t="e">
        <f>#REF!</f>
        <v>#REF!</v>
      </c>
      <c r="AF29" s="16" t="e">
        <f>#REF!</f>
        <v>#REF!</v>
      </c>
      <c r="AG29" s="1" t="e">
        <f t="shared" si="0"/>
        <v>#REF!</v>
      </c>
      <c r="AH29" s="11" t="e">
        <f t="shared" si="1"/>
        <v>#REF!</v>
      </c>
      <c r="AK29" s="151" t="e">
        <f>ROUND(AH29-'Base Period'!BN49-'Option Period 1'!BN49-#REF!-#REF!-#REF!-#REF!-#REF!-#REF!-#REF!-#REF!,0)</f>
        <v>#REF!</v>
      </c>
    </row>
    <row r="30" spans="2:37" ht="15.75" x14ac:dyDescent="0.25">
      <c r="B30" s="6" t="str">
        <f>'Base Period'!B50</f>
        <v>Name</v>
      </c>
      <c r="C30" s="20">
        <f>'Base Period'!D50</f>
        <v>0</v>
      </c>
      <c r="D30" s="15">
        <f>'Base Period'!BM50</f>
        <v>0</v>
      </c>
      <c r="E30" s="16">
        <f>'Base Period'!BN50</f>
        <v>0</v>
      </c>
      <c r="F30" s="20">
        <f>'Option Period 1'!D50</f>
        <v>0</v>
      </c>
      <c r="G30" s="15">
        <f>'Option Period 1'!BM50</f>
        <v>0</v>
      </c>
      <c r="H30" s="16">
        <f>'Option Period 1'!BN50</f>
        <v>0</v>
      </c>
      <c r="I30" s="20" t="e">
        <f>#REF!</f>
        <v>#REF!</v>
      </c>
      <c r="J30" s="15" t="e">
        <f>#REF!</f>
        <v>#REF!</v>
      </c>
      <c r="K30" s="16" t="e">
        <f>#REF!</f>
        <v>#REF!</v>
      </c>
      <c r="L30" s="20" t="e">
        <f>#REF!</f>
        <v>#REF!</v>
      </c>
      <c r="M30" s="15" t="e">
        <f>#REF!</f>
        <v>#REF!</v>
      </c>
      <c r="N30" s="16" t="e">
        <f>#REF!</f>
        <v>#REF!</v>
      </c>
      <c r="O30" s="20" t="e">
        <f>#REF!</f>
        <v>#REF!</v>
      </c>
      <c r="P30" s="117" t="e">
        <f>#REF!</f>
        <v>#REF!</v>
      </c>
      <c r="Q30" s="16" t="e">
        <f>#REF!</f>
        <v>#REF!</v>
      </c>
      <c r="R30" s="20" t="e">
        <f>#REF!</f>
        <v>#REF!</v>
      </c>
      <c r="S30" s="15" t="e">
        <f>#REF!</f>
        <v>#REF!</v>
      </c>
      <c r="T30" s="16" t="e">
        <f>#REF!</f>
        <v>#REF!</v>
      </c>
      <c r="U30" s="20" t="e">
        <f>#REF!</f>
        <v>#REF!</v>
      </c>
      <c r="V30" s="15" t="e">
        <f>#REF!</f>
        <v>#REF!</v>
      </c>
      <c r="W30" s="16" t="e">
        <f>#REF!</f>
        <v>#REF!</v>
      </c>
      <c r="X30" s="20" t="e">
        <f>#REF!</f>
        <v>#REF!</v>
      </c>
      <c r="Y30" s="15" t="e">
        <f>#REF!</f>
        <v>#REF!</v>
      </c>
      <c r="Z30" s="16" t="e">
        <f>#REF!</f>
        <v>#REF!</v>
      </c>
      <c r="AA30" s="20" t="e">
        <f>#REF!</f>
        <v>#REF!</v>
      </c>
      <c r="AB30" s="15" t="e">
        <f>#REF!</f>
        <v>#REF!</v>
      </c>
      <c r="AC30" s="16" t="e">
        <f>#REF!</f>
        <v>#REF!</v>
      </c>
      <c r="AD30" s="20" t="e">
        <f>#REF!</f>
        <v>#REF!</v>
      </c>
      <c r="AE30" s="15" t="e">
        <f>#REF!</f>
        <v>#REF!</v>
      </c>
      <c r="AF30" s="16" t="e">
        <f>#REF!</f>
        <v>#REF!</v>
      </c>
      <c r="AG30" s="1" t="e">
        <f t="shared" si="0"/>
        <v>#REF!</v>
      </c>
      <c r="AH30" s="11" t="e">
        <f t="shared" si="1"/>
        <v>#REF!</v>
      </c>
      <c r="AK30" s="151" t="e">
        <f>ROUND(AH30-'Base Period'!BN50-'Option Period 1'!BN50-#REF!-#REF!-#REF!-#REF!-#REF!-#REF!-#REF!-#REF!,0)</f>
        <v>#REF!</v>
      </c>
    </row>
    <row r="31" spans="2:37" ht="15.75" x14ac:dyDescent="0.25">
      <c r="B31" s="6" t="str">
        <f>'Base Period'!B51</f>
        <v>Name</v>
      </c>
      <c r="C31" s="20">
        <f>'Base Period'!D51</f>
        <v>0</v>
      </c>
      <c r="D31" s="15">
        <f>'Base Period'!BM51</f>
        <v>0</v>
      </c>
      <c r="E31" s="16">
        <f>'Base Period'!BN51</f>
        <v>0</v>
      </c>
      <c r="F31" s="20">
        <f>'Option Period 1'!D51</f>
        <v>0</v>
      </c>
      <c r="G31" s="15">
        <f>'Option Period 1'!BM51</f>
        <v>0</v>
      </c>
      <c r="H31" s="16">
        <f>'Option Period 1'!BN51</f>
        <v>0</v>
      </c>
      <c r="I31" s="20" t="e">
        <f>#REF!</f>
        <v>#REF!</v>
      </c>
      <c r="J31" s="15" t="e">
        <f>#REF!</f>
        <v>#REF!</v>
      </c>
      <c r="K31" s="16" t="e">
        <f>#REF!</f>
        <v>#REF!</v>
      </c>
      <c r="L31" s="20" t="e">
        <f>#REF!</f>
        <v>#REF!</v>
      </c>
      <c r="M31" s="15" t="e">
        <f>#REF!</f>
        <v>#REF!</v>
      </c>
      <c r="N31" s="16" t="e">
        <f>#REF!</f>
        <v>#REF!</v>
      </c>
      <c r="O31" s="20" t="e">
        <f>#REF!</f>
        <v>#REF!</v>
      </c>
      <c r="P31" s="117" t="e">
        <f>#REF!</f>
        <v>#REF!</v>
      </c>
      <c r="Q31" s="16" t="e">
        <f>#REF!</f>
        <v>#REF!</v>
      </c>
      <c r="R31" s="20" t="e">
        <f>#REF!</f>
        <v>#REF!</v>
      </c>
      <c r="S31" s="15" t="e">
        <f>#REF!</f>
        <v>#REF!</v>
      </c>
      <c r="T31" s="16" t="e">
        <f>#REF!</f>
        <v>#REF!</v>
      </c>
      <c r="U31" s="20" t="e">
        <f>#REF!</f>
        <v>#REF!</v>
      </c>
      <c r="V31" s="15" t="e">
        <f>#REF!</f>
        <v>#REF!</v>
      </c>
      <c r="W31" s="16" t="e">
        <f>#REF!</f>
        <v>#REF!</v>
      </c>
      <c r="X31" s="20" t="e">
        <f>#REF!</f>
        <v>#REF!</v>
      </c>
      <c r="Y31" s="15" t="e">
        <f>#REF!</f>
        <v>#REF!</v>
      </c>
      <c r="Z31" s="16" t="e">
        <f>#REF!</f>
        <v>#REF!</v>
      </c>
      <c r="AA31" s="20" t="e">
        <f>#REF!</f>
        <v>#REF!</v>
      </c>
      <c r="AB31" s="15" t="e">
        <f>#REF!</f>
        <v>#REF!</v>
      </c>
      <c r="AC31" s="16" t="e">
        <f>#REF!</f>
        <v>#REF!</v>
      </c>
      <c r="AD31" s="20" t="e">
        <f>#REF!</f>
        <v>#REF!</v>
      </c>
      <c r="AE31" s="15" t="e">
        <f>#REF!</f>
        <v>#REF!</v>
      </c>
      <c r="AF31" s="16" t="e">
        <f>#REF!</f>
        <v>#REF!</v>
      </c>
      <c r="AG31" s="1" t="e">
        <f t="shared" si="0"/>
        <v>#REF!</v>
      </c>
      <c r="AH31" s="11" t="e">
        <f t="shared" si="1"/>
        <v>#REF!</v>
      </c>
      <c r="AK31" s="151" t="e">
        <f>ROUND(AH31-'Base Period'!BN51-'Option Period 1'!BN51-#REF!-#REF!-#REF!-#REF!-#REF!-#REF!-#REF!-#REF!,0)</f>
        <v>#REF!</v>
      </c>
    </row>
    <row r="32" spans="2:37" ht="15.75" x14ac:dyDescent="0.25">
      <c r="B32" s="6" t="str">
        <f>'Base Period'!B52</f>
        <v>Name</v>
      </c>
      <c r="C32" s="20">
        <f>'Base Period'!D52</f>
        <v>0</v>
      </c>
      <c r="D32" s="15">
        <f>'Base Period'!BM52</f>
        <v>0</v>
      </c>
      <c r="E32" s="16">
        <f>'Base Period'!BN52</f>
        <v>0</v>
      </c>
      <c r="F32" s="20">
        <f>'Option Period 1'!D52</f>
        <v>0</v>
      </c>
      <c r="G32" s="15">
        <f>'Option Period 1'!BM52</f>
        <v>0</v>
      </c>
      <c r="H32" s="16">
        <f>'Option Period 1'!BN52</f>
        <v>0</v>
      </c>
      <c r="I32" s="20" t="e">
        <f>#REF!</f>
        <v>#REF!</v>
      </c>
      <c r="J32" s="15" t="e">
        <f>#REF!</f>
        <v>#REF!</v>
      </c>
      <c r="K32" s="16" t="e">
        <f>#REF!</f>
        <v>#REF!</v>
      </c>
      <c r="L32" s="20" t="e">
        <f>#REF!</f>
        <v>#REF!</v>
      </c>
      <c r="M32" s="15" t="e">
        <f>#REF!</f>
        <v>#REF!</v>
      </c>
      <c r="N32" s="16" t="e">
        <f>#REF!</f>
        <v>#REF!</v>
      </c>
      <c r="O32" s="20" t="e">
        <f>#REF!</f>
        <v>#REF!</v>
      </c>
      <c r="P32" s="117" t="e">
        <f>#REF!</f>
        <v>#REF!</v>
      </c>
      <c r="Q32" s="16" t="e">
        <f>#REF!</f>
        <v>#REF!</v>
      </c>
      <c r="R32" s="20" t="e">
        <f>#REF!</f>
        <v>#REF!</v>
      </c>
      <c r="S32" s="15" t="e">
        <f>#REF!</f>
        <v>#REF!</v>
      </c>
      <c r="T32" s="16" t="e">
        <f>#REF!</f>
        <v>#REF!</v>
      </c>
      <c r="U32" s="20" t="e">
        <f>#REF!</f>
        <v>#REF!</v>
      </c>
      <c r="V32" s="15" t="e">
        <f>#REF!</f>
        <v>#REF!</v>
      </c>
      <c r="W32" s="16" t="e">
        <f>#REF!</f>
        <v>#REF!</v>
      </c>
      <c r="X32" s="20" t="e">
        <f>#REF!</f>
        <v>#REF!</v>
      </c>
      <c r="Y32" s="15" t="e">
        <f>#REF!</f>
        <v>#REF!</v>
      </c>
      <c r="Z32" s="16" t="e">
        <f>#REF!</f>
        <v>#REF!</v>
      </c>
      <c r="AA32" s="20" t="e">
        <f>#REF!</f>
        <v>#REF!</v>
      </c>
      <c r="AB32" s="15" t="e">
        <f>#REF!</f>
        <v>#REF!</v>
      </c>
      <c r="AC32" s="16" t="e">
        <f>#REF!</f>
        <v>#REF!</v>
      </c>
      <c r="AD32" s="20" t="e">
        <f>#REF!</f>
        <v>#REF!</v>
      </c>
      <c r="AE32" s="15" t="e">
        <f>#REF!</f>
        <v>#REF!</v>
      </c>
      <c r="AF32" s="16" t="e">
        <f>#REF!</f>
        <v>#REF!</v>
      </c>
      <c r="AG32" s="1" t="e">
        <f t="shared" si="0"/>
        <v>#REF!</v>
      </c>
      <c r="AH32" s="11" t="e">
        <f t="shared" si="1"/>
        <v>#REF!</v>
      </c>
      <c r="AK32" s="151" t="e">
        <f>ROUND(AH32-'Base Period'!BN52-'Option Period 1'!BN52-#REF!-#REF!-#REF!-#REF!-#REF!-#REF!-#REF!-#REF!,0)</f>
        <v>#REF!</v>
      </c>
    </row>
    <row r="33" spans="2:37" ht="15" customHeight="1" x14ac:dyDescent="0.25">
      <c r="B33" s="6" t="str">
        <f>'Base Period'!B53</f>
        <v>Name</v>
      </c>
      <c r="C33" s="20">
        <f>'Base Period'!D53</f>
        <v>0</v>
      </c>
      <c r="D33" s="15">
        <f>'Base Period'!BM53</f>
        <v>0</v>
      </c>
      <c r="E33" s="16">
        <f>'Base Period'!BN53</f>
        <v>0</v>
      </c>
      <c r="F33" s="20">
        <f>'Option Period 1'!D53</f>
        <v>0</v>
      </c>
      <c r="G33" s="15">
        <f>'Option Period 1'!BM53</f>
        <v>0</v>
      </c>
      <c r="H33" s="16">
        <f>'Option Period 1'!BN53</f>
        <v>0</v>
      </c>
      <c r="I33" s="20" t="e">
        <f>#REF!</f>
        <v>#REF!</v>
      </c>
      <c r="J33" s="15" t="e">
        <f>#REF!</f>
        <v>#REF!</v>
      </c>
      <c r="K33" s="16" t="e">
        <f>#REF!</f>
        <v>#REF!</v>
      </c>
      <c r="L33" s="20" t="e">
        <f>#REF!</f>
        <v>#REF!</v>
      </c>
      <c r="M33" s="15" t="e">
        <f>#REF!</f>
        <v>#REF!</v>
      </c>
      <c r="N33" s="16" t="e">
        <f>#REF!</f>
        <v>#REF!</v>
      </c>
      <c r="O33" s="20" t="e">
        <f>#REF!</f>
        <v>#REF!</v>
      </c>
      <c r="P33" s="117" t="e">
        <f>#REF!</f>
        <v>#REF!</v>
      </c>
      <c r="Q33" s="16" t="e">
        <f>#REF!</f>
        <v>#REF!</v>
      </c>
      <c r="R33" s="20" t="e">
        <f>#REF!</f>
        <v>#REF!</v>
      </c>
      <c r="S33" s="15" t="e">
        <f>#REF!</f>
        <v>#REF!</v>
      </c>
      <c r="T33" s="16" t="e">
        <f>#REF!</f>
        <v>#REF!</v>
      </c>
      <c r="U33" s="20" t="e">
        <f>#REF!</f>
        <v>#REF!</v>
      </c>
      <c r="V33" s="15" t="e">
        <f>#REF!</f>
        <v>#REF!</v>
      </c>
      <c r="W33" s="16" t="e">
        <f>#REF!</f>
        <v>#REF!</v>
      </c>
      <c r="X33" s="20" t="e">
        <f>#REF!</f>
        <v>#REF!</v>
      </c>
      <c r="Y33" s="15" t="e">
        <f>#REF!</f>
        <v>#REF!</v>
      </c>
      <c r="Z33" s="16" t="e">
        <f>#REF!</f>
        <v>#REF!</v>
      </c>
      <c r="AA33" s="20" t="e">
        <f>#REF!</f>
        <v>#REF!</v>
      </c>
      <c r="AB33" s="15" t="e">
        <f>#REF!</f>
        <v>#REF!</v>
      </c>
      <c r="AC33" s="16" t="e">
        <f>#REF!</f>
        <v>#REF!</v>
      </c>
      <c r="AD33" s="20" t="e">
        <f>#REF!</f>
        <v>#REF!</v>
      </c>
      <c r="AE33" s="15" t="e">
        <f>#REF!</f>
        <v>#REF!</v>
      </c>
      <c r="AF33" s="16" t="e">
        <f>#REF!</f>
        <v>#REF!</v>
      </c>
      <c r="AG33" s="1" t="e">
        <f t="shared" si="0"/>
        <v>#REF!</v>
      </c>
      <c r="AH33" s="11" t="e">
        <f t="shared" si="1"/>
        <v>#REF!</v>
      </c>
      <c r="AK33" s="151" t="e">
        <f>ROUND(AH33-'Base Period'!BN53-'Option Period 1'!BN53-#REF!-#REF!-#REF!-#REF!-#REF!-#REF!-#REF!-#REF!,0)</f>
        <v>#REF!</v>
      </c>
    </row>
    <row r="34" spans="2:37" ht="15" customHeight="1" x14ac:dyDescent="0.25">
      <c r="B34" s="6" t="str">
        <f>'Base Period'!B54</f>
        <v>Name</v>
      </c>
      <c r="C34" s="20">
        <f>'Base Period'!D54</f>
        <v>0</v>
      </c>
      <c r="D34" s="15">
        <f>'Base Period'!BM54</f>
        <v>0</v>
      </c>
      <c r="E34" s="16">
        <f>'Base Period'!BN54</f>
        <v>0</v>
      </c>
      <c r="F34" s="20">
        <f>'Option Period 1'!D54</f>
        <v>0</v>
      </c>
      <c r="G34" s="15">
        <f>'Option Period 1'!BM54</f>
        <v>0</v>
      </c>
      <c r="H34" s="16">
        <f>'Option Period 1'!BN54</f>
        <v>0</v>
      </c>
      <c r="I34" s="20" t="e">
        <f>#REF!</f>
        <v>#REF!</v>
      </c>
      <c r="J34" s="15" t="e">
        <f>#REF!</f>
        <v>#REF!</v>
      </c>
      <c r="K34" s="16" t="e">
        <f>#REF!</f>
        <v>#REF!</v>
      </c>
      <c r="L34" s="20" t="e">
        <f>#REF!</f>
        <v>#REF!</v>
      </c>
      <c r="M34" s="15" t="e">
        <f>#REF!</f>
        <v>#REF!</v>
      </c>
      <c r="N34" s="16" t="e">
        <f>#REF!</f>
        <v>#REF!</v>
      </c>
      <c r="O34" s="20" t="e">
        <f>#REF!</f>
        <v>#REF!</v>
      </c>
      <c r="P34" s="117" t="e">
        <f>#REF!</f>
        <v>#REF!</v>
      </c>
      <c r="Q34" s="16" t="e">
        <f>#REF!</f>
        <v>#REF!</v>
      </c>
      <c r="R34" s="20" t="e">
        <f>#REF!</f>
        <v>#REF!</v>
      </c>
      <c r="S34" s="15" t="e">
        <f>#REF!</f>
        <v>#REF!</v>
      </c>
      <c r="T34" s="16" t="e">
        <f>#REF!</f>
        <v>#REF!</v>
      </c>
      <c r="U34" s="20" t="e">
        <f>#REF!</f>
        <v>#REF!</v>
      </c>
      <c r="V34" s="15" t="e">
        <f>#REF!</f>
        <v>#REF!</v>
      </c>
      <c r="W34" s="16" t="e">
        <f>#REF!</f>
        <v>#REF!</v>
      </c>
      <c r="X34" s="20" t="e">
        <f>#REF!</f>
        <v>#REF!</v>
      </c>
      <c r="Y34" s="15" t="e">
        <f>#REF!</f>
        <v>#REF!</v>
      </c>
      <c r="Z34" s="16" t="e">
        <f>#REF!</f>
        <v>#REF!</v>
      </c>
      <c r="AA34" s="20" t="e">
        <f>#REF!</f>
        <v>#REF!</v>
      </c>
      <c r="AB34" s="15" t="e">
        <f>#REF!</f>
        <v>#REF!</v>
      </c>
      <c r="AC34" s="16" t="e">
        <f>#REF!</f>
        <v>#REF!</v>
      </c>
      <c r="AD34" s="20" t="e">
        <f>#REF!</f>
        <v>#REF!</v>
      </c>
      <c r="AE34" s="15" t="e">
        <f>#REF!</f>
        <v>#REF!</v>
      </c>
      <c r="AF34" s="16" t="e">
        <f>#REF!</f>
        <v>#REF!</v>
      </c>
      <c r="AG34" s="1" t="e">
        <f t="shared" si="0"/>
        <v>#REF!</v>
      </c>
      <c r="AH34" s="11" t="e">
        <f t="shared" si="1"/>
        <v>#REF!</v>
      </c>
      <c r="AK34" s="151" t="e">
        <f>ROUND(AH34-'Base Period'!BN54-'Option Period 1'!BN54-#REF!-#REF!-#REF!-#REF!-#REF!-#REF!-#REF!-#REF!,0)</f>
        <v>#REF!</v>
      </c>
    </row>
    <row r="35" spans="2:37" ht="15" customHeight="1" x14ac:dyDescent="0.25">
      <c r="B35" s="6" t="str">
        <f>'Base Period'!B55</f>
        <v>Name</v>
      </c>
      <c r="C35" s="20">
        <f>'Base Period'!D55</f>
        <v>0</v>
      </c>
      <c r="D35" s="15">
        <f>'Base Period'!BM55</f>
        <v>0</v>
      </c>
      <c r="E35" s="16">
        <f>'Base Period'!BN55</f>
        <v>0</v>
      </c>
      <c r="F35" s="20">
        <f>'Option Period 1'!D55</f>
        <v>0</v>
      </c>
      <c r="G35" s="15">
        <f>'Option Period 1'!BM55</f>
        <v>0</v>
      </c>
      <c r="H35" s="16">
        <f>'Option Period 1'!BN55</f>
        <v>0</v>
      </c>
      <c r="I35" s="20" t="e">
        <f>#REF!</f>
        <v>#REF!</v>
      </c>
      <c r="J35" s="15" t="e">
        <f>#REF!</f>
        <v>#REF!</v>
      </c>
      <c r="K35" s="16" t="e">
        <f>#REF!</f>
        <v>#REF!</v>
      </c>
      <c r="L35" s="20" t="e">
        <f>#REF!</f>
        <v>#REF!</v>
      </c>
      <c r="M35" s="15" t="e">
        <f>#REF!</f>
        <v>#REF!</v>
      </c>
      <c r="N35" s="16" t="e">
        <f>#REF!</f>
        <v>#REF!</v>
      </c>
      <c r="O35" s="20" t="e">
        <f>#REF!</f>
        <v>#REF!</v>
      </c>
      <c r="P35" s="117" t="e">
        <f>#REF!</f>
        <v>#REF!</v>
      </c>
      <c r="Q35" s="16" t="e">
        <f>#REF!</f>
        <v>#REF!</v>
      </c>
      <c r="R35" s="20" t="e">
        <f>#REF!</f>
        <v>#REF!</v>
      </c>
      <c r="S35" s="15" t="e">
        <f>#REF!</f>
        <v>#REF!</v>
      </c>
      <c r="T35" s="16" t="e">
        <f>#REF!</f>
        <v>#REF!</v>
      </c>
      <c r="U35" s="20" t="e">
        <f>#REF!</f>
        <v>#REF!</v>
      </c>
      <c r="V35" s="15" t="e">
        <f>#REF!</f>
        <v>#REF!</v>
      </c>
      <c r="W35" s="16" t="e">
        <f>#REF!</f>
        <v>#REF!</v>
      </c>
      <c r="X35" s="20" t="e">
        <f>#REF!</f>
        <v>#REF!</v>
      </c>
      <c r="Y35" s="15" t="e">
        <f>#REF!</f>
        <v>#REF!</v>
      </c>
      <c r="Z35" s="16" t="e">
        <f>#REF!</f>
        <v>#REF!</v>
      </c>
      <c r="AA35" s="20" t="e">
        <f>#REF!</f>
        <v>#REF!</v>
      </c>
      <c r="AB35" s="15" t="e">
        <f>#REF!</f>
        <v>#REF!</v>
      </c>
      <c r="AC35" s="16" t="e">
        <f>#REF!</f>
        <v>#REF!</v>
      </c>
      <c r="AD35" s="20" t="e">
        <f>#REF!</f>
        <v>#REF!</v>
      </c>
      <c r="AE35" s="15" t="e">
        <f>#REF!</f>
        <v>#REF!</v>
      </c>
      <c r="AF35" s="16" t="e">
        <f>#REF!</f>
        <v>#REF!</v>
      </c>
      <c r="AG35" s="1" t="e">
        <f t="shared" si="0"/>
        <v>#REF!</v>
      </c>
      <c r="AH35" s="11" t="e">
        <f t="shared" si="1"/>
        <v>#REF!</v>
      </c>
      <c r="AK35" s="151" t="e">
        <f>ROUND(AH35-'Base Period'!BN55-'Option Period 1'!BN55-#REF!-#REF!-#REF!-#REF!-#REF!-#REF!-#REF!-#REF!,0)</f>
        <v>#REF!</v>
      </c>
    </row>
    <row r="36" spans="2:37" ht="15" customHeight="1" x14ac:dyDescent="0.25">
      <c r="B36" s="6" t="str">
        <f>'Base Period'!B56</f>
        <v>Name</v>
      </c>
      <c r="C36" s="20">
        <f>'Base Period'!D56</f>
        <v>0</v>
      </c>
      <c r="D36" s="15">
        <f>'Base Period'!BM56</f>
        <v>0</v>
      </c>
      <c r="E36" s="16">
        <f>'Base Period'!BN56</f>
        <v>0</v>
      </c>
      <c r="F36" s="20">
        <f>'Option Period 1'!D56</f>
        <v>0</v>
      </c>
      <c r="G36" s="15">
        <f>'Option Period 1'!BM56</f>
        <v>0</v>
      </c>
      <c r="H36" s="16">
        <f>'Option Period 1'!BN56</f>
        <v>0</v>
      </c>
      <c r="I36" s="20" t="e">
        <f>#REF!</f>
        <v>#REF!</v>
      </c>
      <c r="J36" s="15" t="e">
        <f>#REF!</f>
        <v>#REF!</v>
      </c>
      <c r="K36" s="16" t="e">
        <f>#REF!</f>
        <v>#REF!</v>
      </c>
      <c r="L36" s="20" t="e">
        <f>#REF!</f>
        <v>#REF!</v>
      </c>
      <c r="M36" s="15" t="e">
        <f>#REF!</f>
        <v>#REF!</v>
      </c>
      <c r="N36" s="16" t="e">
        <f>#REF!</f>
        <v>#REF!</v>
      </c>
      <c r="O36" s="20" t="e">
        <f>#REF!</f>
        <v>#REF!</v>
      </c>
      <c r="P36" s="117" t="e">
        <f>#REF!</f>
        <v>#REF!</v>
      </c>
      <c r="Q36" s="16" t="e">
        <f>#REF!</f>
        <v>#REF!</v>
      </c>
      <c r="R36" s="20" t="e">
        <f>#REF!</f>
        <v>#REF!</v>
      </c>
      <c r="S36" s="15" t="e">
        <f>#REF!</f>
        <v>#REF!</v>
      </c>
      <c r="T36" s="16" t="e">
        <f>#REF!</f>
        <v>#REF!</v>
      </c>
      <c r="U36" s="20" t="e">
        <f>#REF!</f>
        <v>#REF!</v>
      </c>
      <c r="V36" s="15" t="e">
        <f>#REF!</f>
        <v>#REF!</v>
      </c>
      <c r="W36" s="16" t="e">
        <f>#REF!</f>
        <v>#REF!</v>
      </c>
      <c r="X36" s="20" t="e">
        <f>#REF!</f>
        <v>#REF!</v>
      </c>
      <c r="Y36" s="15" t="e">
        <f>#REF!</f>
        <v>#REF!</v>
      </c>
      <c r="Z36" s="16" t="e">
        <f>#REF!</f>
        <v>#REF!</v>
      </c>
      <c r="AA36" s="20" t="e">
        <f>#REF!</f>
        <v>#REF!</v>
      </c>
      <c r="AB36" s="15" t="e">
        <f>#REF!</f>
        <v>#REF!</v>
      </c>
      <c r="AC36" s="16" t="e">
        <f>#REF!</f>
        <v>#REF!</v>
      </c>
      <c r="AD36" s="20" t="e">
        <f>#REF!</f>
        <v>#REF!</v>
      </c>
      <c r="AE36" s="15" t="e">
        <f>#REF!</f>
        <v>#REF!</v>
      </c>
      <c r="AF36" s="16" t="e">
        <f>#REF!</f>
        <v>#REF!</v>
      </c>
      <c r="AG36" s="1" t="e">
        <f t="shared" si="0"/>
        <v>#REF!</v>
      </c>
      <c r="AH36" s="11" t="e">
        <f t="shared" si="1"/>
        <v>#REF!</v>
      </c>
      <c r="AK36" s="151" t="e">
        <f>ROUND(AH36-'Base Period'!BN56-'Option Period 1'!BN56-#REF!-#REF!-#REF!-#REF!-#REF!-#REF!-#REF!-#REF!,0)</f>
        <v>#REF!</v>
      </c>
    </row>
    <row r="37" spans="2:37" ht="15" customHeight="1" x14ac:dyDescent="0.25">
      <c r="B37" s="6" t="str">
        <f>'Base Period'!B57</f>
        <v>Name</v>
      </c>
      <c r="C37" s="20">
        <f>'Base Period'!D57</f>
        <v>0</v>
      </c>
      <c r="D37" s="15">
        <f>'Base Period'!BM57</f>
        <v>0</v>
      </c>
      <c r="E37" s="16">
        <f>'Base Period'!BN57</f>
        <v>0</v>
      </c>
      <c r="F37" s="20">
        <f>'Option Period 1'!D57</f>
        <v>0</v>
      </c>
      <c r="G37" s="15">
        <f>'Option Period 1'!BM57</f>
        <v>0</v>
      </c>
      <c r="H37" s="16">
        <f>'Option Period 1'!BN57</f>
        <v>0</v>
      </c>
      <c r="I37" s="20" t="e">
        <f>#REF!</f>
        <v>#REF!</v>
      </c>
      <c r="J37" s="15" t="e">
        <f>#REF!</f>
        <v>#REF!</v>
      </c>
      <c r="K37" s="16" t="e">
        <f>#REF!</f>
        <v>#REF!</v>
      </c>
      <c r="L37" s="20" t="e">
        <f>#REF!</f>
        <v>#REF!</v>
      </c>
      <c r="M37" s="15" t="e">
        <f>#REF!</f>
        <v>#REF!</v>
      </c>
      <c r="N37" s="16" t="e">
        <f>#REF!</f>
        <v>#REF!</v>
      </c>
      <c r="O37" s="20" t="e">
        <f>#REF!</f>
        <v>#REF!</v>
      </c>
      <c r="P37" s="117" t="e">
        <f>#REF!</f>
        <v>#REF!</v>
      </c>
      <c r="Q37" s="16" t="e">
        <f>#REF!</f>
        <v>#REF!</v>
      </c>
      <c r="R37" s="20" t="e">
        <f>#REF!</f>
        <v>#REF!</v>
      </c>
      <c r="S37" s="15" t="e">
        <f>#REF!</f>
        <v>#REF!</v>
      </c>
      <c r="T37" s="16" t="e">
        <f>#REF!</f>
        <v>#REF!</v>
      </c>
      <c r="U37" s="20" t="e">
        <f>#REF!</f>
        <v>#REF!</v>
      </c>
      <c r="V37" s="15" t="e">
        <f>#REF!</f>
        <v>#REF!</v>
      </c>
      <c r="W37" s="16" t="e">
        <f>#REF!</f>
        <v>#REF!</v>
      </c>
      <c r="X37" s="20" t="e">
        <f>#REF!</f>
        <v>#REF!</v>
      </c>
      <c r="Y37" s="15" t="e">
        <f>#REF!</f>
        <v>#REF!</v>
      </c>
      <c r="Z37" s="16" t="e">
        <f>#REF!</f>
        <v>#REF!</v>
      </c>
      <c r="AA37" s="20" t="e">
        <f>#REF!</f>
        <v>#REF!</v>
      </c>
      <c r="AB37" s="15" t="e">
        <f>#REF!</f>
        <v>#REF!</v>
      </c>
      <c r="AC37" s="16" t="e">
        <f>#REF!</f>
        <v>#REF!</v>
      </c>
      <c r="AD37" s="20" t="e">
        <f>#REF!</f>
        <v>#REF!</v>
      </c>
      <c r="AE37" s="15" t="e">
        <f>#REF!</f>
        <v>#REF!</v>
      </c>
      <c r="AF37" s="16" t="e">
        <f>#REF!</f>
        <v>#REF!</v>
      </c>
      <c r="AG37" s="1" t="e">
        <f t="shared" si="0"/>
        <v>#REF!</v>
      </c>
      <c r="AH37" s="11" t="e">
        <f t="shared" si="1"/>
        <v>#REF!</v>
      </c>
      <c r="AK37" s="151" t="e">
        <f>ROUND(AH37-'Base Period'!BN57-'Option Period 1'!BN57-#REF!-#REF!-#REF!-#REF!-#REF!-#REF!-#REF!-#REF!,0)</f>
        <v>#REF!</v>
      </c>
    </row>
    <row r="38" spans="2:37" ht="15" customHeight="1" x14ac:dyDescent="0.25">
      <c r="B38" s="6" t="str">
        <f>'Base Period'!B58</f>
        <v>Name</v>
      </c>
      <c r="C38" s="20">
        <f>'Base Period'!D58</f>
        <v>0</v>
      </c>
      <c r="D38" s="15">
        <f>'Base Period'!BM58</f>
        <v>0</v>
      </c>
      <c r="E38" s="16">
        <f>'Base Period'!BN58</f>
        <v>0</v>
      </c>
      <c r="F38" s="20">
        <f>'Option Period 1'!D58</f>
        <v>0</v>
      </c>
      <c r="G38" s="15">
        <f>'Option Period 1'!BM58</f>
        <v>0</v>
      </c>
      <c r="H38" s="16">
        <f>'Option Period 1'!BN58</f>
        <v>0</v>
      </c>
      <c r="I38" s="20" t="e">
        <f>#REF!</f>
        <v>#REF!</v>
      </c>
      <c r="J38" s="15" t="e">
        <f>#REF!</f>
        <v>#REF!</v>
      </c>
      <c r="K38" s="16" t="e">
        <f>#REF!</f>
        <v>#REF!</v>
      </c>
      <c r="L38" s="20" t="e">
        <f>#REF!</f>
        <v>#REF!</v>
      </c>
      <c r="M38" s="15" t="e">
        <f>#REF!</f>
        <v>#REF!</v>
      </c>
      <c r="N38" s="16" t="e">
        <f>#REF!</f>
        <v>#REF!</v>
      </c>
      <c r="O38" s="20" t="e">
        <f>#REF!</f>
        <v>#REF!</v>
      </c>
      <c r="P38" s="117" t="e">
        <f>#REF!</f>
        <v>#REF!</v>
      </c>
      <c r="Q38" s="118" t="e">
        <f>#REF!</f>
        <v>#REF!</v>
      </c>
      <c r="R38" s="20" t="e">
        <f>#REF!</f>
        <v>#REF!</v>
      </c>
      <c r="S38" s="15" t="e">
        <f>#REF!</f>
        <v>#REF!</v>
      </c>
      <c r="T38" s="16" t="e">
        <f>#REF!</f>
        <v>#REF!</v>
      </c>
      <c r="U38" s="20" t="e">
        <f>#REF!</f>
        <v>#REF!</v>
      </c>
      <c r="V38" s="15" t="e">
        <f>#REF!</f>
        <v>#REF!</v>
      </c>
      <c r="W38" s="16" t="e">
        <f>#REF!</f>
        <v>#REF!</v>
      </c>
      <c r="X38" s="20" t="e">
        <f>#REF!</f>
        <v>#REF!</v>
      </c>
      <c r="Y38" s="15" t="e">
        <f>#REF!</f>
        <v>#REF!</v>
      </c>
      <c r="Z38" s="16" t="e">
        <f>#REF!</f>
        <v>#REF!</v>
      </c>
      <c r="AA38" s="20" t="e">
        <f>#REF!</f>
        <v>#REF!</v>
      </c>
      <c r="AB38" s="15" t="e">
        <f>#REF!</f>
        <v>#REF!</v>
      </c>
      <c r="AC38" s="16" t="e">
        <f>#REF!</f>
        <v>#REF!</v>
      </c>
      <c r="AD38" s="20" t="e">
        <f>#REF!</f>
        <v>#REF!</v>
      </c>
      <c r="AE38" s="15" t="e">
        <f>#REF!</f>
        <v>#REF!</v>
      </c>
      <c r="AF38" s="16" t="e">
        <f>#REF!</f>
        <v>#REF!</v>
      </c>
      <c r="AG38" s="1" t="e">
        <f t="shared" si="0"/>
        <v>#REF!</v>
      </c>
      <c r="AH38" s="11" t="e">
        <f t="shared" si="1"/>
        <v>#REF!</v>
      </c>
      <c r="AK38" s="151" t="e">
        <f>ROUND(AH38-'Base Period'!BN58-'Option Period 1'!BN58-#REF!-#REF!-#REF!-#REF!-#REF!-#REF!-#REF!-#REF!,0)</f>
        <v>#REF!</v>
      </c>
    </row>
    <row r="39" spans="2:37" ht="15" customHeight="1" x14ac:dyDescent="0.25">
      <c r="B39" s="6" t="str">
        <f>'Base Period'!B59</f>
        <v>Name</v>
      </c>
      <c r="C39" s="20">
        <f>'Base Period'!D59</f>
        <v>0</v>
      </c>
      <c r="D39" s="15">
        <f>'Base Period'!BM59</f>
        <v>0</v>
      </c>
      <c r="E39" s="16">
        <f>'Base Period'!BN59</f>
        <v>0</v>
      </c>
      <c r="F39" s="20">
        <f>'Option Period 1'!D59</f>
        <v>0</v>
      </c>
      <c r="G39" s="15">
        <f>'Option Period 1'!BM59</f>
        <v>0</v>
      </c>
      <c r="H39" s="16">
        <f>'Option Period 1'!BN59</f>
        <v>0</v>
      </c>
      <c r="I39" s="20" t="e">
        <f>#REF!</f>
        <v>#REF!</v>
      </c>
      <c r="J39" s="15" t="e">
        <f>#REF!</f>
        <v>#REF!</v>
      </c>
      <c r="K39" s="16" t="e">
        <f>#REF!</f>
        <v>#REF!</v>
      </c>
      <c r="L39" s="20" t="e">
        <f>#REF!</f>
        <v>#REF!</v>
      </c>
      <c r="M39" s="15" t="e">
        <f>#REF!</f>
        <v>#REF!</v>
      </c>
      <c r="N39" s="16" t="e">
        <f>#REF!</f>
        <v>#REF!</v>
      </c>
      <c r="O39" s="20" t="e">
        <f>#REF!</f>
        <v>#REF!</v>
      </c>
      <c r="P39" s="117" t="e">
        <f>#REF!</f>
        <v>#REF!</v>
      </c>
      <c r="Q39" s="16" t="e">
        <f>#REF!</f>
        <v>#REF!</v>
      </c>
      <c r="R39" s="20" t="e">
        <f>#REF!</f>
        <v>#REF!</v>
      </c>
      <c r="S39" s="15" t="e">
        <f>#REF!</f>
        <v>#REF!</v>
      </c>
      <c r="T39" s="16" t="e">
        <f>#REF!</f>
        <v>#REF!</v>
      </c>
      <c r="U39" s="20" t="e">
        <f>#REF!</f>
        <v>#REF!</v>
      </c>
      <c r="V39" s="15" t="e">
        <f>#REF!</f>
        <v>#REF!</v>
      </c>
      <c r="W39" s="16" t="e">
        <f>#REF!</f>
        <v>#REF!</v>
      </c>
      <c r="X39" s="20" t="e">
        <f>#REF!</f>
        <v>#REF!</v>
      </c>
      <c r="Y39" s="15" t="e">
        <f>#REF!</f>
        <v>#REF!</v>
      </c>
      <c r="Z39" s="16" t="e">
        <f>#REF!</f>
        <v>#REF!</v>
      </c>
      <c r="AA39" s="20" t="e">
        <f>#REF!</f>
        <v>#REF!</v>
      </c>
      <c r="AB39" s="15" t="e">
        <f>#REF!</f>
        <v>#REF!</v>
      </c>
      <c r="AC39" s="16" t="e">
        <f>#REF!</f>
        <v>#REF!</v>
      </c>
      <c r="AD39" s="20" t="e">
        <f>#REF!</f>
        <v>#REF!</v>
      </c>
      <c r="AE39" s="15" t="e">
        <f>#REF!</f>
        <v>#REF!</v>
      </c>
      <c r="AF39" s="16" t="e">
        <f>#REF!</f>
        <v>#REF!</v>
      </c>
      <c r="AG39" s="1" t="e">
        <f t="shared" si="0"/>
        <v>#REF!</v>
      </c>
      <c r="AH39" s="11" t="e">
        <f t="shared" si="1"/>
        <v>#REF!</v>
      </c>
      <c r="AK39" s="151" t="e">
        <f>ROUND(AH39-'Base Period'!BN59-'Option Period 1'!BN59-#REF!-#REF!-#REF!-#REF!-#REF!-#REF!-#REF!-#REF!,0)</f>
        <v>#REF!</v>
      </c>
    </row>
    <row r="40" spans="2:37" ht="15" customHeight="1" x14ac:dyDescent="0.25">
      <c r="B40" s="6" t="str">
        <f>'Base Period'!B60</f>
        <v>Name</v>
      </c>
      <c r="C40" s="20">
        <f>'Base Period'!D60</f>
        <v>0</v>
      </c>
      <c r="D40" s="15">
        <f>'Base Period'!BM60</f>
        <v>0</v>
      </c>
      <c r="E40" s="16">
        <f>'Base Period'!BN60</f>
        <v>0</v>
      </c>
      <c r="F40" s="20">
        <f>'Option Period 1'!D60</f>
        <v>0</v>
      </c>
      <c r="G40" s="15">
        <f>'Option Period 1'!BM60</f>
        <v>0</v>
      </c>
      <c r="H40" s="16">
        <f>'Option Period 1'!BN60</f>
        <v>0</v>
      </c>
      <c r="I40" s="20" t="e">
        <f>#REF!</f>
        <v>#REF!</v>
      </c>
      <c r="J40" s="15" t="e">
        <f>#REF!</f>
        <v>#REF!</v>
      </c>
      <c r="K40" s="16" t="e">
        <f>#REF!</f>
        <v>#REF!</v>
      </c>
      <c r="L40" s="20" t="e">
        <f>#REF!</f>
        <v>#REF!</v>
      </c>
      <c r="M40" s="15" t="e">
        <f>#REF!</f>
        <v>#REF!</v>
      </c>
      <c r="N40" s="16" t="e">
        <f>#REF!</f>
        <v>#REF!</v>
      </c>
      <c r="O40" s="20" t="e">
        <f>#REF!</f>
        <v>#REF!</v>
      </c>
      <c r="P40" s="117" t="e">
        <f>#REF!</f>
        <v>#REF!</v>
      </c>
      <c r="Q40" s="16" t="e">
        <f>#REF!</f>
        <v>#REF!</v>
      </c>
      <c r="R40" s="20" t="e">
        <f>#REF!</f>
        <v>#REF!</v>
      </c>
      <c r="S40" s="15" t="e">
        <f>#REF!</f>
        <v>#REF!</v>
      </c>
      <c r="T40" s="16" t="e">
        <f>#REF!</f>
        <v>#REF!</v>
      </c>
      <c r="U40" s="20" t="e">
        <f>#REF!</f>
        <v>#REF!</v>
      </c>
      <c r="V40" s="15" t="e">
        <f>#REF!</f>
        <v>#REF!</v>
      </c>
      <c r="W40" s="16" t="e">
        <f>#REF!</f>
        <v>#REF!</v>
      </c>
      <c r="X40" s="20" t="e">
        <f>#REF!</f>
        <v>#REF!</v>
      </c>
      <c r="Y40" s="15" t="e">
        <f>#REF!</f>
        <v>#REF!</v>
      </c>
      <c r="Z40" s="16" t="e">
        <f>#REF!</f>
        <v>#REF!</v>
      </c>
      <c r="AA40" s="20" t="e">
        <f>#REF!</f>
        <v>#REF!</v>
      </c>
      <c r="AB40" s="15" t="e">
        <f>#REF!</f>
        <v>#REF!</v>
      </c>
      <c r="AC40" s="16" t="e">
        <f>#REF!</f>
        <v>#REF!</v>
      </c>
      <c r="AD40" s="20" t="e">
        <f>#REF!</f>
        <v>#REF!</v>
      </c>
      <c r="AE40" s="15" t="e">
        <f>#REF!</f>
        <v>#REF!</v>
      </c>
      <c r="AF40" s="16" t="e">
        <f>#REF!</f>
        <v>#REF!</v>
      </c>
      <c r="AG40" s="1" t="e">
        <f t="shared" si="0"/>
        <v>#REF!</v>
      </c>
      <c r="AH40" s="11" t="e">
        <f t="shared" si="1"/>
        <v>#REF!</v>
      </c>
      <c r="AK40" s="151" t="e">
        <f>ROUND(AH40-'Base Period'!BN60-'Option Period 1'!BN60-#REF!-#REF!-#REF!-#REF!-#REF!-#REF!-#REF!-#REF!,0)</f>
        <v>#REF!</v>
      </c>
    </row>
    <row r="41" spans="2:37" ht="15" customHeight="1" x14ac:dyDescent="0.25">
      <c r="B41" s="6" t="str">
        <f>'Base Period'!B61</f>
        <v>Name</v>
      </c>
      <c r="C41" s="20">
        <f>'Base Period'!D61</f>
        <v>0</v>
      </c>
      <c r="D41" s="15">
        <f>'Base Period'!BM61</f>
        <v>0</v>
      </c>
      <c r="E41" s="16">
        <f>'Base Period'!BN61</f>
        <v>0</v>
      </c>
      <c r="F41" s="20">
        <f>'Option Period 1'!D61</f>
        <v>0</v>
      </c>
      <c r="G41" s="15">
        <f>'Option Period 1'!BM61</f>
        <v>0</v>
      </c>
      <c r="H41" s="16">
        <f>'Option Period 1'!BN61</f>
        <v>0</v>
      </c>
      <c r="I41" s="20" t="e">
        <f>#REF!</f>
        <v>#REF!</v>
      </c>
      <c r="J41" s="15" t="e">
        <f>#REF!</f>
        <v>#REF!</v>
      </c>
      <c r="K41" s="16" t="e">
        <f>#REF!</f>
        <v>#REF!</v>
      </c>
      <c r="L41" s="20" t="e">
        <f>#REF!</f>
        <v>#REF!</v>
      </c>
      <c r="M41" s="15" t="e">
        <f>#REF!</f>
        <v>#REF!</v>
      </c>
      <c r="N41" s="16" t="e">
        <f>#REF!</f>
        <v>#REF!</v>
      </c>
      <c r="O41" s="20" t="e">
        <f>#REF!</f>
        <v>#REF!</v>
      </c>
      <c r="P41" s="117" t="e">
        <f>#REF!</f>
        <v>#REF!</v>
      </c>
      <c r="Q41" s="16" t="e">
        <f>#REF!</f>
        <v>#REF!</v>
      </c>
      <c r="R41" s="20" t="e">
        <f>#REF!</f>
        <v>#REF!</v>
      </c>
      <c r="S41" s="15" t="e">
        <f>#REF!</f>
        <v>#REF!</v>
      </c>
      <c r="T41" s="16" t="e">
        <f>#REF!</f>
        <v>#REF!</v>
      </c>
      <c r="U41" s="20" t="e">
        <f>#REF!</f>
        <v>#REF!</v>
      </c>
      <c r="V41" s="15" t="e">
        <f>#REF!</f>
        <v>#REF!</v>
      </c>
      <c r="W41" s="16" t="e">
        <f>#REF!</f>
        <v>#REF!</v>
      </c>
      <c r="X41" s="20" t="e">
        <f>#REF!</f>
        <v>#REF!</v>
      </c>
      <c r="Y41" s="15" t="e">
        <f>#REF!</f>
        <v>#REF!</v>
      </c>
      <c r="Z41" s="16" t="e">
        <f>#REF!</f>
        <v>#REF!</v>
      </c>
      <c r="AA41" s="20" t="e">
        <f>#REF!</f>
        <v>#REF!</v>
      </c>
      <c r="AB41" s="15" t="e">
        <f>#REF!</f>
        <v>#REF!</v>
      </c>
      <c r="AC41" s="16" t="e">
        <f>#REF!</f>
        <v>#REF!</v>
      </c>
      <c r="AD41" s="20" t="e">
        <f>#REF!</f>
        <v>#REF!</v>
      </c>
      <c r="AE41" s="15" t="e">
        <f>#REF!</f>
        <v>#REF!</v>
      </c>
      <c r="AF41" s="16" t="e">
        <f>#REF!</f>
        <v>#REF!</v>
      </c>
      <c r="AG41" s="1" t="e">
        <f t="shared" si="0"/>
        <v>#REF!</v>
      </c>
      <c r="AH41" s="11" t="e">
        <f t="shared" si="1"/>
        <v>#REF!</v>
      </c>
      <c r="AK41" s="151" t="e">
        <f>ROUND(AH41-'Base Period'!BN61-'Option Period 1'!BN61-#REF!-#REF!-#REF!-#REF!-#REF!-#REF!-#REF!-#REF!,0)</f>
        <v>#REF!</v>
      </c>
    </row>
    <row r="42" spans="2:37" ht="15" customHeight="1" x14ac:dyDescent="0.25">
      <c r="B42" s="6" t="str">
        <f>'Base Period'!B62</f>
        <v>Name</v>
      </c>
      <c r="C42" s="20">
        <f>'Base Period'!D62</f>
        <v>0</v>
      </c>
      <c r="D42" s="15">
        <f>'Base Period'!BM62</f>
        <v>0</v>
      </c>
      <c r="E42" s="16">
        <f>'Base Period'!BN62</f>
        <v>0</v>
      </c>
      <c r="F42" s="20">
        <f>'Option Period 1'!D62</f>
        <v>0</v>
      </c>
      <c r="G42" s="15">
        <f>'Option Period 1'!BM62</f>
        <v>0</v>
      </c>
      <c r="H42" s="16">
        <f>'Option Period 1'!BN62</f>
        <v>0</v>
      </c>
      <c r="I42" s="20" t="e">
        <f>#REF!</f>
        <v>#REF!</v>
      </c>
      <c r="J42" s="15" t="e">
        <f>#REF!</f>
        <v>#REF!</v>
      </c>
      <c r="K42" s="16" t="e">
        <f>#REF!</f>
        <v>#REF!</v>
      </c>
      <c r="L42" s="20" t="e">
        <f>#REF!</f>
        <v>#REF!</v>
      </c>
      <c r="M42" s="15" t="e">
        <f>#REF!</f>
        <v>#REF!</v>
      </c>
      <c r="N42" s="16" t="e">
        <f>#REF!</f>
        <v>#REF!</v>
      </c>
      <c r="O42" s="20" t="e">
        <f>#REF!</f>
        <v>#REF!</v>
      </c>
      <c r="P42" s="117" t="e">
        <f>#REF!</f>
        <v>#REF!</v>
      </c>
      <c r="Q42" s="16" t="e">
        <f>#REF!</f>
        <v>#REF!</v>
      </c>
      <c r="R42" s="20" t="e">
        <f>#REF!</f>
        <v>#REF!</v>
      </c>
      <c r="S42" s="15" t="e">
        <f>#REF!</f>
        <v>#REF!</v>
      </c>
      <c r="T42" s="16" t="e">
        <f>#REF!</f>
        <v>#REF!</v>
      </c>
      <c r="U42" s="20" t="e">
        <f>#REF!</f>
        <v>#REF!</v>
      </c>
      <c r="V42" s="15" t="e">
        <f>#REF!</f>
        <v>#REF!</v>
      </c>
      <c r="W42" s="16" t="e">
        <f>#REF!</f>
        <v>#REF!</v>
      </c>
      <c r="X42" s="20" t="e">
        <f>#REF!</f>
        <v>#REF!</v>
      </c>
      <c r="Y42" s="15" t="e">
        <f>#REF!</f>
        <v>#REF!</v>
      </c>
      <c r="Z42" s="16" t="e">
        <f>#REF!</f>
        <v>#REF!</v>
      </c>
      <c r="AA42" s="20" t="e">
        <f>#REF!</f>
        <v>#REF!</v>
      </c>
      <c r="AB42" s="15" t="e">
        <f>#REF!</f>
        <v>#REF!</v>
      </c>
      <c r="AC42" s="16" t="e">
        <f>#REF!</f>
        <v>#REF!</v>
      </c>
      <c r="AD42" s="20" t="e">
        <f>#REF!</f>
        <v>#REF!</v>
      </c>
      <c r="AE42" s="15" t="e">
        <f>#REF!</f>
        <v>#REF!</v>
      </c>
      <c r="AF42" s="16" t="e">
        <f>#REF!</f>
        <v>#REF!</v>
      </c>
      <c r="AG42" s="1" t="e">
        <f t="shared" si="0"/>
        <v>#REF!</v>
      </c>
      <c r="AH42" s="11" t="e">
        <f t="shared" si="1"/>
        <v>#REF!</v>
      </c>
      <c r="AK42" s="151" t="e">
        <f>ROUND(AH42-'Base Period'!BN62-'Option Period 1'!BN62-#REF!-#REF!-#REF!-#REF!-#REF!-#REF!-#REF!-#REF!,0)</f>
        <v>#REF!</v>
      </c>
    </row>
    <row r="43" spans="2:37" ht="15.75" x14ac:dyDescent="0.25">
      <c r="B43" s="2"/>
      <c r="C43" s="21"/>
      <c r="D43" s="17"/>
      <c r="E43" s="24"/>
      <c r="G43" s="17"/>
      <c r="H43" s="24"/>
      <c r="J43" s="17"/>
      <c r="K43" s="24"/>
      <c r="M43" s="17"/>
      <c r="N43" s="24"/>
      <c r="P43" s="17"/>
      <c r="Q43" s="24"/>
      <c r="S43" s="17"/>
      <c r="T43" s="24"/>
      <c r="V43" s="17"/>
      <c r="W43" s="24"/>
      <c r="Y43" s="17"/>
      <c r="Z43" s="24"/>
      <c r="AB43" s="17"/>
      <c r="AC43" s="24"/>
      <c r="AE43" s="17"/>
      <c r="AF43" s="24"/>
      <c r="AG43" s="1"/>
      <c r="AH43" s="11"/>
      <c r="AK43" s="149"/>
    </row>
    <row r="44" spans="2:37" ht="15.75" x14ac:dyDescent="0.25">
      <c r="B44" t="s">
        <v>136</v>
      </c>
      <c r="C44" s="5"/>
      <c r="D44" s="24"/>
      <c r="E44" s="24">
        <f>SUM(E13:E43)</f>
        <v>857</v>
      </c>
      <c r="F44" s="24"/>
      <c r="G44" s="5"/>
      <c r="H44" s="24">
        <f>SUM(H13:H43)</f>
        <v>2917</v>
      </c>
      <c r="I44" s="5"/>
      <c r="J44" s="24"/>
      <c r="K44" s="24" t="e">
        <f>SUM(K13:K43)</f>
        <v>#REF!</v>
      </c>
      <c r="L44" s="24"/>
      <c r="M44" s="5"/>
      <c r="N44" s="24" t="e">
        <f>SUM(N13:N43)</f>
        <v>#REF!</v>
      </c>
      <c r="O44" s="5"/>
      <c r="P44" s="24"/>
      <c r="Q44" s="24" t="e">
        <f>SUM(Q13:Q43)</f>
        <v>#REF!</v>
      </c>
      <c r="R44" s="24"/>
      <c r="S44" s="5"/>
      <c r="T44" s="24" t="e">
        <f>SUM(T13:T43)</f>
        <v>#REF!</v>
      </c>
      <c r="U44" s="5"/>
      <c r="V44" s="24"/>
      <c r="W44" s="24" t="e">
        <f>SUM(W13:W43)</f>
        <v>#REF!</v>
      </c>
      <c r="X44" s="24"/>
      <c r="Y44" s="5"/>
      <c r="Z44" s="24" t="e">
        <f>SUM(Z13:Z43)</f>
        <v>#REF!</v>
      </c>
      <c r="AA44" s="5"/>
      <c r="AB44" s="24"/>
      <c r="AC44" s="24" t="e">
        <f>SUM(AC13:AC43)</f>
        <v>#REF!</v>
      </c>
      <c r="AD44" s="24"/>
      <c r="AE44" s="5"/>
      <c r="AF44" s="24" t="e">
        <f>SUM(AF13:AF43)</f>
        <v>#REF!</v>
      </c>
      <c r="AG44" s="5" t="e">
        <f>SUM(AG13:AG43)</f>
        <v>#REF!</v>
      </c>
      <c r="AH44" s="24" t="e">
        <f>SUM(AH13:AH43)</f>
        <v>#REF!</v>
      </c>
      <c r="AI44" s="1"/>
      <c r="AJ44" s="11"/>
      <c r="AK44" s="151" t="e">
        <f>ROUND(AH44-'Base Period'!BN64-'Option Period 1'!BN64-#REF!-#REF!-#REF!-#REF!-#REF!-#REF!-#REF!-#REF!,0)</f>
        <v>#REF!</v>
      </c>
    </row>
    <row r="45" spans="2:37" ht="15.75" x14ac:dyDescent="0.25">
      <c r="B45" t="s">
        <v>135</v>
      </c>
      <c r="D45" s="16"/>
      <c r="E45" s="16">
        <f>'Base Period'!BN65</f>
        <v>0</v>
      </c>
      <c r="F45" s="16"/>
      <c r="H45" s="16">
        <f>'Option Period 1'!BN65</f>
        <v>64.174000000000021</v>
      </c>
      <c r="J45" s="16"/>
      <c r="K45" s="16" t="e">
        <f>#REF!</f>
        <v>#REF!</v>
      </c>
      <c r="L45" s="16"/>
      <c r="N45" s="16" t="e">
        <f>#REF!</f>
        <v>#REF!</v>
      </c>
      <c r="P45" s="16"/>
      <c r="Q45" s="24" t="e">
        <f>#REF!</f>
        <v>#REF!</v>
      </c>
      <c r="R45" s="16"/>
      <c r="T45" s="16" t="e">
        <f>#REF!</f>
        <v>#REF!</v>
      </c>
      <c r="V45" s="16"/>
      <c r="W45" s="16" t="e">
        <f>#REF!</f>
        <v>#REF!</v>
      </c>
      <c r="X45" s="16"/>
      <c r="Z45" s="16" t="e">
        <f>#REF!</f>
        <v>#REF!</v>
      </c>
      <c r="AB45" s="16"/>
      <c r="AC45" s="24" t="e">
        <f>#REF!</f>
        <v>#REF!</v>
      </c>
      <c r="AD45" s="16"/>
      <c r="AF45" s="16" t="e">
        <f>#REF!</f>
        <v>#REF!</v>
      </c>
      <c r="AH45" s="24" t="e">
        <f>SUMIF($12:$12,"Dollar Value",45:45 )</f>
        <v>#REF!</v>
      </c>
      <c r="AJ45" s="24"/>
      <c r="AK45" s="151" t="e">
        <f>ROUND(AH45-'Base Period'!BN65-'Option Period 1'!BN65-#REF!-#REF!-#REF!-#REF!-#REF!-#REF!-#REF!-#REF!,0)</f>
        <v>#REF!</v>
      </c>
    </row>
    <row r="46" spans="2:37" ht="15.75" x14ac:dyDescent="0.25">
      <c r="B46" t="s">
        <v>8</v>
      </c>
      <c r="D46" s="16"/>
      <c r="E46" s="16">
        <f>SUM(E44:E45)</f>
        <v>857</v>
      </c>
      <c r="F46" s="16"/>
      <c r="H46" s="16">
        <f>SUM(H44:H45)</f>
        <v>2981.174</v>
      </c>
      <c r="J46" s="16"/>
      <c r="K46" s="16" t="e">
        <f>SUM(K44:K45)</f>
        <v>#REF!</v>
      </c>
      <c r="L46" s="16"/>
      <c r="N46" s="16" t="e">
        <f>SUM(N44:N45)</f>
        <v>#REF!</v>
      </c>
      <c r="P46" s="16"/>
      <c r="Q46" s="16" t="e">
        <f>SUM(Q44:Q45)</f>
        <v>#REF!</v>
      </c>
      <c r="R46" s="16"/>
      <c r="T46" s="16" t="e">
        <f>SUM(T44:T45)</f>
        <v>#REF!</v>
      </c>
      <c r="V46" s="16"/>
      <c r="W46" s="16" t="e">
        <f>SUM(W44:W45)</f>
        <v>#REF!</v>
      </c>
      <c r="X46" s="16"/>
      <c r="Z46" s="16" t="e">
        <f>SUM(Z44:Z45)</f>
        <v>#REF!</v>
      </c>
      <c r="AB46" s="16"/>
      <c r="AC46" s="16" t="e">
        <f>SUM(AC44:AC45)</f>
        <v>#REF!</v>
      </c>
      <c r="AD46" s="16"/>
      <c r="AF46" s="16" t="e">
        <f>SUM(AF44:AF45)</f>
        <v>#REF!</v>
      </c>
      <c r="AH46" s="16" t="e">
        <f>SUM(AH44:AH45)</f>
        <v>#REF!</v>
      </c>
      <c r="AJ46" s="24"/>
      <c r="AK46" s="151" t="e">
        <f>ROUND(AH46-'Base Period'!BN66-'Option Period 1'!BN66-#REF!-#REF!-#REF!-#REF!-#REF!-#REF!-#REF!-#REF!,0)</f>
        <v>#REF!</v>
      </c>
    </row>
    <row r="47" spans="2:37" ht="15.75" x14ac:dyDescent="0.25">
      <c r="C47" s="1"/>
      <c r="D47" s="5"/>
      <c r="E47" s="11"/>
      <c r="F47" s="1"/>
      <c r="G47" s="5"/>
      <c r="H47" s="11"/>
      <c r="I47" s="1"/>
      <c r="J47" s="5"/>
      <c r="K47" s="11"/>
      <c r="L47" s="1"/>
      <c r="M47" s="5"/>
      <c r="N47" s="11"/>
      <c r="O47" s="1"/>
      <c r="P47" s="5"/>
      <c r="Q47" s="11"/>
      <c r="R47" s="1"/>
      <c r="S47" s="5"/>
      <c r="T47" s="11"/>
      <c r="U47" s="1"/>
      <c r="V47" s="5"/>
      <c r="W47" s="11"/>
      <c r="X47" s="1"/>
      <c r="Y47" s="5"/>
      <c r="Z47" s="11"/>
      <c r="AA47" s="1"/>
      <c r="AB47" s="5"/>
      <c r="AC47" s="11"/>
      <c r="AD47" s="1"/>
      <c r="AE47" s="5"/>
      <c r="AF47" s="11"/>
      <c r="AG47" s="1"/>
      <c r="AH47" s="11"/>
      <c r="AK47" s="149"/>
    </row>
    <row r="48" spans="2:37" ht="15.75" x14ac:dyDescent="0.25">
      <c r="B48" t="s">
        <v>72</v>
      </c>
      <c r="C48" s="1"/>
      <c r="D48" s="1"/>
      <c r="E48" s="11">
        <f>'Base Period'!BN68</f>
        <v>8.57</v>
      </c>
      <c r="F48" s="1"/>
      <c r="G48" s="1"/>
      <c r="H48" s="11">
        <f>'Option Period 1'!BN68</f>
        <v>29.811740000000004</v>
      </c>
      <c r="I48" s="1"/>
      <c r="J48" s="1"/>
      <c r="K48" s="11" t="e">
        <f>#REF!</f>
        <v>#REF!</v>
      </c>
      <c r="L48" s="1"/>
      <c r="M48" s="1"/>
      <c r="N48" s="11" t="e">
        <f>#REF!</f>
        <v>#REF!</v>
      </c>
      <c r="O48" s="1"/>
      <c r="P48" s="1"/>
      <c r="Q48" s="11" t="e">
        <f>#REF!</f>
        <v>#REF!</v>
      </c>
      <c r="R48" s="1"/>
      <c r="S48" s="1"/>
      <c r="T48" s="11" t="e">
        <f>#REF!</f>
        <v>#REF!</v>
      </c>
      <c r="U48" s="1"/>
      <c r="V48" s="1"/>
      <c r="W48" s="11" t="e">
        <f>#REF!</f>
        <v>#REF!</v>
      </c>
      <c r="X48" s="1"/>
      <c r="Y48" s="1"/>
      <c r="Z48" s="11" t="e">
        <f>#REF!</f>
        <v>#REF!</v>
      </c>
      <c r="AA48" s="1"/>
      <c r="AB48" s="1"/>
      <c r="AC48" s="11" t="e">
        <f>#REF!</f>
        <v>#REF!</v>
      </c>
      <c r="AD48" s="1"/>
      <c r="AE48" s="1"/>
      <c r="AF48" s="11" t="e">
        <f>#REF!</f>
        <v>#REF!</v>
      </c>
      <c r="AG48" s="1"/>
      <c r="AH48" s="24" t="e">
        <f>SUMIF($12:$12,"Dollar Value",48:48 )</f>
        <v>#REF!</v>
      </c>
      <c r="AK48" s="151" t="e">
        <f>ROUND(AH48-'Base Period'!BN68-'Option Period 1'!BN68-#REF!-#REF!-#REF!-#REF!-#REF!-#REF!-#REF!-#REF!,0)</f>
        <v>#REF!</v>
      </c>
    </row>
    <row r="49" spans="2:37" ht="15.75" x14ac:dyDescent="0.25">
      <c r="B49" t="s">
        <v>8</v>
      </c>
      <c r="C49" s="1"/>
      <c r="D49" s="5"/>
      <c r="E49" s="11">
        <f>'Base Period'!BN69</f>
        <v>865.56999999999994</v>
      </c>
      <c r="F49" s="1"/>
      <c r="G49" s="5"/>
      <c r="H49" s="11">
        <f>'Option Period 1'!BN69</f>
        <v>3010.9857400000001</v>
      </c>
      <c r="I49" s="1"/>
      <c r="J49" s="5"/>
      <c r="K49" s="11" t="e">
        <f>#REF!</f>
        <v>#REF!</v>
      </c>
      <c r="L49" s="1"/>
      <c r="M49" s="5"/>
      <c r="N49" s="11" t="e">
        <f>#REF!</f>
        <v>#REF!</v>
      </c>
      <c r="O49" s="1"/>
      <c r="P49" s="5"/>
      <c r="Q49" s="11" t="e">
        <f>#REF!</f>
        <v>#REF!</v>
      </c>
      <c r="R49" s="1"/>
      <c r="S49" s="5"/>
      <c r="T49" s="11" t="e">
        <f>#REF!</f>
        <v>#REF!</v>
      </c>
      <c r="U49" s="1"/>
      <c r="V49" s="5"/>
      <c r="W49" s="11" t="e">
        <f>#REF!</f>
        <v>#REF!</v>
      </c>
      <c r="X49" s="1"/>
      <c r="Y49" s="5"/>
      <c r="Z49" s="11" t="e">
        <f>#REF!</f>
        <v>#REF!</v>
      </c>
      <c r="AA49" s="1"/>
      <c r="AB49" s="5"/>
      <c r="AC49" s="11" t="e">
        <f>#REF!</f>
        <v>#REF!</v>
      </c>
      <c r="AD49" s="1"/>
      <c r="AE49" s="5"/>
      <c r="AF49" s="11" t="e">
        <f>#REF!</f>
        <v>#REF!</v>
      </c>
      <c r="AG49" s="1"/>
      <c r="AH49" s="11" t="e">
        <f>SUMIF($12:$12,"Dollar Value",49:49 )</f>
        <v>#REF!</v>
      </c>
      <c r="AK49" s="151" t="e">
        <f>ROUND(AH49-'Base Period'!BN69-'Option Period 1'!BN69-#REF!-#REF!-#REF!-#REF!-#REF!-#REF!-#REF!-#REF!,0)</f>
        <v>#REF!</v>
      </c>
    </row>
    <row r="50" spans="2:37" ht="15.75" x14ac:dyDescent="0.25">
      <c r="C50" s="1"/>
      <c r="D50" s="5"/>
      <c r="E50" s="11"/>
      <c r="F50" s="1"/>
      <c r="G50" s="5"/>
      <c r="H50" s="11"/>
      <c r="I50" s="1"/>
      <c r="J50" s="5"/>
      <c r="K50" s="11"/>
      <c r="L50" s="1"/>
      <c r="M50" s="5"/>
      <c r="N50" s="11"/>
      <c r="O50" s="1"/>
      <c r="P50" s="5"/>
      <c r="Q50" s="11"/>
      <c r="R50" s="1"/>
      <c r="S50" s="5"/>
      <c r="T50" s="11"/>
      <c r="U50" s="1"/>
      <c r="V50" s="5"/>
      <c r="W50" s="11"/>
      <c r="X50" s="1"/>
      <c r="Y50" s="5"/>
      <c r="Z50" s="11"/>
      <c r="AA50" s="1"/>
      <c r="AB50" s="5"/>
      <c r="AC50" s="11"/>
      <c r="AD50" s="1"/>
      <c r="AE50" s="5"/>
      <c r="AF50" s="11"/>
      <c r="AG50" s="1"/>
      <c r="AH50" s="11"/>
      <c r="AK50" s="149"/>
    </row>
    <row r="51" spans="2:37" ht="15.75" x14ac:dyDescent="0.25">
      <c r="B51" t="s">
        <v>71</v>
      </c>
      <c r="C51" s="1"/>
      <c r="D51" s="1"/>
      <c r="E51" s="11">
        <f>'Base Period'!BN71</f>
        <v>8.6557000000000013</v>
      </c>
      <c r="F51" s="1"/>
      <c r="G51" s="1"/>
      <c r="H51" s="11">
        <f>'Option Period 1'!BN71</f>
        <v>30.109857400000003</v>
      </c>
      <c r="I51" s="1"/>
      <c r="J51" s="1"/>
      <c r="K51" s="11" t="e">
        <f>#REF!</f>
        <v>#REF!</v>
      </c>
      <c r="L51" s="1"/>
      <c r="M51" s="1"/>
      <c r="N51" s="11" t="e">
        <f>#REF!</f>
        <v>#REF!</v>
      </c>
      <c r="O51" s="1"/>
      <c r="P51" s="1"/>
      <c r="Q51" s="11" t="e">
        <f>#REF!</f>
        <v>#REF!</v>
      </c>
      <c r="R51" s="1"/>
      <c r="S51" s="1"/>
      <c r="T51" s="11" t="e">
        <f>#REF!</f>
        <v>#REF!</v>
      </c>
      <c r="U51" s="1"/>
      <c r="V51" s="1"/>
      <c r="W51" s="11" t="e">
        <f>#REF!</f>
        <v>#REF!</v>
      </c>
      <c r="X51" s="1"/>
      <c r="Y51" s="1"/>
      <c r="Z51" s="11" t="e">
        <f>#REF!</f>
        <v>#REF!</v>
      </c>
      <c r="AA51" s="1"/>
      <c r="AB51" s="1"/>
      <c r="AC51" s="11" t="e">
        <f>#REF!</f>
        <v>#REF!</v>
      </c>
      <c r="AD51" s="1"/>
      <c r="AE51" s="1"/>
      <c r="AF51" s="11" t="e">
        <f>#REF!</f>
        <v>#REF!</v>
      </c>
      <c r="AG51" s="1"/>
      <c r="AH51" s="24" t="e">
        <f>SUMIF($12:$12,"Dollar Value",51:51 )</f>
        <v>#REF!</v>
      </c>
      <c r="AK51" s="151" t="e">
        <f>ROUND(AH51-'Base Period'!BN71-'Option Period 1'!BN71-#REF!-#REF!-#REF!-#REF!-#REF!-#REF!-#REF!-#REF!,0)</f>
        <v>#REF!</v>
      </c>
    </row>
    <row r="52" spans="2:37" ht="15.75" x14ac:dyDescent="0.25">
      <c r="B52" s="4" t="s">
        <v>9</v>
      </c>
      <c r="C52" s="1"/>
      <c r="D52" s="1"/>
      <c r="E52" s="11">
        <f>'Base Period'!BN72</f>
        <v>874.22569999999973</v>
      </c>
      <c r="F52" s="1"/>
      <c r="G52" s="1"/>
      <c r="H52" s="11">
        <f>'Option Period 1'!BN72</f>
        <v>3041.0955973999994</v>
      </c>
      <c r="I52" s="1"/>
      <c r="J52" s="1"/>
      <c r="K52" s="11" t="e">
        <f>#REF!</f>
        <v>#REF!</v>
      </c>
      <c r="L52" s="1"/>
      <c r="M52" s="1"/>
      <c r="N52" s="11" t="e">
        <f>#REF!</f>
        <v>#REF!</v>
      </c>
      <c r="O52" s="1"/>
      <c r="P52" s="1"/>
      <c r="Q52" s="11" t="e">
        <f>#REF!</f>
        <v>#REF!</v>
      </c>
      <c r="R52" s="1"/>
      <c r="S52" s="1"/>
      <c r="T52" s="11" t="e">
        <f>#REF!</f>
        <v>#REF!</v>
      </c>
      <c r="U52" s="1"/>
      <c r="V52" s="1"/>
      <c r="W52" s="11" t="e">
        <f>#REF!</f>
        <v>#REF!</v>
      </c>
      <c r="X52" s="1"/>
      <c r="Y52" s="1"/>
      <c r="Z52" s="11" t="e">
        <f>#REF!</f>
        <v>#REF!</v>
      </c>
      <c r="AA52" s="1"/>
      <c r="AB52" s="1"/>
      <c r="AC52" s="11" t="e">
        <f>#REF!</f>
        <v>#REF!</v>
      </c>
      <c r="AD52" s="1"/>
      <c r="AE52" s="1"/>
      <c r="AF52" s="11" t="e">
        <f>#REF!</f>
        <v>#REF!</v>
      </c>
      <c r="AG52" s="1"/>
      <c r="AH52" s="11" t="e">
        <f>SUMIF($12:$12,"Dollar Value",52:52 )</f>
        <v>#REF!</v>
      </c>
      <c r="AK52" s="151" t="e">
        <f>ROUND(AH52-'Base Period'!BN72-'Option Period 1'!BN72-#REF!-#REF!-#REF!-#REF!-#REF!-#REF!-#REF!-#REF!,0)</f>
        <v>#REF!</v>
      </c>
    </row>
    <row r="53" spans="2:37" ht="15.75" x14ac:dyDescent="0.25">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4"/>
      <c r="AK53" s="149"/>
    </row>
    <row r="54" spans="2:37" ht="15.75" x14ac:dyDescent="0.25">
      <c r="B54" t="s">
        <v>11</v>
      </c>
      <c r="AH54" s="14"/>
      <c r="AK54" s="149"/>
    </row>
    <row r="55" spans="2:37" ht="15.75" x14ac:dyDescent="0.25">
      <c r="C55" s="2"/>
      <c r="D55" s="6"/>
      <c r="E55" s="6"/>
      <c r="F55" s="6"/>
      <c r="G55" s="191"/>
      <c r="H55" s="191"/>
      <c r="I55" s="6"/>
      <c r="J55" s="191"/>
      <c r="K55" s="191"/>
      <c r="L55" s="6"/>
      <c r="M55" s="191"/>
      <c r="N55" s="191"/>
      <c r="O55" s="6"/>
      <c r="P55" s="191"/>
      <c r="Q55" s="191"/>
      <c r="R55" s="6"/>
      <c r="S55" s="191"/>
      <c r="T55" s="191"/>
      <c r="U55" s="6"/>
      <c r="V55" s="191"/>
      <c r="W55" s="191"/>
      <c r="X55" s="6"/>
      <c r="Y55" s="191"/>
      <c r="Z55" s="191"/>
      <c r="AA55" s="6"/>
      <c r="AB55" s="191"/>
      <c r="AC55" s="191"/>
      <c r="AD55" s="6"/>
      <c r="AE55" s="191"/>
      <c r="AF55" s="191"/>
      <c r="AH55" s="14"/>
      <c r="AK55" s="149"/>
    </row>
    <row r="56" spans="2:37" ht="15.75" x14ac:dyDescent="0.25">
      <c r="B56" t="s">
        <v>114</v>
      </c>
      <c r="D56" s="6" t="s">
        <v>30</v>
      </c>
      <c r="E56" s="12">
        <f>'Base Period'!$BN$75</f>
        <v>0</v>
      </c>
      <c r="F56" s="6"/>
      <c r="G56" s="6" t="s">
        <v>30</v>
      </c>
      <c r="H56" s="12">
        <f>'Option Period 1'!$BN75</f>
        <v>0</v>
      </c>
      <c r="I56" s="6"/>
      <c r="J56" s="6" t="s">
        <v>30</v>
      </c>
      <c r="K56" s="12" t="e">
        <f>#REF!</f>
        <v>#REF!</v>
      </c>
      <c r="L56" s="6"/>
      <c r="M56" s="6" t="s">
        <v>30</v>
      </c>
      <c r="N56" s="12" t="e">
        <f>#REF!</f>
        <v>#REF!</v>
      </c>
      <c r="O56" s="6"/>
      <c r="P56" s="6" t="s">
        <v>30</v>
      </c>
      <c r="Q56" s="12" t="e">
        <f>#REF!</f>
        <v>#REF!</v>
      </c>
      <c r="R56" s="6"/>
      <c r="S56" s="6" t="s">
        <v>30</v>
      </c>
      <c r="T56" s="12" t="e">
        <f>#REF!</f>
        <v>#REF!</v>
      </c>
      <c r="U56" s="6"/>
      <c r="V56" s="6" t="s">
        <v>30</v>
      </c>
      <c r="W56" s="12" t="e">
        <f>#REF!</f>
        <v>#REF!</v>
      </c>
      <c r="X56" s="6"/>
      <c r="Y56" s="6" t="s">
        <v>30</v>
      </c>
      <c r="Z56" s="12" t="e">
        <f>#REF!</f>
        <v>#REF!</v>
      </c>
      <c r="AA56" s="6"/>
      <c r="AB56" s="6" t="s">
        <v>30</v>
      </c>
      <c r="AC56" s="12" t="e">
        <f>#REF!</f>
        <v>#REF!</v>
      </c>
      <c r="AD56" s="6"/>
      <c r="AE56" s="6" t="s">
        <v>30</v>
      </c>
      <c r="AF56" s="12" t="e">
        <f>#REF!</f>
        <v>#REF!</v>
      </c>
      <c r="AH56" s="11" t="e">
        <f>SUMIF($12:$12,"Dollar Value",56:56 )</f>
        <v>#REF!</v>
      </c>
      <c r="AK56" s="151" t="e">
        <f>ROUND(AH56-'Base Period'!BN75-'Option Period 1'!BN75-#REF!-#REF!-#REF!-#REF!-#REF!-#REF!-#REF!-#REF!,0)</f>
        <v>#REF!</v>
      </c>
    </row>
    <row r="57" spans="2:37" ht="15.75" x14ac:dyDescent="0.25">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H57" s="14"/>
      <c r="AK57" s="149"/>
    </row>
    <row r="58" spans="2:37" ht="15.75" x14ac:dyDescent="0.25">
      <c r="B58" t="s">
        <v>26</v>
      </c>
      <c r="C58" s="2"/>
      <c r="D58" s="6" t="s">
        <v>30</v>
      </c>
      <c r="E58" s="6">
        <f>'Base Period'!BN77</f>
        <v>0</v>
      </c>
      <c r="F58" s="6"/>
      <c r="G58" s="6" t="s">
        <v>30</v>
      </c>
      <c r="H58" s="6">
        <f>'Option Period 1'!BN77</f>
        <v>0</v>
      </c>
      <c r="I58" s="6"/>
      <c r="J58" s="6" t="s">
        <v>30</v>
      </c>
      <c r="K58" s="6" t="e">
        <f>#REF!</f>
        <v>#REF!</v>
      </c>
      <c r="L58" s="6"/>
      <c r="M58" s="6" t="s">
        <v>30</v>
      </c>
      <c r="N58" s="6" t="e">
        <f>#REF!</f>
        <v>#REF!</v>
      </c>
      <c r="O58" s="6"/>
      <c r="P58" s="6" t="s">
        <v>30</v>
      </c>
      <c r="Q58" s="6" t="e">
        <f>#REF!</f>
        <v>#REF!</v>
      </c>
      <c r="R58" s="6"/>
      <c r="S58" s="6" t="s">
        <v>30</v>
      </c>
      <c r="T58" s="6" t="e">
        <f>#REF!</f>
        <v>#REF!</v>
      </c>
      <c r="U58" s="6"/>
      <c r="V58" s="6" t="s">
        <v>30</v>
      </c>
      <c r="W58" s="6" t="e">
        <f>#REF!</f>
        <v>#REF!</v>
      </c>
      <c r="X58" s="6"/>
      <c r="Y58" s="6" t="s">
        <v>30</v>
      </c>
      <c r="Z58" s="6" t="e">
        <f>#REF!</f>
        <v>#REF!</v>
      </c>
      <c r="AA58" s="6"/>
      <c r="AB58" s="6" t="s">
        <v>30</v>
      </c>
      <c r="AC58" s="6" t="e">
        <f>#REF!</f>
        <v>#REF!</v>
      </c>
      <c r="AD58" s="6"/>
      <c r="AE58" s="6" t="s">
        <v>30</v>
      </c>
      <c r="AF58" s="6" t="e">
        <f>#REF!</f>
        <v>#REF!</v>
      </c>
      <c r="AH58" s="11" t="e">
        <f>SUMIF($12:$12,"Dollar Value",58:58 )</f>
        <v>#REF!</v>
      </c>
      <c r="AK58" s="151" t="e">
        <f>ROUND(AH58-'Base Period'!BN77-'Option Period 1'!BN77-#REF!-#REF!-#REF!-#REF!-#REF!-#REF!-#REF!-#REF!,0)</f>
        <v>#REF!</v>
      </c>
    </row>
    <row r="59" spans="2:37" ht="15.75" hidden="1" x14ac:dyDescent="0.25">
      <c r="D59" s="6" t="s">
        <v>30</v>
      </c>
      <c r="E59" s="18">
        <f>'Base Period'!BN77</f>
        <v>0</v>
      </c>
      <c r="F59" s="6"/>
      <c r="G59" s="6" t="s">
        <v>30</v>
      </c>
      <c r="H59" s="18">
        <f>'Base Period'!BQ77</f>
        <v>0</v>
      </c>
      <c r="I59" s="6"/>
      <c r="J59" s="6" t="s">
        <v>30</v>
      </c>
      <c r="K59" s="18">
        <f>'Base Period'!BT77</f>
        <v>0</v>
      </c>
      <c r="L59" s="6"/>
      <c r="M59" s="6" t="s">
        <v>30</v>
      </c>
      <c r="N59" s="18">
        <f>'Base Period'!BW77</f>
        <v>0</v>
      </c>
      <c r="O59" s="6"/>
      <c r="P59" s="6" t="s">
        <v>30</v>
      </c>
      <c r="Q59" s="18">
        <f>'Base Period'!BZ77</f>
        <v>0</v>
      </c>
      <c r="R59" s="6"/>
      <c r="S59" s="6" t="s">
        <v>30</v>
      </c>
      <c r="T59" s="18">
        <f>'Base Period'!CC77</f>
        <v>0</v>
      </c>
      <c r="U59" s="6"/>
      <c r="V59" s="6" t="s">
        <v>30</v>
      </c>
      <c r="W59" s="18">
        <f>'Base Period'!CF77</f>
        <v>0</v>
      </c>
      <c r="X59" s="6"/>
      <c r="Y59" s="6" t="s">
        <v>30</v>
      </c>
      <c r="Z59" s="18">
        <f>'Base Period'!CI77</f>
        <v>0</v>
      </c>
      <c r="AA59" s="6"/>
      <c r="AB59" s="6" t="s">
        <v>30</v>
      </c>
      <c r="AC59" s="18">
        <f>'Base Period'!CL77</f>
        <v>0</v>
      </c>
      <c r="AD59" s="6"/>
      <c r="AE59" s="6" t="s">
        <v>30</v>
      </c>
      <c r="AF59" s="18">
        <f>'Base Period'!CO77</f>
        <v>0</v>
      </c>
      <c r="AH59" s="11">
        <f>SUMIF($12:$12,"Dollar Value",59:59 )</f>
        <v>0</v>
      </c>
      <c r="AK59" s="149"/>
    </row>
    <row r="60" spans="2:37" ht="15.75" x14ac:dyDescent="0.25">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H60" s="14"/>
      <c r="AK60" s="149"/>
    </row>
    <row r="61" spans="2:37" ht="15.75" x14ac:dyDescent="0.25">
      <c r="B61" t="s">
        <v>27</v>
      </c>
      <c r="C61" s="2"/>
      <c r="D61" s="6" t="s">
        <v>30</v>
      </c>
      <c r="E61" s="6">
        <f>'Base Period'!BN79</f>
        <v>0</v>
      </c>
      <c r="F61" s="6"/>
      <c r="G61" s="6" t="s">
        <v>30</v>
      </c>
      <c r="H61" s="6">
        <f>'Option Period 1'!BN79</f>
        <v>0</v>
      </c>
      <c r="I61" s="6"/>
      <c r="J61" s="6" t="s">
        <v>30</v>
      </c>
      <c r="K61" s="6" t="e">
        <f>#REF!</f>
        <v>#REF!</v>
      </c>
      <c r="L61" s="6"/>
      <c r="M61" s="6" t="s">
        <v>30</v>
      </c>
      <c r="N61" s="6" t="e">
        <f>#REF!</f>
        <v>#REF!</v>
      </c>
      <c r="O61" s="6"/>
      <c r="P61" s="6" t="s">
        <v>30</v>
      </c>
      <c r="Q61" s="6" t="e">
        <f>#REF!</f>
        <v>#REF!</v>
      </c>
      <c r="R61" s="6"/>
      <c r="S61" s="6" t="s">
        <v>30</v>
      </c>
      <c r="T61" s="6" t="e">
        <f>#REF!</f>
        <v>#REF!</v>
      </c>
      <c r="U61" s="6"/>
      <c r="V61" s="6" t="s">
        <v>30</v>
      </c>
      <c r="W61" s="6" t="e">
        <f>#REF!</f>
        <v>#REF!</v>
      </c>
      <c r="X61" s="6"/>
      <c r="Y61" s="6" t="s">
        <v>30</v>
      </c>
      <c r="Z61" s="6" t="e">
        <f>#REF!</f>
        <v>#REF!</v>
      </c>
      <c r="AA61" s="6"/>
      <c r="AB61" s="6" t="s">
        <v>30</v>
      </c>
      <c r="AC61" s="6" t="e">
        <f>#REF!</f>
        <v>#REF!</v>
      </c>
      <c r="AD61" s="6"/>
      <c r="AE61" s="6" t="s">
        <v>30</v>
      </c>
      <c r="AF61" s="6" t="e">
        <f>#REF!</f>
        <v>#REF!</v>
      </c>
      <c r="AH61" s="11" t="e">
        <f>SUMIF($12:$12,"Dollar Value",61:61 )</f>
        <v>#REF!</v>
      </c>
      <c r="AK61" s="151" t="e">
        <f>ROUND(AH61-'Base Period'!BN79-'Option Period 1'!BN79-#REF!-#REF!-#REF!-#REF!-#REF!-#REF!-#REF!-#REF!,0)</f>
        <v>#REF!</v>
      </c>
    </row>
    <row r="62" spans="2:37" ht="15.75" hidden="1" x14ac:dyDescent="0.25">
      <c r="D62" s="6" t="s">
        <v>30</v>
      </c>
      <c r="E62" s="18">
        <f>'Base Period'!BN79</f>
        <v>0</v>
      </c>
      <c r="F62" s="6"/>
      <c r="G62" s="6" t="s">
        <v>30</v>
      </c>
      <c r="H62" s="18">
        <f>'Base Period'!BQ79</f>
        <v>0</v>
      </c>
      <c r="I62" s="6"/>
      <c r="J62" s="6" t="s">
        <v>30</v>
      </c>
      <c r="K62" s="18">
        <f>'Base Period'!BT79</f>
        <v>0</v>
      </c>
      <c r="L62" s="6"/>
      <c r="M62" s="6" t="s">
        <v>30</v>
      </c>
      <c r="N62" s="18">
        <f>'Base Period'!BW79</f>
        <v>0</v>
      </c>
      <c r="O62" s="6"/>
      <c r="P62" s="6" t="s">
        <v>30</v>
      </c>
      <c r="Q62" s="18">
        <f>'Base Period'!BZ79</f>
        <v>0</v>
      </c>
      <c r="R62" s="6"/>
      <c r="S62" s="6" t="s">
        <v>30</v>
      </c>
      <c r="T62" s="18">
        <f>'Base Period'!CC79</f>
        <v>0</v>
      </c>
      <c r="U62" s="6"/>
      <c r="V62" s="6" t="s">
        <v>30</v>
      </c>
      <c r="W62" s="18">
        <f>'Base Period'!CF79</f>
        <v>0</v>
      </c>
      <c r="X62" s="6"/>
      <c r="Y62" s="6" t="s">
        <v>30</v>
      </c>
      <c r="Z62" s="18">
        <f>'Base Period'!CI79</f>
        <v>0</v>
      </c>
      <c r="AA62" s="6"/>
      <c r="AB62" s="6" t="s">
        <v>30</v>
      </c>
      <c r="AC62" s="18">
        <f>'Base Period'!CL79</f>
        <v>0</v>
      </c>
      <c r="AD62" s="6"/>
      <c r="AE62" s="6" t="s">
        <v>30</v>
      </c>
      <c r="AF62" s="18">
        <f>'Base Period'!CO79</f>
        <v>0</v>
      </c>
      <c r="AH62" s="11">
        <f>SUMIF($12:$12,"Dollar Value",62:62 )</f>
        <v>0</v>
      </c>
      <c r="AK62" s="149"/>
    </row>
    <row r="63" spans="2:37" ht="15.75" x14ac:dyDescent="0.25">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H63" s="11"/>
      <c r="AK63" s="149"/>
    </row>
    <row r="64" spans="2:37" ht="15.75" x14ac:dyDescent="0.25">
      <c r="B64" t="s">
        <v>28</v>
      </c>
      <c r="C64" s="2"/>
      <c r="D64" s="6" t="s">
        <v>30</v>
      </c>
      <c r="E64" s="6">
        <f>'Base Period'!BN81</f>
        <v>0</v>
      </c>
      <c r="F64" s="6"/>
      <c r="G64" s="6" t="s">
        <v>30</v>
      </c>
      <c r="H64" s="6">
        <f>'Option Period 1'!BN81</f>
        <v>0</v>
      </c>
      <c r="I64" s="6"/>
      <c r="J64" s="6" t="s">
        <v>30</v>
      </c>
      <c r="K64" s="6" t="e">
        <f>#REF!</f>
        <v>#REF!</v>
      </c>
      <c r="L64" s="6"/>
      <c r="M64" s="6" t="s">
        <v>30</v>
      </c>
      <c r="N64" s="6" t="e">
        <f>#REF!</f>
        <v>#REF!</v>
      </c>
      <c r="O64" s="6"/>
      <c r="P64" s="6" t="s">
        <v>30</v>
      </c>
      <c r="Q64" s="6" t="e">
        <f>#REF!</f>
        <v>#REF!</v>
      </c>
      <c r="R64" s="6"/>
      <c r="S64" s="6" t="s">
        <v>30</v>
      </c>
      <c r="T64" s="6" t="e">
        <f>#REF!</f>
        <v>#REF!</v>
      </c>
      <c r="U64" s="6"/>
      <c r="V64" s="6" t="s">
        <v>30</v>
      </c>
      <c r="W64" s="6" t="e">
        <f>#REF!</f>
        <v>#REF!</v>
      </c>
      <c r="X64" s="6"/>
      <c r="Y64" s="6" t="s">
        <v>30</v>
      </c>
      <c r="Z64" s="6" t="e">
        <f>#REF!</f>
        <v>#REF!</v>
      </c>
      <c r="AA64" s="6"/>
      <c r="AB64" s="6" t="s">
        <v>30</v>
      </c>
      <c r="AC64" s="6" t="e">
        <f>#REF!</f>
        <v>#REF!</v>
      </c>
      <c r="AD64" s="6"/>
      <c r="AE64" s="6" t="s">
        <v>30</v>
      </c>
      <c r="AF64" s="6" t="e">
        <f>#REF!</f>
        <v>#REF!</v>
      </c>
      <c r="AH64" s="11" t="e">
        <f>SUMIF($12:$12,"Dollar Value",64:64 )</f>
        <v>#REF!</v>
      </c>
      <c r="AK64" s="151" t="e">
        <f>ROUND(AH64-'Base Period'!BN81-'Option Period 1'!BN81-#REF!-#REF!-#REF!-#REF!-#REF!-#REF!-#REF!-#REF!,0)</f>
        <v>#REF!</v>
      </c>
    </row>
    <row r="65" spans="2:37" ht="15.75" hidden="1" x14ac:dyDescent="0.25">
      <c r="D65" s="6" t="s">
        <v>30</v>
      </c>
      <c r="E65" s="18">
        <f>'Base Period'!BN81</f>
        <v>0</v>
      </c>
      <c r="F65" s="6"/>
      <c r="G65" s="6" t="s">
        <v>30</v>
      </c>
      <c r="H65" s="18">
        <f>'Base Period'!BQ81</f>
        <v>0</v>
      </c>
      <c r="I65" s="6"/>
      <c r="J65" s="6" t="s">
        <v>30</v>
      </c>
      <c r="K65" s="18">
        <f>'Base Period'!BT81</f>
        <v>0</v>
      </c>
      <c r="L65" s="6"/>
      <c r="M65" s="6" t="s">
        <v>30</v>
      </c>
      <c r="N65" s="18">
        <f>'Base Period'!BW81</f>
        <v>0</v>
      </c>
      <c r="O65" s="6"/>
      <c r="P65" s="6" t="s">
        <v>30</v>
      </c>
      <c r="Q65" s="18">
        <f>'Base Period'!BZ81</f>
        <v>0</v>
      </c>
      <c r="R65" s="6"/>
      <c r="S65" s="6" t="s">
        <v>30</v>
      </c>
      <c r="T65" s="18">
        <f>'Base Period'!CC81</f>
        <v>0</v>
      </c>
      <c r="U65" s="6"/>
      <c r="V65" s="6" t="s">
        <v>30</v>
      </c>
      <c r="W65" s="18">
        <f>'Base Period'!CF81</f>
        <v>0</v>
      </c>
      <c r="X65" s="6"/>
      <c r="Y65" s="6" t="s">
        <v>30</v>
      </c>
      <c r="Z65" s="18">
        <f>'Base Period'!CI81</f>
        <v>0</v>
      </c>
      <c r="AA65" s="6"/>
      <c r="AB65" s="6" t="s">
        <v>30</v>
      </c>
      <c r="AC65" s="18">
        <f>'Base Period'!CL81</f>
        <v>0</v>
      </c>
      <c r="AD65" s="6"/>
      <c r="AE65" s="6" t="s">
        <v>30</v>
      </c>
      <c r="AF65" s="18">
        <f>'Base Period'!CO81</f>
        <v>0</v>
      </c>
      <c r="AH65" s="11">
        <f>SUMIF($12:$12,"Dollar Value",65:65 )</f>
        <v>0</v>
      </c>
      <c r="AK65" s="149"/>
    </row>
    <row r="66" spans="2:37" ht="15.75" x14ac:dyDescent="0.25">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H66" s="11"/>
      <c r="AK66" s="149"/>
    </row>
    <row r="67" spans="2:37" ht="15.75" x14ac:dyDescent="0.25">
      <c r="B67" t="s">
        <v>29</v>
      </c>
      <c r="D67" s="6" t="s">
        <v>30</v>
      </c>
      <c r="E67" s="6">
        <f>'Base Period'!BN83</f>
        <v>0</v>
      </c>
      <c r="F67" s="6"/>
      <c r="G67" s="6" t="s">
        <v>30</v>
      </c>
      <c r="H67" s="6">
        <f>'Option Period 1'!BN83</f>
        <v>0</v>
      </c>
      <c r="I67" s="6"/>
      <c r="J67" s="6" t="s">
        <v>30</v>
      </c>
      <c r="K67" s="6" t="e">
        <f>#REF!</f>
        <v>#REF!</v>
      </c>
      <c r="L67" s="6"/>
      <c r="M67" s="6" t="s">
        <v>30</v>
      </c>
      <c r="N67" s="6" t="e">
        <f>#REF!</f>
        <v>#REF!</v>
      </c>
      <c r="O67" s="6"/>
      <c r="P67" s="6" t="s">
        <v>30</v>
      </c>
      <c r="Q67" s="6" t="e">
        <f>#REF!</f>
        <v>#REF!</v>
      </c>
      <c r="R67" s="6"/>
      <c r="S67" s="6" t="s">
        <v>30</v>
      </c>
      <c r="T67" s="6" t="e">
        <f>#REF!</f>
        <v>#REF!</v>
      </c>
      <c r="U67" s="6"/>
      <c r="V67" s="6" t="s">
        <v>30</v>
      </c>
      <c r="W67" s="6" t="e">
        <f>#REF!</f>
        <v>#REF!</v>
      </c>
      <c r="X67" s="6"/>
      <c r="Y67" s="6" t="s">
        <v>30</v>
      </c>
      <c r="Z67" s="6" t="e">
        <f>#REF!</f>
        <v>#REF!</v>
      </c>
      <c r="AA67" s="6"/>
      <c r="AB67" s="6" t="s">
        <v>30</v>
      </c>
      <c r="AC67" s="6" t="e">
        <f>#REF!</f>
        <v>#REF!</v>
      </c>
      <c r="AD67" s="6"/>
      <c r="AE67" s="6" t="s">
        <v>30</v>
      </c>
      <c r="AF67" s="6" t="e">
        <f>#REF!</f>
        <v>#REF!</v>
      </c>
      <c r="AH67" s="11" t="e">
        <f>SUMIF($12:$12,"Dollar Value",67:67 )</f>
        <v>#REF!</v>
      </c>
      <c r="AK67" s="151" t="e">
        <f>ROUND(AH67-'Base Period'!BN83-'Option Period 1'!BN83-#REF!-#REF!-#REF!-#REF!-#REF!-#REF!-#REF!-#REF!,0)</f>
        <v>#REF!</v>
      </c>
    </row>
    <row r="68" spans="2:37" ht="15.75" hidden="1" x14ac:dyDescent="0.25">
      <c r="D68" s="6" t="s">
        <v>30</v>
      </c>
      <c r="E68" s="18">
        <f>'Base Period'!BN81</f>
        <v>0</v>
      </c>
      <c r="F68" s="6"/>
      <c r="G68" s="6" t="s">
        <v>30</v>
      </c>
      <c r="H68" s="18">
        <f>'Base Period'!BQ83</f>
        <v>0</v>
      </c>
      <c r="I68" s="6"/>
      <c r="J68" s="6" t="s">
        <v>30</v>
      </c>
      <c r="K68" s="18">
        <f>'Base Period'!BT83</f>
        <v>0</v>
      </c>
      <c r="L68" s="6"/>
      <c r="M68" s="6" t="s">
        <v>30</v>
      </c>
      <c r="N68" s="18">
        <f>'Base Period'!BW83</f>
        <v>0</v>
      </c>
      <c r="O68" s="6"/>
      <c r="P68" s="6" t="s">
        <v>30</v>
      </c>
      <c r="Q68" s="18">
        <f>'Base Period'!BZ83</f>
        <v>0</v>
      </c>
      <c r="R68" s="6"/>
      <c r="S68" s="6" t="s">
        <v>30</v>
      </c>
      <c r="T68" s="18">
        <f>'Base Period'!CC83</f>
        <v>0</v>
      </c>
      <c r="U68" s="6"/>
      <c r="V68" s="6" t="s">
        <v>30</v>
      </c>
      <c r="W68" s="18">
        <f>'Base Period'!CF83</f>
        <v>0</v>
      </c>
      <c r="X68" s="6"/>
      <c r="Y68" s="6" t="s">
        <v>30</v>
      </c>
      <c r="Z68" s="18">
        <f>'Base Period'!CI83</f>
        <v>0</v>
      </c>
      <c r="AA68" s="6"/>
      <c r="AB68" s="6" t="s">
        <v>30</v>
      </c>
      <c r="AC68" s="18">
        <f>'Base Period'!CL83</f>
        <v>0</v>
      </c>
      <c r="AD68" s="6"/>
      <c r="AE68" s="6" t="s">
        <v>30</v>
      </c>
      <c r="AF68" s="18">
        <f>'Base Period'!CO83</f>
        <v>0</v>
      </c>
      <c r="AH68" s="11">
        <f>SUMIF($12:$12,"Dollar Value",68:68 )</f>
        <v>0</v>
      </c>
      <c r="AK68" s="149"/>
    </row>
    <row r="69" spans="2:37" ht="15.75" x14ac:dyDescent="0.25">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H69" s="11"/>
      <c r="AK69" s="149"/>
    </row>
    <row r="70" spans="2:37" ht="15.75" x14ac:dyDescent="0.25">
      <c r="B70" t="s">
        <v>88</v>
      </c>
      <c r="C70" s="2"/>
      <c r="D70" s="6" t="s">
        <v>30</v>
      </c>
      <c r="E70" s="6">
        <f>'Base Period'!BN85</f>
        <v>0</v>
      </c>
      <c r="F70" s="6"/>
      <c r="G70" s="6" t="s">
        <v>30</v>
      </c>
      <c r="H70" s="6">
        <f>'Option Period 1'!BN85</f>
        <v>0</v>
      </c>
      <c r="I70" s="6"/>
      <c r="J70" s="6" t="s">
        <v>30</v>
      </c>
      <c r="K70" s="6" t="e">
        <f>#REF!</f>
        <v>#REF!</v>
      </c>
      <c r="L70" s="6"/>
      <c r="M70" s="6" t="s">
        <v>30</v>
      </c>
      <c r="N70" s="6" t="e">
        <f>#REF!</f>
        <v>#REF!</v>
      </c>
      <c r="O70" s="6"/>
      <c r="P70" s="6" t="s">
        <v>30</v>
      </c>
      <c r="Q70" s="6" t="e">
        <f>#REF!</f>
        <v>#REF!</v>
      </c>
      <c r="R70" s="6"/>
      <c r="S70" s="6" t="s">
        <v>30</v>
      </c>
      <c r="T70" s="6" t="e">
        <f>#REF!</f>
        <v>#REF!</v>
      </c>
      <c r="U70" s="6"/>
      <c r="V70" s="6" t="s">
        <v>30</v>
      </c>
      <c r="W70" s="6" t="e">
        <f>#REF!</f>
        <v>#REF!</v>
      </c>
      <c r="X70" s="6"/>
      <c r="Y70" s="6" t="s">
        <v>30</v>
      </c>
      <c r="Z70" s="6" t="e">
        <f>#REF!</f>
        <v>#REF!</v>
      </c>
      <c r="AA70" s="6"/>
      <c r="AB70" s="6" t="s">
        <v>30</v>
      </c>
      <c r="AC70" s="6" t="e">
        <f>#REF!</f>
        <v>#REF!</v>
      </c>
      <c r="AD70" s="6"/>
      <c r="AE70" s="6" t="s">
        <v>30</v>
      </c>
      <c r="AF70" s="6" t="e">
        <f>#REF!</f>
        <v>#REF!</v>
      </c>
      <c r="AH70" s="11" t="e">
        <f>SUMIF($12:$12,"Dollar Value",70:70 )</f>
        <v>#REF!</v>
      </c>
      <c r="AK70" s="151" t="e">
        <f>ROUND(AH70-'Base Period'!BN85-'Option Period 1'!BN85-#REF!-#REF!-#REF!-#REF!-#REF!-#REF!-#REF!-#REF!,0)</f>
        <v>#REF!</v>
      </c>
    </row>
    <row r="71" spans="2:37" ht="15.75" hidden="1" x14ac:dyDescent="0.25">
      <c r="D71" s="6" t="s">
        <v>30</v>
      </c>
      <c r="E71" s="12">
        <f>'Base Period'!BN85</f>
        <v>0</v>
      </c>
      <c r="F71" s="6"/>
      <c r="G71" s="6" t="s">
        <v>30</v>
      </c>
      <c r="H71" s="12">
        <f>'Base Period'!BQ85</f>
        <v>0</v>
      </c>
      <c r="I71" s="6"/>
      <c r="J71" s="6" t="s">
        <v>30</v>
      </c>
      <c r="K71" s="12">
        <f>'Base Period'!BT85</f>
        <v>0</v>
      </c>
      <c r="L71" s="6"/>
      <c r="M71" s="6" t="s">
        <v>30</v>
      </c>
      <c r="N71" s="12">
        <f>'Base Period'!BW85</f>
        <v>0</v>
      </c>
      <c r="O71" s="6"/>
      <c r="P71" s="6" t="s">
        <v>30</v>
      </c>
      <c r="Q71" s="12">
        <f>'Base Period'!BZ85</f>
        <v>0</v>
      </c>
      <c r="R71" s="6"/>
      <c r="S71" s="6" t="s">
        <v>30</v>
      </c>
      <c r="T71" s="12">
        <f>'Base Period'!CC85</f>
        <v>0</v>
      </c>
      <c r="U71" s="6"/>
      <c r="V71" s="6" t="s">
        <v>30</v>
      </c>
      <c r="W71" s="12">
        <f>'Base Period'!CF85</f>
        <v>0</v>
      </c>
      <c r="X71" s="6"/>
      <c r="Y71" s="6" t="s">
        <v>30</v>
      </c>
      <c r="Z71" s="12">
        <f>'Base Period'!CI85</f>
        <v>0</v>
      </c>
      <c r="AA71" s="6"/>
      <c r="AB71" s="6" t="s">
        <v>30</v>
      </c>
      <c r="AC71" s="12">
        <f>'Base Period'!CL85</f>
        <v>0</v>
      </c>
      <c r="AD71" s="6"/>
      <c r="AE71" s="6" t="s">
        <v>30</v>
      </c>
      <c r="AF71" s="12">
        <f>'Base Period'!CO85</f>
        <v>0</v>
      </c>
      <c r="AH71" s="11">
        <f>SUMIF($12:$12,"Dollar Value",71:71 )</f>
        <v>0</v>
      </c>
      <c r="AK71" s="149"/>
    </row>
    <row r="72" spans="2:37" ht="15.75" x14ac:dyDescent="0.25">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H72" s="11"/>
      <c r="AK72" s="149"/>
    </row>
    <row r="73" spans="2:37" ht="15.75" x14ac:dyDescent="0.25">
      <c r="B73" t="s">
        <v>81</v>
      </c>
      <c r="C73" s="2"/>
      <c r="D73" s="6" t="s">
        <v>30</v>
      </c>
      <c r="E73" s="6">
        <f>'Base Period'!BN87</f>
        <v>0</v>
      </c>
      <c r="F73" s="6"/>
      <c r="G73" s="6" t="s">
        <v>30</v>
      </c>
      <c r="H73" s="6">
        <f>'Option Period 1'!BN87</f>
        <v>0</v>
      </c>
      <c r="I73" s="6"/>
      <c r="J73" s="6" t="s">
        <v>30</v>
      </c>
      <c r="K73" s="6" t="e">
        <f>#REF!</f>
        <v>#REF!</v>
      </c>
      <c r="L73" s="6"/>
      <c r="M73" s="6" t="s">
        <v>30</v>
      </c>
      <c r="N73" s="6" t="e">
        <f>#REF!</f>
        <v>#REF!</v>
      </c>
      <c r="O73" s="6"/>
      <c r="P73" s="6" t="s">
        <v>30</v>
      </c>
      <c r="Q73" s="6" t="e">
        <f>#REF!</f>
        <v>#REF!</v>
      </c>
      <c r="R73" s="6"/>
      <c r="S73" s="6" t="s">
        <v>30</v>
      </c>
      <c r="T73" s="6" t="e">
        <f>#REF!</f>
        <v>#REF!</v>
      </c>
      <c r="U73" s="6"/>
      <c r="V73" s="6" t="s">
        <v>30</v>
      </c>
      <c r="W73" s="6" t="e">
        <f>#REF!</f>
        <v>#REF!</v>
      </c>
      <c r="X73" s="6"/>
      <c r="Y73" s="6" t="s">
        <v>30</v>
      </c>
      <c r="Z73" s="6" t="e">
        <f>#REF!</f>
        <v>#REF!</v>
      </c>
      <c r="AA73" s="6"/>
      <c r="AB73" s="6" t="s">
        <v>30</v>
      </c>
      <c r="AC73" s="6" t="e">
        <f>#REF!</f>
        <v>#REF!</v>
      </c>
      <c r="AD73" s="6"/>
      <c r="AE73" s="6" t="s">
        <v>30</v>
      </c>
      <c r="AF73" s="6" t="e">
        <f>#REF!</f>
        <v>#REF!</v>
      </c>
      <c r="AH73" s="11" t="e">
        <f>SUMIF($12:$12,"Dollar Value",73:73 )</f>
        <v>#REF!</v>
      </c>
      <c r="AK73" s="151" t="e">
        <f>ROUND(AH73-'Base Period'!BN87-'Option Period 1'!BN87-#REF!-#REF!-#REF!-#REF!-#REF!-#REF!-#REF!-#REF!,0)</f>
        <v>#REF!</v>
      </c>
    </row>
    <row r="74" spans="2:37" ht="15.75" hidden="1" x14ac:dyDescent="0.25">
      <c r="D74" s="6" t="s">
        <v>30</v>
      </c>
      <c r="E74" s="18">
        <f>'Base Period'!BN87</f>
        <v>0</v>
      </c>
      <c r="F74" s="6"/>
      <c r="G74" s="6" t="s">
        <v>30</v>
      </c>
      <c r="H74" s="18">
        <f>'Base Period'!BQ87</f>
        <v>0</v>
      </c>
      <c r="I74" s="6"/>
      <c r="J74" s="6" t="s">
        <v>30</v>
      </c>
      <c r="K74" s="18">
        <f>'Base Period'!BT87</f>
        <v>0</v>
      </c>
      <c r="L74" s="6"/>
      <c r="M74" s="6" t="s">
        <v>30</v>
      </c>
      <c r="N74" s="18">
        <f>'Base Period'!BW87</f>
        <v>0</v>
      </c>
      <c r="O74" s="6"/>
      <c r="P74" s="6" t="s">
        <v>30</v>
      </c>
      <c r="Q74" s="18">
        <f>'Base Period'!BZ87</f>
        <v>0</v>
      </c>
      <c r="R74" s="6"/>
      <c r="S74" s="6" t="s">
        <v>30</v>
      </c>
      <c r="T74" s="18">
        <f>'Base Period'!CC87</f>
        <v>0</v>
      </c>
      <c r="U74" s="6"/>
      <c r="V74" s="6" t="s">
        <v>30</v>
      </c>
      <c r="W74" s="18">
        <f>'Base Period'!CF87</f>
        <v>0</v>
      </c>
      <c r="X74" s="6"/>
      <c r="Y74" s="6" t="s">
        <v>30</v>
      </c>
      <c r="Z74" s="18">
        <f>'Base Period'!CI87</f>
        <v>0</v>
      </c>
      <c r="AA74" s="6"/>
      <c r="AB74" s="6" t="s">
        <v>30</v>
      </c>
      <c r="AC74" s="18">
        <f>'Base Period'!CL87</f>
        <v>0</v>
      </c>
      <c r="AD74" s="6"/>
      <c r="AE74" s="6" t="s">
        <v>30</v>
      </c>
      <c r="AF74" s="18">
        <f>'Base Period'!CO87</f>
        <v>0</v>
      </c>
      <c r="AH74" s="11">
        <f>SUMIF($12:$12,"Dollar Value",74:74 )</f>
        <v>0</v>
      </c>
      <c r="AK74" s="149"/>
    </row>
    <row r="75" spans="2:37" ht="15.75" x14ac:dyDescent="0.25">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H75" s="11"/>
      <c r="AK75" s="149"/>
    </row>
    <row r="76" spans="2:37" ht="15.75" x14ac:dyDescent="0.25">
      <c r="B76" t="s">
        <v>82</v>
      </c>
      <c r="C76" s="2"/>
      <c r="D76" s="6" t="s">
        <v>30</v>
      </c>
      <c r="E76" s="6">
        <f>'Base Period'!BN89</f>
        <v>0</v>
      </c>
      <c r="F76" s="6"/>
      <c r="G76" s="6" t="s">
        <v>30</v>
      </c>
      <c r="H76" s="6">
        <f>'Option Period 1'!BN89</f>
        <v>0</v>
      </c>
      <c r="I76" s="6"/>
      <c r="J76" s="6" t="s">
        <v>30</v>
      </c>
      <c r="K76" s="6" t="e">
        <f>#REF!</f>
        <v>#REF!</v>
      </c>
      <c r="L76" s="6"/>
      <c r="M76" s="6" t="s">
        <v>30</v>
      </c>
      <c r="N76" s="6" t="e">
        <f>#REF!</f>
        <v>#REF!</v>
      </c>
      <c r="O76" s="6"/>
      <c r="P76" s="6" t="s">
        <v>30</v>
      </c>
      <c r="Q76" s="6" t="e">
        <f>#REF!</f>
        <v>#REF!</v>
      </c>
      <c r="R76" s="6"/>
      <c r="S76" s="6" t="s">
        <v>30</v>
      </c>
      <c r="T76" s="6" t="e">
        <f>#REF!</f>
        <v>#REF!</v>
      </c>
      <c r="U76" s="6"/>
      <c r="V76" s="6" t="s">
        <v>30</v>
      </c>
      <c r="W76" s="6" t="e">
        <f>#REF!</f>
        <v>#REF!</v>
      </c>
      <c r="X76" s="6"/>
      <c r="Y76" s="6" t="s">
        <v>30</v>
      </c>
      <c r="Z76" s="6" t="e">
        <f>#REF!</f>
        <v>#REF!</v>
      </c>
      <c r="AA76" s="6"/>
      <c r="AB76" s="6" t="s">
        <v>30</v>
      </c>
      <c r="AC76" s="6" t="e">
        <f>#REF!</f>
        <v>#REF!</v>
      </c>
      <c r="AD76" s="6"/>
      <c r="AE76" s="6" t="s">
        <v>30</v>
      </c>
      <c r="AF76" s="6" t="e">
        <f>#REF!</f>
        <v>#REF!</v>
      </c>
      <c r="AH76" s="11" t="e">
        <f>SUMIF($12:$12,"Dollar Value",76:76 )</f>
        <v>#REF!</v>
      </c>
      <c r="AK76" s="151" t="e">
        <f>ROUND(AH76-'Base Period'!BN89-'Option Period 1'!BN89-#REF!-#REF!-#REF!-#REF!-#REF!-#REF!-#REF!-#REF!,0)</f>
        <v>#REF!</v>
      </c>
    </row>
    <row r="77" spans="2:37" ht="15.75" hidden="1" x14ac:dyDescent="0.25">
      <c r="D77" s="6" t="s">
        <v>30</v>
      </c>
      <c r="E77" s="18">
        <f>'Base Period'!BN89</f>
        <v>0</v>
      </c>
      <c r="F77" s="6"/>
      <c r="G77" s="6" t="s">
        <v>30</v>
      </c>
      <c r="H77" s="18">
        <f>'Base Period'!BQ89</f>
        <v>0</v>
      </c>
      <c r="I77" s="6"/>
      <c r="J77" s="6" t="s">
        <v>30</v>
      </c>
      <c r="K77" s="18">
        <f>'Base Period'!BT89</f>
        <v>0</v>
      </c>
      <c r="L77" s="6"/>
      <c r="M77" s="6" t="s">
        <v>30</v>
      </c>
      <c r="N77" s="18">
        <f>'Base Period'!BW89</f>
        <v>0</v>
      </c>
      <c r="O77" s="6"/>
      <c r="P77" s="6" t="s">
        <v>30</v>
      </c>
      <c r="Q77" s="18">
        <f>'Base Period'!BZ89</f>
        <v>0</v>
      </c>
      <c r="R77" s="6"/>
      <c r="S77" s="6" t="s">
        <v>30</v>
      </c>
      <c r="T77" s="18">
        <f>'Base Period'!CC89</f>
        <v>0</v>
      </c>
      <c r="U77" s="6"/>
      <c r="V77" s="6" t="s">
        <v>30</v>
      </c>
      <c r="W77" s="18">
        <f>'Base Period'!CF89</f>
        <v>0</v>
      </c>
      <c r="X77" s="6"/>
      <c r="Y77" s="6" t="s">
        <v>30</v>
      </c>
      <c r="Z77" s="18">
        <f>'Base Period'!CI89</f>
        <v>0</v>
      </c>
      <c r="AA77" s="6"/>
      <c r="AB77" s="6" t="s">
        <v>30</v>
      </c>
      <c r="AC77" s="18">
        <f>'Base Period'!CL89</f>
        <v>0</v>
      </c>
      <c r="AD77" s="6"/>
      <c r="AE77" s="6" t="s">
        <v>30</v>
      </c>
      <c r="AF77" s="18">
        <f>'Base Period'!CO89</f>
        <v>0</v>
      </c>
      <c r="AH77" s="11">
        <f>SUMIF($12:$12,"Dollar Value",77:77 )</f>
        <v>0</v>
      </c>
      <c r="AK77" s="149"/>
    </row>
    <row r="78" spans="2:37" ht="15.75" x14ac:dyDescent="0.25">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H78" s="11"/>
      <c r="AK78" s="149"/>
    </row>
    <row r="79" spans="2:37" ht="15.75" x14ac:dyDescent="0.25">
      <c r="B79" t="s">
        <v>83</v>
      </c>
      <c r="C79" s="2"/>
      <c r="D79" s="6" t="s">
        <v>30</v>
      </c>
      <c r="E79" s="6">
        <f>'Base Period'!BN91</f>
        <v>0</v>
      </c>
      <c r="F79" s="6"/>
      <c r="G79" s="6" t="s">
        <v>30</v>
      </c>
      <c r="H79" s="6">
        <f>'Option Period 1'!BN91</f>
        <v>0</v>
      </c>
      <c r="I79" s="6"/>
      <c r="J79" s="6" t="s">
        <v>30</v>
      </c>
      <c r="K79" s="6" t="e">
        <f>#REF!</f>
        <v>#REF!</v>
      </c>
      <c r="L79" s="6"/>
      <c r="M79" s="6" t="s">
        <v>30</v>
      </c>
      <c r="N79" s="6" t="e">
        <f>#REF!</f>
        <v>#REF!</v>
      </c>
      <c r="O79" s="6"/>
      <c r="P79" s="6" t="s">
        <v>30</v>
      </c>
      <c r="Q79" s="6" t="e">
        <f>#REF!</f>
        <v>#REF!</v>
      </c>
      <c r="R79" s="6"/>
      <c r="S79" s="6" t="s">
        <v>30</v>
      </c>
      <c r="T79" s="6" t="e">
        <f>#REF!</f>
        <v>#REF!</v>
      </c>
      <c r="U79" s="6"/>
      <c r="V79" s="6" t="s">
        <v>30</v>
      </c>
      <c r="W79" s="6" t="e">
        <f>#REF!</f>
        <v>#REF!</v>
      </c>
      <c r="X79" s="6"/>
      <c r="Y79" s="6" t="s">
        <v>30</v>
      </c>
      <c r="Z79" s="6" t="e">
        <f>#REF!</f>
        <v>#REF!</v>
      </c>
      <c r="AA79" s="6"/>
      <c r="AB79" s="6" t="s">
        <v>30</v>
      </c>
      <c r="AC79" s="6" t="e">
        <f>#REF!</f>
        <v>#REF!</v>
      </c>
      <c r="AD79" s="6"/>
      <c r="AE79" s="6" t="s">
        <v>30</v>
      </c>
      <c r="AF79" s="6" t="e">
        <f>#REF!</f>
        <v>#REF!</v>
      </c>
      <c r="AH79" s="11" t="e">
        <f>SUMIF($12:$12,"Dollar Value",79:79 )</f>
        <v>#REF!</v>
      </c>
      <c r="AK79" s="151" t="e">
        <f>ROUND(AH79-'Base Period'!BN91-'Option Period 1'!BN91-#REF!-#REF!-#REF!-#REF!-#REF!-#REF!-#REF!-#REF!,0)</f>
        <v>#REF!</v>
      </c>
    </row>
    <row r="80" spans="2:37" ht="15.75" hidden="1" x14ac:dyDescent="0.25">
      <c r="D80" s="6" t="s">
        <v>30</v>
      </c>
      <c r="E80" s="18">
        <f>'Base Period'!BN91</f>
        <v>0</v>
      </c>
      <c r="F80" s="6"/>
      <c r="G80" s="6" t="s">
        <v>30</v>
      </c>
      <c r="H80" s="18">
        <f>'Base Period'!BQ91</f>
        <v>0</v>
      </c>
      <c r="I80" s="6"/>
      <c r="J80" s="6" t="s">
        <v>30</v>
      </c>
      <c r="K80" s="18">
        <f>'Base Period'!BT91</f>
        <v>0</v>
      </c>
      <c r="L80" s="6"/>
      <c r="M80" s="6" t="s">
        <v>30</v>
      </c>
      <c r="N80" s="18">
        <f>'Base Period'!BW91</f>
        <v>0</v>
      </c>
      <c r="O80" s="6"/>
      <c r="P80" s="6" t="s">
        <v>30</v>
      </c>
      <c r="Q80" s="18">
        <f>'Base Period'!BZ91</f>
        <v>0</v>
      </c>
      <c r="R80" s="6"/>
      <c r="S80" s="6" t="s">
        <v>30</v>
      </c>
      <c r="T80" s="18">
        <f>'Base Period'!CC91</f>
        <v>0</v>
      </c>
      <c r="U80" s="6"/>
      <c r="V80" s="6" t="s">
        <v>30</v>
      </c>
      <c r="W80" s="18">
        <f>'Base Period'!CF91</f>
        <v>0</v>
      </c>
      <c r="X80" s="6"/>
      <c r="Y80" s="6" t="s">
        <v>30</v>
      </c>
      <c r="Z80" s="18">
        <f>'Base Period'!CI91</f>
        <v>0</v>
      </c>
      <c r="AA80" s="6"/>
      <c r="AB80" s="6" t="s">
        <v>30</v>
      </c>
      <c r="AC80" s="18">
        <f>'Base Period'!CL91</f>
        <v>0</v>
      </c>
      <c r="AD80" s="6"/>
      <c r="AE80" s="6" t="s">
        <v>30</v>
      </c>
      <c r="AF80" s="18">
        <f>'Base Period'!CO91</f>
        <v>0</v>
      </c>
      <c r="AH80" s="11">
        <f>SUMIF($12:$12,"Dollar Value",80:80 )</f>
        <v>0</v>
      </c>
      <c r="AK80" s="149"/>
    </row>
    <row r="81" spans="2:37" ht="15.75" x14ac:dyDescent="0.25">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H81" s="11"/>
      <c r="AK81" s="149"/>
    </row>
    <row r="82" spans="2:37" ht="15.75" x14ac:dyDescent="0.25">
      <c r="B82" t="s">
        <v>84</v>
      </c>
      <c r="D82" s="6" t="s">
        <v>30</v>
      </c>
      <c r="E82" s="6">
        <f>'Base Period'!BN93</f>
        <v>0</v>
      </c>
      <c r="F82" s="6"/>
      <c r="G82" s="6" t="s">
        <v>30</v>
      </c>
      <c r="H82" s="6">
        <f>'Option Period 1'!BN93</f>
        <v>0</v>
      </c>
      <c r="I82" s="6"/>
      <c r="J82" s="6" t="s">
        <v>30</v>
      </c>
      <c r="K82" s="6" t="e">
        <f>#REF!</f>
        <v>#REF!</v>
      </c>
      <c r="L82" s="6"/>
      <c r="M82" s="6" t="s">
        <v>30</v>
      </c>
      <c r="N82" s="6" t="e">
        <f>#REF!</f>
        <v>#REF!</v>
      </c>
      <c r="O82" s="6"/>
      <c r="P82" s="6" t="s">
        <v>30</v>
      </c>
      <c r="Q82" s="6" t="e">
        <f>#REF!</f>
        <v>#REF!</v>
      </c>
      <c r="R82" s="6"/>
      <c r="S82" s="6" t="s">
        <v>30</v>
      </c>
      <c r="T82" s="6" t="e">
        <f>#REF!</f>
        <v>#REF!</v>
      </c>
      <c r="U82" s="6"/>
      <c r="V82" s="6" t="s">
        <v>30</v>
      </c>
      <c r="W82" s="6" t="e">
        <f>#REF!</f>
        <v>#REF!</v>
      </c>
      <c r="X82" s="6"/>
      <c r="Y82" s="6" t="s">
        <v>30</v>
      </c>
      <c r="Z82" s="6" t="e">
        <f>#REF!</f>
        <v>#REF!</v>
      </c>
      <c r="AA82" s="6"/>
      <c r="AB82" s="6" t="s">
        <v>30</v>
      </c>
      <c r="AC82" s="6" t="e">
        <f>#REF!</f>
        <v>#REF!</v>
      </c>
      <c r="AD82" s="6"/>
      <c r="AE82" s="6" t="s">
        <v>30</v>
      </c>
      <c r="AF82" s="6" t="e">
        <f>#REF!</f>
        <v>#REF!</v>
      </c>
      <c r="AH82" s="11" t="e">
        <f>SUMIF($12:$12,"Dollar Value",82:82 )</f>
        <v>#REF!</v>
      </c>
      <c r="AK82" s="151" t="e">
        <f>ROUND(AH82-'Base Period'!BN93-'Option Period 1'!BN93-#REF!-#REF!-#REF!-#REF!-#REF!-#REF!-#REF!-#REF!,0)</f>
        <v>#REF!</v>
      </c>
    </row>
    <row r="83" spans="2:37" ht="15.75" hidden="1" x14ac:dyDescent="0.25">
      <c r="D83" s="6" t="s">
        <v>30</v>
      </c>
      <c r="E83" s="18">
        <f>'Base Period'!BN93</f>
        <v>0</v>
      </c>
      <c r="F83" s="6"/>
      <c r="G83" s="6" t="s">
        <v>30</v>
      </c>
      <c r="H83" s="18">
        <f>'Option Period 1'!BN102</f>
        <v>0</v>
      </c>
      <c r="I83" s="6"/>
      <c r="J83" s="6" t="s">
        <v>30</v>
      </c>
      <c r="K83" s="18" t="e">
        <f>#REF!</f>
        <v>#REF!</v>
      </c>
      <c r="L83" s="6"/>
      <c r="M83" s="6" t="s">
        <v>30</v>
      </c>
      <c r="N83" s="18" t="e">
        <f>#REF!</f>
        <v>#REF!</v>
      </c>
      <c r="O83" s="6"/>
      <c r="P83" s="6" t="s">
        <v>30</v>
      </c>
      <c r="Q83" s="18" t="e">
        <f>#REF!</f>
        <v>#REF!</v>
      </c>
      <c r="R83" s="6"/>
      <c r="S83" s="6" t="s">
        <v>30</v>
      </c>
      <c r="T83" s="18" t="e">
        <f>#REF!</f>
        <v>#REF!</v>
      </c>
      <c r="U83" s="6"/>
      <c r="V83" s="6" t="s">
        <v>30</v>
      </c>
      <c r="W83" s="18" t="e">
        <f>#REF!</f>
        <v>#REF!</v>
      </c>
      <c r="X83" s="6"/>
      <c r="Y83" s="6" t="s">
        <v>30</v>
      </c>
      <c r="Z83" s="18" t="e">
        <f>#REF!</f>
        <v>#REF!</v>
      </c>
      <c r="AA83" s="6"/>
      <c r="AB83" s="6" t="s">
        <v>30</v>
      </c>
      <c r="AC83" s="18" t="e">
        <f>#REF!</f>
        <v>#REF!</v>
      </c>
      <c r="AD83" s="6"/>
      <c r="AE83" s="6" t="s">
        <v>30</v>
      </c>
      <c r="AF83" s="18" t="e">
        <f>#REF!</f>
        <v>#REF!</v>
      </c>
      <c r="AH83" s="11" t="e">
        <f>SUMIF($12:$12,"Dollar Value",83:83 )</f>
        <v>#REF!</v>
      </c>
      <c r="AK83" s="149"/>
    </row>
    <row r="84" spans="2:37" ht="15.75" x14ac:dyDescent="0.25">
      <c r="D84" s="6"/>
      <c r="E84" s="18"/>
      <c r="F84" s="6"/>
      <c r="G84" s="6"/>
      <c r="H84" s="18"/>
      <c r="I84" s="6"/>
      <c r="J84" s="6"/>
      <c r="K84" s="18"/>
      <c r="L84" s="6"/>
      <c r="M84" s="6"/>
      <c r="N84" s="18"/>
      <c r="O84" s="6"/>
      <c r="P84" s="6"/>
      <c r="Q84" s="18"/>
      <c r="R84" s="6"/>
      <c r="S84" s="6"/>
      <c r="T84" s="18"/>
      <c r="U84" s="6"/>
      <c r="V84" s="6"/>
      <c r="W84" s="18"/>
      <c r="X84" s="6"/>
      <c r="Y84" s="6"/>
      <c r="Z84" s="18"/>
      <c r="AA84" s="6"/>
      <c r="AB84" s="6"/>
      <c r="AC84" s="18"/>
      <c r="AD84" s="6"/>
      <c r="AE84" s="6"/>
      <c r="AF84" s="18"/>
      <c r="AH84" s="11"/>
      <c r="AK84" s="149"/>
    </row>
    <row r="85" spans="2:37" ht="15.75" x14ac:dyDescent="0.25">
      <c r="B85" t="s">
        <v>115</v>
      </c>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H85" s="14"/>
      <c r="AK85" s="149"/>
    </row>
    <row r="86" spans="2:37" ht="15.75" x14ac:dyDescent="0.25">
      <c r="B86" s="3"/>
      <c r="D86" s="6"/>
      <c r="E86" s="19"/>
      <c r="F86" s="6"/>
      <c r="G86" s="6"/>
      <c r="H86" s="19"/>
      <c r="I86" s="6"/>
      <c r="J86" s="6"/>
      <c r="K86" s="19"/>
      <c r="L86" s="6"/>
      <c r="M86" s="6"/>
      <c r="N86" s="19"/>
      <c r="O86" s="6"/>
      <c r="P86" s="6"/>
      <c r="Q86" s="19"/>
      <c r="R86" s="6"/>
      <c r="S86" s="6"/>
      <c r="T86" s="19"/>
      <c r="U86" s="6"/>
      <c r="V86" s="6"/>
      <c r="W86" s="19"/>
      <c r="X86" s="6"/>
      <c r="Y86" s="6"/>
      <c r="Z86" s="19"/>
      <c r="AA86" s="6"/>
      <c r="AB86" s="6"/>
      <c r="AC86" s="19"/>
      <c r="AD86" s="6"/>
      <c r="AE86" s="6"/>
      <c r="AF86" s="19"/>
      <c r="AH86" s="14"/>
      <c r="AK86" s="149"/>
    </row>
    <row r="87" spans="2:37" ht="15.75" x14ac:dyDescent="0.25">
      <c r="B87" t="s">
        <v>15</v>
      </c>
      <c r="D87" s="6" t="s">
        <v>38</v>
      </c>
      <c r="E87" s="12">
        <f>'Base Period'!BN104</f>
        <v>0</v>
      </c>
      <c r="F87" s="6"/>
      <c r="G87" s="6" t="s">
        <v>38</v>
      </c>
      <c r="H87" s="12">
        <f>'Option Period 1'!BN104</f>
        <v>0</v>
      </c>
      <c r="I87" s="6"/>
      <c r="J87" s="6" t="s">
        <v>38</v>
      </c>
      <c r="K87" s="12" t="e">
        <f>#REF!</f>
        <v>#REF!</v>
      </c>
      <c r="L87" s="6"/>
      <c r="M87" s="6" t="s">
        <v>38</v>
      </c>
      <c r="N87" s="12" t="e">
        <f>#REF!</f>
        <v>#REF!</v>
      </c>
      <c r="O87" s="6"/>
      <c r="P87" s="6" t="s">
        <v>38</v>
      </c>
      <c r="Q87" s="12" t="e">
        <f>#REF!</f>
        <v>#REF!</v>
      </c>
      <c r="R87" s="6"/>
      <c r="S87" s="6" t="s">
        <v>38</v>
      </c>
      <c r="T87" s="12" t="e">
        <f>#REF!</f>
        <v>#REF!</v>
      </c>
      <c r="U87" s="6"/>
      <c r="V87" s="6" t="s">
        <v>38</v>
      </c>
      <c r="W87" s="12" t="e">
        <f>#REF!</f>
        <v>#REF!</v>
      </c>
      <c r="X87" s="6"/>
      <c r="Y87" s="6" t="s">
        <v>38</v>
      </c>
      <c r="Z87" s="12" t="e">
        <f>#REF!</f>
        <v>#REF!</v>
      </c>
      <c r="AA87" s="6"/>
      <c r="AB87" s="6" t="s">
        <v>38</v>
      </c>
      <c r="AC87" s="12" t="e">
        <f>#REF!</f>
        <v>#REF!</v>
      </c>
      <c r="AD87" s="6"/>
      <c r="AE87" s="6" t="s">
        <v>38</v>
      </c>
      <c r="AF87" s="12" t="e">
        <f>#REF!</f>
        <v>#REF!</v>
      </c>
      <c r="AH87" s="11" t="e">
        <f>SUMIF($12:$12,"Dollar Value",87:87 )</f>
        <v>#REF!</v>
      </c>
      <c r="AK87" s="151" t="e">
        <f>ROUND(AH87-'Base Period'!BN104-'Option Period 1'!BN104-#REF!-#REF!-#REF!-#REF!-#REF!-#REF!-#REF!-#REF!,0)</f>
        <v>#REF!</v>
      </c>
    </row>
    <row r="88" spans="2:37" ht="15.75" x14ac:dyDescent="0.25">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H88" s="24"/>
      <c r="AK88" s="149"/>
    </row>
    <row r="89" spans="2:37" ht="15.75" x14ac:dyDescent="0.25">
      <c r="B89" s="3"/>
      <c r="D89" s="6"/>
      <c r="E89" s="19"/>
      <c r="F89" s="6"/>
      <c r="G89" s="6"/>
      <c r="H89" s="19"/>
      <c r="I89" s="6"/>
      <c r="J89" s="6"/>
      <c r="K89" s="19"/>
      <c r="L89" s="6"/>
      <c r="M89" s="6"/>
      <c r="N89" s="19"/>
      <c r="O89" s="6"/>
      <c r="P89" s="6"/>
      <c r="Q89" s="19"/>
      <c r="R89" s="6"/>
      <c r="S89" s="6"/>
      <c r="T89" s="19"/>
      <c r="U89" s="6"/>
      <c r="V89" s="6"/>
      <c r="W89" s="19"/>
      <c r="X89" s="6"/>
      <c r="Y89" s="6"/>
      <c r="Z89" s="19"/>
      <c r="AA89" s="6"/>
      <c r="AB89" s="6"/>
      <c r="AC89" s="19"/>
      <c r="AD89" s="6"/>
      <c r="AE89" s="6"/>
      <c r="AF89" s="19"/>
      <c r="AH89" s="14"/>
      <c r="AK89" s="149"/>
    </row>
    <row r="90" spans="2:37" ht="15.75" x14ac:dyDescent="0.25">
      <c r="B90" t="s">
        <v>18</v>
      </c>
      <c r="D90" s="6" t="s">
        <v>38</v>
      </c>
      <c r="E90" s="12">
        <f>'Base Period'!BN114</f>
        <v>0</v>
      </c>
      <c r="F90" s="6"/>
      <c r="G90" s="6" t="s">
        <v>38</v>
      </c>
      <c r="H90" s="12">
        <f>'Option Period 1'!BN114</f>
        <v>0</v>
      </c>
      <c r="I90" s="6"/>
      <c r="J90" s="6" t="s">
        <v>38</v>
      </c>
      <c r="K90" s="12" t="e">
        <f>#REF!</f>
        <v>#REF!</v>
      </c>
      <c r="L90" s="6"/>
      <c r="M90" s="6" t="s">
        <v>38</v>
      </c>
      <c r="N90" s="12" t="e">
        <f>#REF!</f>
        <v>#REF!</v>
      </c>
      <c r="O90" s="6"/>
      <c r="P90" s="6" t="s">
        <v>38</v>
      </c>
      <c r="Q90" s="12" t="e">
        <f>#REF!</f>
        <v>#REF!</v>
      </c>
      <c r="R90" s="6"/>
      <c r="S90" s="6" t="s">
        <v>38</v>
      </c>
      <c r="T90" s="12" t="e">
        <f>#REF!</f>
        <v>#REF!</v>
      </c>
      <c r="U90" s="6"/>
      <c r="V90" s="6" t="s">
        <v>38</v>
      </c>
      <c r="W90" s="12" t="e">
        <f>#REF!</f>
        <v>#REF!</v>
      </c>
      <c r="X90" s="6"/>
      <c r="Y90" s="6" t="s">
        <v>38</v>
      </c>
      <c r="Z90" s="12" t="e">
        <f>#REF!</f>
        <v>#REF!</v>
      </c>
      <c r="AA90" s="6"/>
      <c r="AB90" s="6" t="s">
        <v>38</v>
      </c>
      <c r="AC90" s="12" t="e">
        <f>#REF!</f>
        <v>#REF!</v>
      </c>
      <c r="AD90" s="6"/>
      <c r="AE90" s="6" t="s">
        <v>38</v>
      </c>
      <c r="AF90" s="12" t="e">
        <f>#REF!</f>
        <v>#REF!</v>
      </c>
      <c r="AH90" s="11" t="e">
        <f>SUMIF($12:$12,"Dollar Value",90:90 )</f>
        <v>#REF!</v>
      </c>
      <c r="AK90" s="151" t="e">
        <f>ROUND(AH90-'Base Period'!BN114-'Option Period 1'!BN114-#REF!-#REF!-#REF!-#REF!-#REF!-#REF!-#REF!-#REF!,0)</f>
        <v>#REF!</v>
      </c>
    </row>
    <row r="91" spans="2:37" ht="15.75" x14ac:dyDescent="0.25">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H91" s="24"/>
      <c r="AK91" s="149"/>
    </row>
    <row r="92" spans="2:37" ht="15.75" x14ac:dyDescent="0.25">
      <c r="B92" s="3"/>
      <c r="D92" s="6"/>
      <c r="E92" s="19"/>
      <c r="F92" s="6"/>
      <c r="G92" s="6"/>
      <c r="H92" s="19"/>
      <c r="I92" s="6"/>
      <c r="J92" s="6"/>
      <c r="K92" s="19"/>
      <c r="L92" s="6"/>
      <c r="M92" s="6"/>
      <c r="N92" s="19"/>
      <c r="O92" s="6"/>
      <c r="P92" s="6"/>
      <c r="Q92" s="19"/>
      <c r="R92" s="6"/>
      <c r="S92" s="6"/>
      <c r="T92" s="19"/>
      <c r="U92" s="6"/>
      <c r="V92" s="6"/>
      <c r="W92" s="19"/>
      <c r="X92" s="6"/>
      <c r="Y92" s="6"/>
      <c r="Z92" s="19"/>
      <c r="AA92" s="6"/>
      <c r="AB92" s="6"/>
      <c r="AC92" s="19"/>
      <c r="AD92" s="6"/>
      <c r="AE92" s="6"/>
      <c r="AF92" s="19"/>
      <c r="AH92" s="14"/>
      <c r="AK92" s="149"/>
    </row>
    <row r="93" spans="2:37" ht="15.75" x14ac:dyDescent="0.25">
      <c r="B93" t="s">
        <v>85</v>
      </c>
      <c r="D93" s="6" t="s">
        <v>38</v>
      </c>
      <c r="E93" s="12">
        <f>'Base Period'!$BN124</f>
        <v>0</v>
      </c>
      <c r="F93" s="6"/>
      <c r="G93" s="6" t="s">
        <v>38</v>
      </c>
      <c r="H93" s="12">
        <f>'Option Period 1'!BN124</f>
        <v>0</v>
      </c>
      <c r="I93" s="6"/>
      <c r="J93" s="6" t="s">
        <v>38</v>
      </c>
      <c r="K93" s="12" t="e">
        <f>#REF!</f>
        <v>#REF!</v>
      </c>
      <c r="L93" s="6"/>
      <c r="M93" s="6" t="s">
        <v>38</v>
      </c>
      <c r="N93" s="12" t="e">
        <f>#REF!</f>
        <v>#REF!</v>
      </c>
      <c r="O93" s="6"/>
      <c r="P93" s="6" t="s">
        <v>38</v>
      </c>
      <c r="Q93" s="12" t="e">
        <f>#REF!</f>
        <v>#REF!</v>
      </c>
      <c r="R93" s="6"/>
      <c r="S93" s="6" t="s">
        <v>38</v>
      </c>
      <c r="T93" s="12" t="e">
        <f>#REF!</f>
        <v>#REF!</v>
      </c>
      <c r="U93" s="6"/>
      <c r="V93" s="6" t="s">
        <v>38</v>
      </c>
      <c r="W93" s="12" t="e">
        <f>#REF!</f>
        <v>#REF!</v>
      </c>
      <c r="X93" s="6"/>
      <c r="Y93" s="6" t="s">
        <v>38</v>
      </c>
      <c r="Z93" s="12" t="e">
        <f>#REF!</f>
        <v>#REF!</v>
      </c>
      <c r="AA93" s="6"/>
      <c r="AB93" s="6" t="s">
        <v>38</v>
      </c>
      <c r="AC93" s="12" t="e">
        <f>#REF!</f>
        <v>#REF!</v>
      </c>
      <c r="AD93" s="6"/>
      <c r="AE93" s="6" t="s">
        <v>38</v>
      </c>
      <c r="AF93" s="12" t="e">
        <f>#REF!</f>
        <v>#REF!</v>
      </c>
      <c r="AH93" s="11" t="e">
        <f>SUMIF($12:$12,"Dollar Value",93:93 )</f>
        <v>#REF!</v>
      </c>
      <c r="AK93" s="151" t="e">
        <f>ROUND(AH93-'Base Period'!BN124-'Option Period 1'!BN124-#REF!-#REF!-#REF!-#REF!-#REF!-#REF!-#REF!-#REF!,0)</f>
        <v>#REF!</v>
      </c>
    </row>
    <row r="94" spans="2:37" ht="15.75" x14ac:dyDescent="0.25">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H94" s="24"/>
      <c r="AK94" s="149"/>
    </row>
    <row r="95" spans="2:37" ht="15.75" x14ac:dyDescent="0.25">
      <c r="B95" s="3"/>
      <c r="D95" s="6"/>
      <c r="E95" s="19"/>
      <c r="F95" s="6"/>
      <c r="G95" s="6"/>
      <c r="H95" s="19"/>
      <c r="I95" s="6"/>
      <c r="J95" s="6"/>
      <c r="K95" s="19"/>
      <c r="L95" s="6"/>
      <c r="M95" s="6"/>
      <c r="N95" s="19"/>
      <c r="O95" s="6"/>
      <c r="P95" s="6"/>
      <c r="Q95" s="19"/>
      <c r="R95" s="6"/>
      <c r="S95" s="6"/>
      <c r="T95" s="19"/>
      <c r="U95" s="6"/>
      <c r="V95" s="6"/>
      <c r="W95" s="19"/>
      <c r="X95" s="6"/>
      <c r="Y95" s="6"/>
      <c r="Z95" s="19"/>
      <c r="AA95" s="6"/>
      <c r="AB95" s="6"/>
      <c r="AC95" s="19"/>
      <c r="AD95" s="6"/>
      <c r="AE95" s="6"/>
      <c r="AF95" s="19"/>
      <c r="AH95" s="14"/>
      <c r="AK95" s="149"/>
    </row>
    <row r="96" spans="2:37" ht="15.75" x14ac:dyDescent="0.25">
      <c r="B96" t="s">
        <v>86</v>
      </c>
      <c r="D96" s="6" t="s">
        <v>38</v>
      </c>
      <c r="E96" s="12">
        <f>'Base Period'!BN134</f>
        <v>0</v>
      </c>
      <c r="F96" s="6"/>
      <c r="G96" s="6" t="s">
        <v>38</v>
      </c>
      <c r="H96" s="12">
        <f>'Option Period 1'!BN134</f>
        <v>0</v>
      </c>
      <c r="I96" s="6"/>
      <c r="J96" s="6" t="s">
        <v>38</v>
      </c>
      <c r="K96" s="12" t="e">
        <f>#REF!</f>
        <v>#REF!</v>
      </c>
      <c r="L96" s="6"/>
      <c r="M96" s="6" t="s">
        <v>38</v>
      </c>
      <c r="N96" s="12" t="e">
        <f>#REF!</f>
        <v>#REF!</v>
      </c>
      <c r="O96" s="6"/>
      <c r="P96" s="6" t="s">
        <v>38</v>
      </c>
      <c r="Q96" s="12" t="e">
        <f>#REF!</f>
        <v>#REF!</v>
      </c>
      <c r="R96" s="6"/>
      <c r="S96" s="6" t="s">
        <v>38</v>
      </c>
      <c r="T96" s="12" t="e">
        <f>#REF!</f>
        <v>#REF!</v>
      </c>
      <c r="U96" s="6"/>
      <c r="V96" s="6" t="s">
        <v>38</v>
      </c>
      <c r="W96" s="12" t="e">
        <f>#REF!</f>
        <v>#REF!</v>
      </c>
      <c r="X96" s="6"/>
      <c r="Y96" s="6" t="s">
        <v>38</v>
      </c>
      <c r="Z96" s="12" t="e">
        <f>#REF!</f>
        <v>#REF!</v>
      </c>
      <c r="AA96" s="6"/>
      <c r="AB96" s="6" t="s">
        <v>38</v>
      </c>
      <c r="AC96" s="12" t="e">
        <f>#REF!</f>
        <v>#REF!</v>
      </c>
      <c r="AD96" s="6"/>
      <c r="AE96" s="6" t="s">
        <v>38</v>
      </c>
      <c r="AF96" s="12" t="e">
        <f>#REF!</f>
        <v>#REF!</v>
      </c>
      <c r="AH96" s="11" t="e">
        <f>SUMIF($12:$12,"Dollar Value",96:96 )</f>
        <v>#REF!</v>
      </c>
      <c r="AK96" s="151" t="e">
        <f>ROUND(AH96-'Base Period'!BN134-'Option Period 1'!BN134-#REF!-#REF!-#REF!-#REF!-#REF!-#REF!-#REF!-#REF!,0)</f>
        <v>#REF!</v>
      </c>
    </row>
    <row r="97" spans="2:37" ht="15.75" x14ac:dyDescent="0.25">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H97" s="24"/>
      <c r="AK97" s="149"/>
    </row>
    <row r="98" spans="2:37" ht="15.75" x14ac:dyDescent="0.25">
      <c r="B98" s="3"/>
      <c r="D98" s="6"/>
      <c r="E98" s="19"/>
      <c r="F98" s="6"/>
      <c r="G98" s="6"/>
      <c r="H98" s="19"/>
      <c r="I98" s="6"/>
      <c r="J98" s="6"/>
      <c r="K98" s="19"/>
      <c r="L98" s="6"/>
      <c r="M98" s="6"/>
      <c r="N98" s="19"/>
      <c r="O98" s="6"/>
      <c r="P98" s="6"/>
      <c r="Q98" s="19"/>
      <c r="R98" s="6"/>
      <c r="S98" s="6"/>
      <c r="T98" s="19"/>
      <c r="U98" s="6"/>
      <c r="V98" s="6"/>
      <c r="W98" s="19"/>
      <c r="X98" s="6"/>
      <c r="Y98" s="6"/>
      <c r="Z98" s="19"/>
      <c r="AA98" s="6"/>
      <c r="AB98" s="6"/>
      <c r="AC98" s="19"/>
      <c r="AD98" s="6"/>
      <c r="AE98" s="6"/>
      <c r="AF98" s="19"/>
      <c r="AH98" s="14"/>
      <c r="AK98" s="149"/>
    </row>
    <row r="99" spans="2:37" ht="15.75" x14ac:dyDescent="0.25">
      <c r="B99" t="s">
        <v>87</v>
      </c>
      <c r="D99" s="6" t="s">
        <v>38</v>
      </c>
      <c r="E99" s="12">
        <f>'Base Period'!BN144</f>
        <v>0</v>
      </c>
      <c r="F99" s="6"/>
      <c r="G99" s="6" t="s">
        <v>38</v>
      </c>
      <c r="H99" s="12">
        <f>'Option Period 1'!BN144</f>
        <v>0</v>
      </c>
      <c r="I99" s="6"/>
      <c r="J99" s="6" t="s">
        <v>38</v>
      </c>
      <c r="K99" s="12" t="e">
        <f>#REF!</f>
        <v>#REF!</v>
      </c>
      <c r="L99" s="6"/>
      <c r="M99" s="6" t="s">
        <v>38</v>
      </c>
      <c r="N99" s="12" t="e">
        <f>#REF!</f>
        <v>#REF!</v>
      </c>
      <c r="O99" s="6"/>
      <c r="P99" s="6" t="s">
        <v>38</v>
      </c>
      <c r="Q99" s="12" t="e">
        <f>#REF!</f>
        <v>#REF!</v>
      </c>
      <c r="R99" s="6"/>
      <c r="S99" s="6" t="s">
        <v>38</v>
      </c>
      <c r="T99" s="12" t="e">
        <f>#REF!</f>
        <v>#REF!</v>
      </c>
      <c r="U99" s="6"/>
      <c r="V99" s="6" t="s">
        <v>38</v>
      </c>
      <c r="W99" s="12" t="e">
        <f>#REF!</f>
        <v>#REF!</v>
      </c>
      <c r="X99" s="6"/>
      <c r="Y99" s="6" t="s">
        <v>38</v>
      </c>
      <c r="Z99" s="12" t="e">
        <f>#REF!</f>
        <v>#REF!</v>
      </c>
      <c r="AA99" s="6"/>
      <c r="AB99" s="6" t="s">
        <v>38</v>
      </c>
      <c r="AC99" s="12" t="e">
        <f>#REF!</f>
        <v>#REF!</v>
      </c>
      <c r="AD99" s="6"/>
      <c r="AE99" s="6" t="s">
        <v>38</v>
      </c>
      <c r="AF99" s="12" t="e">
        <f>#REF!</f>
        <v>#REF!</v>
      </c>
      <c r="AH99" s="11" t="e">
        <f>SUMIF($12:$12,"Dollar Value",99:99 )</f>
        <v>#REF!</v>
      </c>
      <c r="AK99" s="151" t="e">
        <f>ROUND(AH99-'Base Period'!BN144-'Option Period 1'!BN144-#REF!-#REF!-#REF!-#REF!-#REF!-#REF!-#REF!-#REF!,0)</f>
        <v>#REF!</v>
      </c>
    </row>
    <row r="100" spans="2:37" ht="15.75" x14ac:dyDescent="0.25">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H100" s="24"/>
      <c r="AK100" s="149"/>
    </row>
    <row r="101" spans="2:37" ht="15.75" x14ac:dyDescent="0.25">
      <c r="B101" s="4" t="s">
        <v>19</v>
      </c>
      <c r="E101" s="14">
        <f>'Base Period'!BN146</f>
        <v>0</v>
      </c>
      <c r="H101" s="14">
        <f>'Option Period 1'!BN146</f>
        <v>0</v>
      </c>
      <c r="K101" s="14" t="e">
        <f>#REF!</f>
        <v>#REF!</v>
      </c>
      <c r="N101" s="14" t="e">
        <f>#REF!</f>
        <v>#REF!</v>
      </c>
      <c r="Q101" s="14" t="e">
        <f>#REF!</f>
        <v>#REF!</v>
      </c>
      <c r="T101" s="14" t="e">
        <f>#REF!</f>
        <v>#REF!</v>
      </c>
      <c r="W101" s="14" t="e">
        <f>#REF!</f>
        <v>#REF!</v>
      </c>
      <c r="Z101" s="14" t="e">
        <f>#REF!</f>
        <v>#REF!</v>
      </c>
      <c r="AC101" s="14" t="e">
        <f>#REF!</f>
        <v>#REF!</v>
      </c>
      <c r="AF101" s="14" t="e">
        <f>#REF!</f>
        <v>#REF!</v>
      </c>
      <c r="AH101" s="11" t="e">
        <f>SUMIF($12:$12,"Dollar Value",101:101 )</f>
        <v>#REF!</v>
      </c>
      <c r="AK101" s="151" t="e">
        <f>ROUND(AH101-'Base Period'!BN146-'Option Period 1'!BN146-#REF!-#REF!-#REF!-#REF!-#REF!-#REF!-#REF!-#REF!,0)</f>
        <v>#REF!</v>
      </c>
    </row>
    <row r="102" spans="2:37" ht="15.75" x14ac:dyDescent="0.25">
      <c r="AH102" s="24"/>
      <c r="AK102" s="149"/>
    </row>
    <row r="103" spans="2:37" ht="15.75" x14ac:dyDescent="0.25">
      <c r="AH103" s="14"/>
      <c r="AK103" s="149"/>
    </row>
    <row r="104" spans="2:37" ht="15.75" x14ac:dyDescent="0.25">
      <c r="B104" t="s">
        <v>20</v>
      </c>
      <c r="E104" s="14">
        <f>'Base Period'!BN148</f>
        <v>874.22569999999973</v>
      </c>
      <c r="H104" s="14">
        <f>'Option Period 1'!BN148</f>
        <v>3041.0955973999994</v>
      </c>
      <c r="K104" s="14" t="e">
        <f>#REF!</f>
        <v>#REF!</v>
      </c>
      <c r="N104" s="14" t="e">
        <f>#REF!</f>
        <v>#REF!</v>
      </c>
      <c r="Q104" s="14" t="e">
        <f>#REF!</f>
        <v>#REF!</v>
      </c>
      <c r="T104" s="14" t="e">
        <f>#REF!</f>
        <v>#REF!</v>
      </c>
      <c r="W104" s="14" t="e">
        <f>#REF!</f>
        <v>#REF!</v>
      </c>
      <c r="Z104" s="14" t="e">
        <f>#REF!</f>
        <v>#REF!</v>
      </c>
      <c r="AC104" s="14" t="e">
        <f>#REF!</f>
        <v>#REF!</v>
      </c>
      <c r="AF104" s="14" t="e">
        <f>#REF!</f>
        <v>#REF!</v>
      </c>
      <c r="AH104" s="11" t="e">
        <f>SUMIF($12:$12,"Dollar Value",104:104 )</f>
        <v>#REF!</v>
      </c>
      <c r="AK104" s="151" t="e">
        <f>ROUND(AH104-'Base Period'!BN148-'Option Period 1'!BN148-#REF!-#REF!-#REF!-#REF!-#REF!-#REF!-#REF!-#REF!,0)</f>
        <v>#REF!</v>
      </c>
    </row>
    <row r="105" spans="2:37" ht="15.75" x14ac:dyDescent="0.25">
      <c r="B105" t="s">
        <v>70</v>
      </c>
      <c r="E105" s="22">
        <f>'Base Period'!BN149</f>
        <v>0</v>
      </c>
      <c r="H105" s="22">
        <f>'Option Period 1'!BN149</f>
        <v>0</v>
      </c>
      <c r="K105" s="22" t="e">
        <f>#REF!</f>
        <v>#REF!</v>
      </c>
      <c r="N105" s="22" t="e">
        <f>#REF!</f>
        <v>#REF!</v>
      </c>
      <c r="Q105" s="22" t="e">
        <f>#REF!</f>
        <v>#REF!</v>
      </c>
      <c r="T105" s="22" t="e">
        <f>#REF!</f>
        <v>#REF!</v>
      </c>
      <c r="W105" s="22" t="e">
        <f>#REF!</f>
        <v>#REF!</v>
      </c>
      <c r="Z105" s="22" t="e">
        <f>#REF!</f>
        <v>#REF!</v>
      </c>
      <c r="AC105" s="22" t="e">
        <f>#REF!</f>
        <v>#REF!</v>
      </c>
      <c r="AF105" s="22" t="e">
        <f>#REF!</f>
        <v>#REF!</v>
      </c>
      <c r="AH105" s="24" t="e">
        <f>SUMIF($12:$12,"Dollar Value",105:105 )</f>
        <v>#REF!</v>
      </c>
      <c r="AK105" s="151" t="e">
        <f>ROUND(AH105-'Base Period'!BN149-'Option Period 1'!BN149-#REF!-#REF!-#REF!-#REF!-#REF!-#REF!-#REF!-#REF!,0)</f>
        <v>#REF!</v>
      </c>
    </row>
    <row r="106" spans="2:37" ht="15.75" x14ac:dyDescent="0.25">
      <c r="B106" t="s">
        <v>70</v>
      </c>
      <c r="E106" s="22">
        <f>'Base Period'!BN150</f>
        <v>125.01427510000001</v>
      </c>
      <c r="H106" s="22">
        <f>'Option Period 1'!BN151</f>
        <v>0</v>
      </c>
      <c r="K106" s="22" t="e">
        <f>#REF!</f>
        <v>#REF!</v>
      </c>
      <c r="N106" s="22" t="e">
        <f>#REF!</f>
        <v>#REF!</v>
      </c>
      <c r="Q106" s="22" t="e">
        <f>#REF!</f>
        <v>#REF!</v>
      </c>
      <c r="T106" s="22" t="e">
        <f>#REF!</f>
        <v>#REF!</v>
      </c>
      <c r="W106" s="22" t="e">
        <f>#REF!</f>
        <v>#REF!</v>
      </c>
      <c r="Z106" s="22" t="e">
        <f>#REF!</f>
        <v>#REF!</v>
      </c>
      <c r="AC106" s="22" t="e">
        <f>#REF!</f>
        <v>#REF!</v>
      </c>
      <c r="AF106" s="22" t="e">
        <f>#REF!</f>
        <v>#REF!</v>
      </c>
      <c r="AH106" s="24" t="e">
        <f>SUMIF($12:$12,"Dollar Value",106:106 )</f>
        <v>#REF!</v>
      </c>
      <c r="AK106" s="151" t="e">
        <f>ROUND(AH106-'Base Period'!BN150-'Option Period 1'!BN151-#REF!-#REF!-#REF!-#REF!-#REF!-#REF!-#REF!-#REF!,0)</f>
        <v>#REF!</v>
      </c>
    </row>
    <row r="107" spans="2:37" ht="15.75" x14ac:dyDescent="0.25">
      <c r="AH107" s="24"/>
      <c r="AK107" s="149"/>
    </row>
    <row r="108" spans="2:37" ht="15.75" x14ac:dyDescent="0.25">
      <c r="B108" s="4" t="s">
        <v>21</v>
      </c>
      <c r="E108" s="14">
        <f>'Base Period'!BN152</f>
        <v>999.2399750999997</v>
      </c>
      <c r="H108" s="14">
        <f>'Option Period 1'!BN152</f>
        <v>3475.9722678282005</v>
      </c>
      <c r="K108" s="14" t="e">
        <f>#REF!</f>
        <v>#REF!</v>
      </c>
      <c r="N108" s="14" t="e">
        <f>#REF!</f>
        <v>#REF!</v>
      </c>
      <c r="Q108" s="14" t="e">
        <f>#REF!</f>
        <v>#REF!</v>
      </c>
      <c r="T108" s="14" t="e">
        <f>#REF!</f>
        <v>#REF!</v>
      </c>
      <c r="W108" s="14" t="e">
        <f>#REF!</f>
        <v>#REF!</v>
      </c>
      <c r="Z108" s="14" t="e">
        <f>#REF!</f>
        <v>#REF!</v>
      </c>
      <c r="AC108" s="14" t="e">
        <f>#REF!</f>
        <v>#REF!</v>
      </c>
      <c r="AF108" s="14" t="e">
        <f>#REF!</f>
        <v>#REF!</v>
      </c>
      <c r="AG108" s="1" t="e">
        <f>AG44</f>
        <v>#REF!</v>
      </c>
      <c r="AH108" s="11" t="e">
        <f>SUMIF($12:$12,"Dollar Value",108:108 )</f>
        <v>#REF!</v>
      </c>
      <c r="AK108" s="151" t="e">
        <f>ROUND(AH108-'Base Period'!BN152-'Option Period 1'!BN152-#REF!-#REF!-#REF!-#REF!-#REF!-#REF!-#REF!-#REF!,0)</f>
        <v>#REF!</v>
      </c>
    </row>
    <row r="109" spans="2:37" ht="15.75" x14ac:dyDescent="0.25">
      <c r="B109" t="s">
        <v>22</v>
      </c>
      <c r="E109" s="14">
        <f>'Base Period'!BN153</f>
        <v>79.939198007999991</v>
      </c>
      <c r="H109" s="14">
        <f>'Option Period 1'!BN153</f>
        <v>278.07778142625591</v>
      </c>
      <c r="K109" s="14" t="e">
        <f>#REF!</f>
        <v>#REF!</v>
      </c>
      <c r="N109" s="14" t="e">
        <f>#REF!</f>
        <v>#REF!</v>
      </c>
      <c r="Q109" s="14" t="e">
        <f>#REF!</f>
        <v>#REF!</v>
      </c>
      <c r="T109" s="14" t="e">
        <f>#REF!</f>
        <v>#REF!</v>
      </c>
      <c r="W109" s="14" t="e">
        <f>#REF!</f>
        <v>#REF!</v>
      </c>
      <c r="Z109" s="14" t="e">
        <f>#REF!</f>
        <v>#REF!</v>
      </c>
      <c r="AC109" s="14" t="e">
        <f>#REF!</f>
        <v>#REF!</v>
      </c>
      <c r="AF109" s="14" t="e">
        <f>#REF!</f>
        <v>#REF!</v>
      </c>
      <c r="AG109" s="5"/>
      <c r="AH109" s="24" t="e">
        <f>SUMIF($12:$12,"Dollar Value",109:109 )</f>
        <v>#REF!</v>
      </c>
      <c r="AK109" s="151" t="e">
        <f>ROUND(AH109-'Base Period'!BN153-'Option Period 1'!BN153-#REF!-#REF!-#REF!-#REF!-#REF!-#REF!-#REF!-#REF!,0)</f>
        <v>#REF!</v>
      </c>
    </row>
    <row r="110" spans="2:37" ht="16.5" thickBot="1" x14ac:dyDescent="0.3">
      <c r="B110" s="4" t="s">
        <v>23</v>
      </c>
      <c r="E110" s="14">
        <f>'Base Period'!BN154</f>
        <v>1079.1791731079998</v>
      </c>
      <c r="H110" s="14">
        <f>'Option Period 1'!BN154</f>
        <v>3754.0500492544552</v>
      </c>
      <c r="K110" s="14" t="e">
        <f>#REF!</f>
        <v>#REF!</v>
      </c>
      <c r="N110" s="14" t="e">
        <f>#REF!</f>
        <v>#REF!</v>
      </c>
      <c r="Q110" s="14" t="e">
        <f>#REF!</f>
        <v>#REF!</v>
      </c>
      <c r="T110" s="14" t="e">
        <f>#REF!</f>
        <v>#REF!</v>
      </c>
      <c r="W110" s="14" t="e">
        <f>#REF!</f>
        <v>#REF!</v>
      </c>
      <c r="Z110" s="14" t="e">
        <f>#REF!</f>
        <v>#REF!</v>
      </c>
      <c r="AC110" s="14" t="e">
        <f>#REF!</f>
        <v>#REF!</v>
      </c>
      <c r="AF110" s="14" t="e">
        <f>#REF!</f>
        <v>#REF!</v>
      </c>
      <c r="AH110" s="24" t="e">
        <f>SUMIF($12:$12,"Dollar Value",110:110 )</f>
        <v>#REF!</v>
      </c>
      <c r="AK110" s="152" t="e">
        <f>ROUND(AH110-'Base Period'!BN154-'Option Period 1'!BN154-#REF!-#REF!-#REF!-#REF!-#REF!-#REF!-#REF!-#REF!,0)</f>
        <v>#REF!</v>
      </c>
    </row>
    <row r="111" spans="2:37" x14ac:dyDescent="0.25">
      <c r="AH111" s="23"/>
    </row>
  </sheetData>
  <mergeCells count="59">
    <mergeCell ref="AD7:AF7"/>
    <mergeCell ref="AE8:AF8"/>
    <mergeCell ref="AD9:AF9"/>
    <mergeCell ref="AD11:AF11"/>
    <mergeCell ref="AE55:AF55"/>
    <mergeCell ref="AD10:AF10"/>
    <mergeCell ref="U7:W7"/>
    <mergeCell ref="V8:W8"/>
    <mergeCell ref="U9:W9"/>
    <mergeCell ref="AA7:AC7"/>
    <mergeCell ref="AB8:AC8"/>
    <mergeCell ref="AA9:AC9"/>
    <mergeCell ref="X7:Z7"/>
    <mergeCell ref="Y8:Z8"/>
    <mergeCell ref="X9:Z9"/>
    <mergeCell ref="R9:T9"/>
    <mergeCell ref="R11:T11"/>
    <mergeCell ref="S55:T55"/>
    <mergeCell ref="R10:T10"/>
    <mergeCell ref="U10:W10"/>
    <mergeCell ref="G55:H55"/>
    <mergeCell ref="J55:K55"/>
    <mergeCell ref="S8:T8"/>
    <mergeCell ref="I7:K7"/>
    <mergeCell ref="L7:N7"/>
    <mergeCell ref="O7:Q7"/>
    <mergeCell ref="R7:T7"/>
    <mergeCell ref="J8:K8"/>
    <mergeCell ref="M8:N8"/>
    <mergeCell ref="P8:Q8"/>
    <mergeCell ref="I9:K9"/>
    <mergeCell ref="I11:K11"/>
    <mergeCell ref="L9:N9"/>
    <mergeCell ref="L11:N11"/>
    <mergeCell ref="O9:Q9"/>
    <mergeCell ref="O11:Q11"/>
    <mergeCell ref="C7:E7"/>
    <mergeCell ref="C9:E9"/>
    <mergeCell ref="C11:E11"/>
    <mergeCell ref="F7:H7"/>
    <mergeCell ref="F9:H9"/>
    <mergeCell ref="F11:H11"/>
    <mergeCell ref="D8:E8"/>
    <mergeCell ref="G8:H8"/>
    <mergeCell ref="C10:E10"/>
    <mergeCell ref="F10:H10"/>
    <mergeCell ref="I10:K10"/>
    <mergeCell ref="L10:N10"/>
    <mergeCell ref="O10:Q10"/>
    <mergeCell ref="AA10:AC10"/>
    <mergeCell ref="M55:N55"/>
    <mergeCell ref="P55:Q55"/>
    <mergeCell ref="U11:W11"/>
    <mergeCell ref="V55:W55"/>
    <mergeCell ref="AA11:AC11"/>
    <mergeCell ref="AB55:AC55"/>
    <mergeCell ref="X11:Z11"/>
    <mergeCell ref="Y55:Z55"/>
    <mergeCell ref="X10:Z10"/>
  </mergeCells>
  <pageMargins left="0.7" right="0.7" top="0.75" bottom="0.75" header="0.3" footer="0.3"/>
  <pageSetup scale="60" orientation="landscape" blackAndWhite="1" r:id="rId1"/>
  <headerFooter>
    <oddFooter>&amp;C&amp;10Use or disclosure of data contained on this page is subject to the restriction on the title page of this proposal.</oddFooter>
  </headerFooter>
  <rowBreaks count="1" manualBreakCount="1">
    <brk id="52" min="2" max="33" man="1"/>
  </rowBreaks>
  <colBreaks count="1" manualBreakCount="1">
    <brk id="20" min="11" max="107" man="1"/>
  </colBreaks>
  <drawing r:id="rId2"/>
  <legacyDrawing r:id="rId3"/>
  <controls>
    <mc:AlternateContent xmlns:mc="http://schemas.openxmlformats.org/markup-compatibility/2006">
      <mc:Choice Requires="x14">
        <control shapeId="14337" r:id="rId4" name="CommandButton1">
          <controlPr defaultSize="0" print="0" autoLine="0" r:id="rId5">
            <anchor moveWithCells="1">
              <from>
                <xdr:col>4</xdr:col>
                <xdr:colOff>228600</xdr:colOff>
                <xdr:row>0</xdr:row>
                <xdr:rowOff>152400</xdr:rowOff>
              </from>
              <to>
                <xdr:col>5</xdr:col>
                <xdr:colOff>714375</xdr:colOff>
                <xdr:row>4</xdr:row>
                <xdr:rowOff>66675</xdr:rowOff>
              </to>
            </anchor>
          </controlPr>
        </control>
      </mc:Choice>
      <mc:Fallback>
        <control shapeId="14337"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
  <sheetViews>
    <sheetView workbookViewId="0">
      <selection activeCell="N15" sqref="N15"/>
    </sheetView>
  </sheetViews>
  <sheetFormatPr defaultRowHeight="15" x14ac:dyDescent="0.25"/>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utton1_Click">
                <anchor moveWithCells="1" sizeWithCells="1">
                  <from>
                    <xdr:col>0</xdr:col>
                    <xdr:colOff>600075</xdr:colOff>
                    <xdr:row>1</xdr:row>
                    <xdr:rowOff>9525</xdr:rowOff>
                  </from>
                  <to>
                    <xdr:col>3</xdr:col>
                    <xdr:colOff>0</xdr:colOff>
                    <xdr:row>3</xdr:row>
                    <xdr:rowOff>47625</xdr:rowOff>
                  </to>
                </anchor>
              </controlPr>
            </control>
          </mc:Choice>
        </mc:AlternateContent>
        <mc:AlternateContent xmlns:mc="http://schemas.openxmlformats.org/markup-compatibility/2006">
          <mc:Choice Requires="x14">
            <control shapeId="16389" r:id="rId5" name="Button 5">
              <controlPr defaultSize="0" print="0" autoFill="0" autoPict="0" macro="[0]!Button5_Click">
                <anchor moveWithCells="1" sizeWithCells="1">
                  <from>
                    <xdr:col>1</xdr:col>
                    <xdr:colOff>9525</xdr:colOff>
                    <xdr:row>4</xdr:row>
                    <xdr:rowOff>28575</xdr:rowOff>
                  </from>
                  <to>
                    <xdr:col>3</xdr:col>
                    <xdr:colOff>9525</xdr:colOff>
                    <xdr:row>6</xdr:row>
                    <xdr:rowOff>19050</xdr:rowOff>
                  </to>
                </anchor>
              </controlPr>
            </control>
          </mc:Choice>
        </mc:AlternateContent>
        <mc:AlternateContent xmlns:mc="http://schemas.openxmlformats.org/markup-compatibility/2006">
          <mc:Choice Requires="x14">
            <control shapeId="16390" r:id="rId6" name="Button 6">
              <controlPr defaultSize="0" print="0" autoFill="0" autoPict="0" macro="[0]!Button6_Click">
                <anchor moveWithCells="1" sizeWithCells="1">
                  <from>
                    <xdr:col>1</xdr:col>
                    <xdr:colOff>0</xdr:colOff>
                    <xdr:row>7</xdr:row>
                    <xdr:rowOff>9525</xdr:rowOff>
                  </from>
                  <to>
                    <xdr:col>3</xdr:col>
                    <xdr:colOff>9525</xdr:colOff>
                    <xdr:row>9</xdr:row>
                    <xdr:rowOff>9525</xdr:rowOff>
                  </to>
                </anchor>
              </controlPr>
            </control>
          </mc:Choice>
        </mc:AlternateContent>
        <mc:AlternateContent xmlns:mc="http://schemas.openxmlformats.org/markup-compatibility/2006">
          <mc:Choice Requires="x14">
            <control shapeId="16391" r:id="rId7" name="Button 7">
              <controlPr defaultSize="0" print="0" autoFill="0" autoPict="0" macro="[0]!Button7_Click">
                <anchor moveWithCells="1" sizeWithCells="1">
                  <from>
                    <xdr:col>1</xdr:col>
                    <xdr:colOff>0</xdr:colOff>
                    <xdr:row>10</xdr:row>
                    <xdr:rowOff>9525</xdr:rowOff>
                  </from>
                  <to>
                    <xdr:col>3</xdr:col>
                    <xdr:colOff>0</xdr:colOff>
                    <xdr:row>12</xdr:row>
                    <xdr:rowOff>19050</xdr:rowOff>
                  </to>
                </anchor>
              </controlPr>
            </control>
          </mc:Choice>
        </mc:AlternateContent>
        <mc:AlternateContent xmlns:mc="http://schemas.openxmlformats.org/markup-compatibility/2006">
          <mc:Choice Requires="x14">
            <control shapeId="16392" r:id="rId8" name="Button 8">
              <controlPr defaultSize="0" print="0" autoFill="0" autoPict="0" macro="[0]!Button8_Click">
                <anchor moveWithCells="1" sizeWithCells="1">
                  <from>
                    <xdr:col>1</xdr:col>
                    <xdr:colOff>9525</xdr:colOff>
                    <xdr:row>13</xdr:row>
                    <xdr:rowOff>28575</xdr:rowOff>
                  </from>
                  <to>
                    <xdr:col>3</xdr:col>
                    <xdr:colOff>9525</xdr:colOff>
                    <xdr:row>14</xdr:row>
                    <xdr:rowOff>171450</xdr:rowOff>
                  </to>
                </anchor>
              </controlPr>
            </control>
          </mc:Choice>
        </mc:AlternateContent>
        <mc:AlternateContent xmlns:mc="http://schemas.openxmlformats.org/markup-compatibility/2006">
          <mc:Choice Requires="x14">
            <control shapeId="16393" r:id="rId9" name="Button 9">
              <controlPr defaultSize="0" print="0" autoFill="0" autoPict="0" macro="[0]!Button9_Click">
                <anchor moveWithCells="1" sizeWithCells="1">
                  <from>
                    <xdr:col>4</xdr:col>
                    <xdr:colOff>9525</xdr:colOff>
                    <xdr:row>1</xdr:row>
                    <xdr:rowOff>9525</xdr:rowOff>
                  </from>
                  <to>
                    <xdr:col>6</xdr:col>
                    <xdr:colOff>9525</xdr:colOff>
                    <xdr:row>3</xdr:row>
                    <xdr:rowOff>9525</xdr:rowOff>
                  </to>
                </anchor>
              </controlPr>
            </control>
          </mc:Choice>
        </mc:AlternateContent>
        <mc:AlternateContent xmlns:mc="http://schemas.openxmlformats.org/markup-compatibility/2006">
          <mc:Choice Requires="x14">
            <control shapeId="16394" r:id="rId10" name="Button 10">
              <controlPr defaultSize="0" print="0" autoFill="0" autoPict="0" macro="[0]!Button10_Click">
                <anchor moveWithCells="1" sizeWithCells="1">
                  <from>
                    <xdr:col>4</xdr:col>
                    <xdr:colOff>0</xdr:colOff>
                    <xdr:row>4</xdr:row>
                    <xdr:rowOff>0</xdr:rowOff>
                  </from>
                  <to>
                    <xdr:col>6</xdr:col>
                    <xdr:colOff>9525</xdr:colOff>
                    <xdr:row>6</xdr:row>
                    <xdr:rowOff>9525</xdr:rowOff>
                  </to>
                </anchor>
              </controlPr>
            </control>
          </mc:Choice>
        </mc:AlternateContent>
        <mc:AlternateContent xmlns:mc="http://schemas.openxmlformats.org/markup-compatibility/2006">
          <mc:Choice Requires="x14">
            <control shapeId="16395" r:id="rId11" name="Button 11">
              <controlPr defaultSize="0" print="0" autoFill="0" autoPict="0" macro="[0]!Button11_Click">
                <anchor moveWithCells="1" sizeWithCells="1">
                  <from>
                    <xdr:col>4</xdr:col>
                    <xdr:colOff>0</xdr:colOff>
                    <xdr:row>7</xdr:row>
                    <xdr:rowOff>9525</xdr:rowOff>
                  </from>
                  <to>
                    <xdr:col>6</xdr:col>
                    <xdr:colOff>9525</xdr:colOff>
                    <xdr:row>9</xdr:row>
                    <xdr:rowOff>9525</xdr:rowOff>
                  </to>
                </anchor>
              </controlPr>
            </control>
          </mc:Choice>
        </mc:AlternateContent>
        <mc:AlternateContent xmlns:mc="http://schemas.openxmlformats.org/markup-compatibility/2006">
          <mc:Choice Requires="x14">
            <control shapeId="16396" r:id="rId12" name="Button 12">
              <controlPr defaultSize="0" print="0" autoFill="0" autoPict="0" macro="[0]!Button12_Click">
                <anchor moveWithCells="1" sizeWithCells="1">
                  <from>
                    <xdr:col>3</xdr:col>
                    <xdr:colOff>600075</xdr:colOff>
                    <xdr:row>9</xdr:row>
                    <xdr:rowOff>171450</xdr:rowOff>
                  </from>
                  <to>
                    <xdr:col>6</xdr:col>
                    <xdr:colOff>9525</xdr:colOff>
                    <xdr:row>11</xdr:row>
                    <xdr:rowOff>171450</xdr:rowOff>
                  </to>
                </anchor>
              </controlPr>
            </control>
          </mc:Choice>
        </mc:AlternateContent>
        <mc:AlternateContent xmlns:mc="http://schemas.openxmlformats.org/markup-compatibility/2006">
          <mc:Choice Requires="x14">
            <control shapeId="16397" r:id="rId13" name="Button 13">
              <controlPr defaultSize="0" print="0" autoFill="0" autoPict="0" macro="[0]!Button13_Click">
                <anchor moveWithCells="1" sizeWithCells="1">
                  <from>
                    <xdr:col>4</xdr:col>
                    <xdr:colOff>0</xdr:colOff>
                    <xdr:row>13</xdr:row>
                    <xdr:rowOff>9525</xdr:rowOff>
                  </from>
                  <to>
                    <xdr:col>6</xdr:col>
                    <xdr:colOff>0</xdr:colOff>
                    <xdr:row>14</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2:AP346"/>
  <sheetViews>
    <sheetView zoomScale="60" zoomScaleNormal="60" workbookViewId="0">
      <pane xSplit="5" ySplit="4" topLeftCell="F356" activePane="bottomRight" state="frozen"/>
      <selection pane="topRight" activeCell="F1" sqref="F1"/>
      <selection pane="bottomLeft" activeCell="A5" sqref="A5"/>
      <selection pane="bottomRight" activeCell="B4" sqref="B4:AI343"/>
    </sheetView>
  </sheetViews>
  <sheetFormatPr defaultRowHeight="15" x14ac:dyDescent="0.25"/>
  <cols>
    <col min="2" max="2" width="20.7109375" bestFit="1" customWidth="1"/>
    <col min="3" max="3" width="19.7109375" bestFit="1" customWidth="1"/>
    <col min="4" max="4" width="23" bestFit="1" customWidth="1"/>
    <col min="5" max="5" width="12.7109375" style="14" customWidth="1"/>
    <col min="42" max="42" width="11.28515625" customWidth="1"/>
  </cols>
  <sheetData>
    <row r="2" spans="2:42" ht="15.75" thickBot="1" x14ac:dyDescent="0.3">
      <c r="G2" s="158" t="s">
        <v>154</v>
      </c>
      <c r="I2" t="e">
        <f>IF(E342='Budget by Period'!AH110,"Checks","Does not check")</f>
        <v>#REF!</v>
      </c>
      <c r="L2" s="158" t="s">
        <v>156</v>
      </c>
      <c r="N2" t="e">
        <f>IF(E343='Budget by Period'!AG44,"Checks","Does not check")</f>
        <v>#REF!</v>
      </c>
    </row>
    <row r="3" spans="2:42" x14ac:dyDescent="0.25">
      <c r="AO3" s="162"/>
      <c r="AP3" s="163" t="s">
        <v>140</v>
      </c>
    </row>
    <row r="4" spans="2:42" x14ac:dyDescent="0.25">
      <c r="E4" s="11" t="s">
        <v>139</v>
      </c>
      <c r="F4" t="str">
        <f>'Base Period'!B33</f>
        <v>Name</v>
      </c>
      <c r="G4" t="str">
        <f>'Base Period'!B34</f>
        <v>Name</v>
      </c>
      <c r="H4" t="str">
        <f>'Base Period'!B35</f>
        <v>Name</v>
      </c>
      <c r="I4" t="str">
        <f>'Base Period'!B36</f>
        <v>Name</v>
      </c>
      <c r="J4" t="str">
        <f>'Base Period'!B37</f>
        <v>Name</v>
      </c>
      <c r="K4" t="str">
        <f>'Base Period'!B38</f>
        <v>Name</v>
      </c>
      <c r="L4" t="str">
        <f>'Base Period'!B39</f>
        <v>Name</v>
      </c>
      <c r="M4" t="str">
        <f>'Base Period'!B40</f>
        <v>Name</v>
      </c>
      <c r="N4" t="str">
        <f>'Base Period'!B41</f>
        <v>Name</v>
      </c>
      <c r="O4" t="str">
        <f>'Base Period'!B42</f>
        <v>Name</v>
      </c>
      <c r="P4" t="str">
        <f>'Base Period'!B43</f>
        <v>Name</v>
      </c>
      <c r="Q4" t="str">
        <f>'Base Period'!B44</f>
        <v>Name</v>
      </c>
      <c r="R4" t="str">
        <f>'Base Period'!B45</f>
        <v>Name</v>
      </c>
      <c r="S4" t="str">
        <f>'Base Period'!B46</f>
        <v>Name</v>
      </c>
      <c r="T4" t="str">
        <f>'Base Period'!B47</f>
        <v>Name</v>
      </c>
      <c r="U4" t="str">
        <f>'Base Period'!B48</f>
        <v>Name</v>
      </c>
      <c r="V4" t="str">
        <f>'Base Period'!B49</f>
        <v>Name</v>
      </c>
      <c r="W4" t="str">
        <f>'Base Period'!B50</f>
        <v>Name</v>
      </c>
      <c r="X4" t="str">
        <f>'Base Period'!B51</f>
        <v>Name</v>
      </c>
      <c r="Y4" t="str">
        <f>'Base Period'!B52</f>
        <v>Name</v>
      </c>
      <c r="Z4" t="str">
        <f>'Base Period'!B53</f>
        <v>Name</v>
      </c>
      <c r="AA4" t="str">
        <f>'Base Period'!B54</f>
        <v>Name</v>
      </c>
      <c r="AB4" t="str">
        <f>'Base Period'!B55</f>
        <v>Name</v>
      </c>
      <c r="AC4" t="str">
        <f>'Base Period'!B56</f>
        <v>Name</v>
      </c>
      <c r="AD4" t="str">
        <f>'Base Period'!B57</f>
        <v>Name</v>
      </c>
      <c r="AE4" t="str">
        <f>'Base Period'!B58</f>
        <v>Name</v>
      </c>
      <c r="AF4" t="str">
        <f>'Base Period'!B59</f>
        <v>Name</v>
      </c>
      <c r="AG4" t="str">
        <f>'Base Period'!B60</f>
        <v>Name</v>
      </c>
      <c r="AH4" t="str">
        <f>'Base Period'!B61</f>
        <v>Name</v>
      </c>
      <c r="AI4" t="str">
        <f>'Base Period'!B62</f>
        <v>Name</v>
      </c>
      <c r="AO4" s="162" t="s">
        <v>140</v>
      </c>
      <c r="AP4" s="164" t="s">
        <v>141</v>
      </c>
    </row>
    <row r="5" spans="2:42" x14ac:dyDescent="0.25">
      <c r="B5" t="str">
        <f>'Base Period'!$B$4:$D$4</f>
        <v>Base Period</v>
      </c>
      <c r="C5">
        <f>'Base Period'!$E$29</f>
        <v>1</v>
      </c>
      <c r="D5">
        <f>'Base Period'!$E$30</f>
        <v>1.3</v>
      </c>
      <c r="E5" s="14">
        <f>'Base Period'!$F$154</f>
        <v>20.148035904</v>
      </c>
      <c r="F5">
        <f>'Base Period'!$E$33</f>
        <v>0</v>
      </c>
      <c r="G5">
        <f>'Base Period'!$E$34</f>
        <v>0</v>
      </c>
      <c r="H5">
        <f>'Base Period'!$E$35</f>
        <v>0</v>
      </c>
      <c r="I5">
        <f>'Base Period'!$E$36</f>
        <v>1</v>
      </c>
      <c r="J5">
        <f>'Base Period'!$E$37</f>
        <v>0</v>
      </c>
      <c r="K5">
        <f>'Base Period'!$E$38</f>
        <v>0</v>
      </c>
      <c r="L5">
        <f>'Base Period'!$E$39</f>
        <v>0</v>
      </c>
      <c r="M5">
        <f>'Base Period'!$E$40</f>
        <v>0</v>
      </c>
      <c r="N5">
        <f>'Base Period'!$E$41</f>
        <v>0</v>
      </c>
      <c r="O5">
        <f>'Base Period'!$E$42</f>
        <v>0</v>
      </c>
      <c r="P5">
        <f>'Base Period'!$E$43</f>
        <v>0</v>
      </c>
      <c r="Q5">
        <f>'Base Period'!$E$44</f>
        <v>0</v>
      </c>
      <c r="R5">
        <f>'Base Period'!$E$45</f>
        <v>0</v>
      </c>
      <c r="S5">
        <f>'Base Period'!$E$46</f>
        <v>0</v>
      </c>
      <c r="T5">
        <f>'Base Period'!$E$47</f>
        <v>0</v>
      </c>
      <c r="U5">
        <f>'Base Period'!$E$48</f>
        <v>0</v>
      </c>
      <c r="V5">
        <f>'Base Period'!$E$49</f>
        <v>0</v>
      </c>
      <c r="W5">
        <f>'Base Period'!$E$50</f>
        <v>0</v>
      </c>
      <c r="X5">
        <f>'Base Period'!$E$51</f>
        <v>0</v>
      </c>
      <c r="Y5">
        <f>'Base Period'!$E$52</f>
        <v>0</v>
      </c>
      <c r="Z5">
        <f>'Base Period'!$E$53</f>
        <v>0</v>
      </c>
      <c r="AA5">
        <f>'Base Period'!$E$54</f>
        <v>0</v>
      </c>
      <c r="AB5">
        <f>'Base Period'!$E$55</f>
        <v>0</v>
      </c>
      <c r="AC5">
        <f>'Base Period'!$E$56</f>
        <v>0</v>
      </c>
      <c r="AD5">
        <f>'Base Period'!$E$57</f>
        <v>0</v>
      </c>
      <c r="AE5">
        <f>'Base Period'!$E$58</f>
        <v>0</v>
      </c>
      <c r="AF5">
        <f>'Base Period'!$E$59</f>
        <v>0</v>
      </c>
      <c r="AG5">
        <f>'Base Period'!$E$60</f>
        <v>0</v>
      </c>
      <c r="AH5">
        <f>'Base Period'!$E$61</f>
        <v>0</v>
      </c>
      <c r="AI5">
        <f>'Base Period'!$E$62</f>
        <v>0</v>
      </c>
      <c r="AO5" s="159">
        <f>IF('Base Period'!$E$66="",0,'Base Period'!$E$66)</f>
        <v>1</v>
      </c>
      <c r="AP5" s="160">
        <f>SUM(F5:AI5)-AO5</f>
        <v>0</v>
      </c>
    </row>
    <row r="6" spans="2:42" x14ac:dyDescent="0.25">
      <c r="B6" t="str">
        <f>'Base Period'!$B$4:$D$4</f>
        <v>Base Period</v>
      </c>
      <c r="C6">
        <f>'Base Period'!$G$29</f>
        <v>1</v>
      </c>
      <c r="D6">
        <f>'Base Period'!$G$30</f>
        <v>1.5</v>
      </c>
      <c r="E6" s="14">
        <f>'Base Period'!$H$154</f>
        <v>94.443918299999993</v>
      </c>
      <c r="F6">
        <f>'Base Period'!$G$33</f>
        <v>1</v>
      </c>
      <c r="G6">
        <f>'Base Period'!$G$34</f>
        <v>1</v>
      </c>
      <c r="H6">
        <f>'Base Period'!$G$35</f>
        <v>1</v>
      </c>
      <c r="I6">
        <f>'Base Period'!$G$36</f>
        <v>1</v>
      </c>
      <c r="J6">
        <f>'Base Period'!$G$37</f>
        <v>1</v>
      </c>
      <c r="K6">
        <f>'Base Period'!$G$38</f>
        <v>0</v>
      </c>
      <c r="L6">
        <f>'Base Period'!$G$39</f>
        <v>0</v>
      </c>
      <c r="M6">
        <f>'Base Period'!$G$40</f>
        <v>0</v>
      </c>
      <c r="N6">
        <f>'Base Period'!$G$41</f>
        <v>0</v>
      </c>
      <c r="O6">
        <f>'Base Period'!$G$42</f>
        <v>0</v>
      </c>
      <c r="P6">
        <f>'Base Period'!$G$43</f>
        <v>0</v>
      </c>
      <c r="Q6">
        <f>'Base Period'!$G$44</f>
        <v>0</v>
      </c>
      <c r="R6">
        <f>'Base Period'!$G$45</f>
        <v>0</v>
      </c>
      <c r="S6">
        <f>'Base Period'!$G$46</f>
        <v>0</v>
      </c>
      <c r="T6">
        <f>'Base Period'!$G$47</f>
        <v>0</v>
      </c>
      <c r="U6">
        <f>'Base Period'!$G$48</f>
        <v>0</v>
      </c>
      <c r="V6">
        <f>'Base Period'!$G$49</f>
        <v>0</v>
      </c>
      <c r="W6">
        <f>'Base Period'!$G$50</f>
        <v>0</v>
      </c>
      <c r="X6">
        <f>'Base Period'!$G$51</f>
        <v>0</v>
      </c>
      <c r="Y6">
        <f>'Base Period'!$G$52</f>
        <v>0</v>
      </c>
      <c r="Z6">
        <f>'Base Period'!$G$53</f>
        <v>0</v>
      </c>
      <c r="AA6">
        <f>'Base Period'!$G$54</f>
        <v>0</v>
      </c>
      <c r="AB6">
        <f>'Base Period'!$G$55</f>
        <v>0</v>
      </c>
      <c r="AC6">
        <f>'Base Period'!$G$56</f>
        <v>0</v>
      </c>
      <c r="AD6">
        <f>'Base Period'!$G$57</f>
        <v>0</v>
      </c>
      <c r="AE6">
        <f>'Base Period'!$G$58</f>
        <v>0</v>
      </c>
      <c r="AF6">
        <f>'Base Period'!$G$59</f>
        <v>0</v>
      </c>
      <c r="AG6">
        <f>'Base Period'!$G$60</f>
        <v>0</v>
      </c>
      <c r="AH6">
        <f>'Base Period'!$G$61</f>
        <v>0</v>
      </c>
      <c r="AI6">
        <f>'Base Period'!$G$62</f>
        <v>0</v>
      </c>
      <c r="AO6" s="159">
        <f>IF('Base Period'!$G$66="",0,'Base Period'!$G$66)</f>
        <v>5</v>
      </c>
      <c r="AP6" s="160">
        <f t="shared" ref="AP6:AP34" si="0">SUM(F6:AI6)-AO6</f>
        <v>0</v>
      </c>
    </row>
    <row r="7" spans="2:42" x14ac:dyDescent="0.25">
      <c r="B7" t="str">
        <f>'Base Period'!$B$4:$D$4</f>
        <v>Base Period</v>
      </c>
      <c r="C7">
        <f>'Base Period'!$I$29</f>
        <v>3</v>
      </c>
      <c r="D7">
        <f>'Base Period'!$I$30</f>
        <v>3.3</v>
      </c>
      <c r="E7" s="14">
        <f>'Base Period'!$J$154</f>
        <v>94.443918299999993</v>
      </c>
      <c r="F7">
        <f>'Base Period'!$I$33</f>
        <v>1</v>
      </c>
      <c r="G7">
        <f>'Base Period'!$I$34</f>
        <v>1</v>
      </c>
      <c r="H7">
        <f>'Base Period'!$I$35</f>
        <v>1</v>
      </c>
      <c r="I7">
        <f>'Base Period'!$I$36</f>
        <v>1</v>
      </c>
      <c r="J7">
        <f>'Base Period'!$I$37</f>
        <v>1</v>
      </c>
      <c r="K7">
        <f>'Base Period'!$I$38</f>
        <v>0</v>
      </c>
      <c r="L7">
        <f>'Base Period'!$I$39</f>
        <v>0</v>
      </c>
      <c r="M7">
        <f>'Base Period'!$I$40</f>
        <v>0</v>
      </c>
      <c r="N7">
        <f>'Base Period'!$I$41</f>
        <v>0</v>
      </c>
      <c r="O7">
        <f>'Base Period'!$I$42</f>
        <v>0</v>
      </c>
      <c r="P7">
        <f>'Base Period'!$I$43</f>
        <v>0</v>
      </c>
      <c r="Q7">
        <f>'Base Period'!$I$44</f>
        <v>0</v>
      </c>
      <c r="R7">
        <f>'Base Period'!$I$45</f>
        <v>0</v>
      </c>
      <c r="S7">
        <f>'Base Period'!$I$46</f>
        <v>0</v>
      </c>
      <c r="T7">
        <f>'Base Period'!$I$47</f>
        <v>0</v>
      </c>
      <c r="U7">
        <f>'Base Period'!$I$48</f>
        <v>0</v>
      </c>
      <c r="V7">
        <f>'Base Period'!$I$49</f>
        <v>0</v>
      </c>
      <c r="W7">
        <f>'Base Period'!$I$50</f>
        <v>0</v>
      </c>
      <c r="X7">
        <f>'Base Period'!$I$51</f>
        <v>0</v>
      </c>
      <c r="Y7">
        <f>'Base Period'!$I$52</f>
        <v>0</v>
      </c>
      <c r="Z7">
        <f>'Base Period'!$I$53</f>
        <v>0</v>
      </c>
      <c r="AA7">
        <f>'Base Period'!$I$54</f>
        <v>0</v>
      </c>
      <c r="AB7">
        <f>'Base Period'!$I$55</f>
        <v>0</v>
      </c>
      <c r="AC7">
        <f>'Base Period'!$I$56</f>
        <v>0</v>
      </c>
      <c r="AD7">
        <f>'Base Period'!$I$57</f>
        <v>0</v>
      </c>
      <c r="AE7">
        <f>'Base Period'!$I$58</f>
        <v>0</v>
      </c>
      <c r="AF7">
        <f>'Base Period'!$I$59</f>
        <v>0</v>
      </c>
      <c r="AG7">
        <f>'Base Period'!$I$60</f>
        <v>0</v>
      </c>
      <c r="AH7">
        <f>'Base Period'!$I$61</f>
        <v>0</v>
      </c>
      <c r="AI7">
        <f>'Base Period'!$I$62</f>
        <v>0</v>
      </c>
      <c r="AO7" s="159">
        <f>IF('Base Period'!$I$66="",0,'Base Period'!$I$66)</f>
        <v>5</v>
      </c>
      <c r="AP7" s="160">
        <f>SUM(F7:AI7)-AO7</f>
        <v>0</v>
      </c>
    </row>
    <row r="8" spans="2:42" x14ac:dyDescent="0.25">
      <c r="B8" t="str">
        <f>'Base Period'!$B$4:$D$4</f>
        <v>Base Period</v>
      </c>
      <c r="C8">
        <f>'Base Period'!$K$29</f>
        <v>3</v>
      </c>
      <c r="D8" t="str">
        <f>'Base Period'!$K$30</f>
        <v>3.7.1</v>
      </c>
      <c r="E8" s="14">
        <f>'Base Period'!$L$154</f>
        <v>20.148035904</v>
      </c>
      <c r="F8">
        <f>'Base Period'!$K$33</f>
        <v>0</v>
      </c>
      <c r="G8">
        <f>'Base Period'!$K$34</f>
        <v>0</v>
      </c>
      <c r="H8">
        <f>'Base Period'!$K$35</f>
        <v>0</v>
      </c>
      <c r="I8">
        <f>'Base Period'!$K$36</f>
        <v>1</v>
      </c>
      <c r="J8">
        <f>'Base Period'!$K$37</f>
        <v>0</v>
      </c>
      <c r="K8">
        <f>'Base Period'!$K$38</f>
        <v>0</v>
      </c>
      <c r="L8">
        <f>'Base Period'!$K$39</f>
        <v>0</v>
      </c>
      <c r="M8">
        <f>'Base Period'!$K$40</f>
        <v>0</v>
      </c>
      <c r="N8">
        <f>'Base Period'!$K$41</f>
        <v>0</v>
      </c>
      <c r="O8">
        <f>'Base Period'!$K$42</f>
        <v>0</v>
      </c>
      <c r="P8">
        <f>'Base Period'!$K$43</f>
        <v>0</v>
      </c>
      <c r="Q8">
        <f>'Base Period'!$K$44</f>
        <v>0</v>
      </c>
      <c r="R8">
        <f>'Base Period'!$K$45</f>
        <v>0</v>
      </c>
      <c r="S8">
        <f>'Base Period'!$K$46</f>
        <v>0</v>
      </c>
      <c r="T8">
        <f>'Base Period'!$K$47</f>
        <v>0</v>
      </c>
      <c r="U8">
        <f>'Base Period'!$K$48</f>
        <v>0</v>
      </c>
      <c r="V8">
        <f>'Base Period'!$K$49</f>
        <v>0</v>
      </c>
      <c r="W8">
        <f>'Base Period'!$K$50</f>
        <v>0</v>
      </c>
      <c r="X8">
        <f>'Base Period'!$K$51</f>
        <v>0</v>
      </c>
      <c r="Y8">
        <f>'Base Period'!$K$52</f>
        <v>0</v>
      </c>
      <c r="Z8">
        <f>'Base Period'!$K$53</f>
        <v>0</v>
      </c>
      <c r="AA8">
        <f>'Base Period'!$K$54</f>
        <v>0</v>
      </c>
      <c r="AB8">
        <f>'Base Period'!$K$55</f>
        <v>0</v>
      </c>
      <c r="AC8">
        <f>'Base Period'!$K$56</f>
        <v>0</v>
      </c>
      <c r="AD8">
        <f>'Base Period'!$K$57</f>
        <v>0</v>
      </c>
      <c r="AE8">
        <f>'Base Period'!$K$58</f>
        <v>0</v>
      </c>
      <c r="AF8">
        <f>'Base Period'!$K$59</f>
        <v>0</v>
      </c>
      <c r="AG8">
        <f>'Base Period'!$K$60</f>
        <v>0</v>
      </c>
      <c r="AH8">
        <f>'Base Period'!$K$61</f>
        <v>0</v>
      </c>
      <c r="AI8">
        <f>'Base Period'!$K$62</f>
        <v>0</v>
      </c>
      <c r="AO8" s="159">
        <f>IF('Base Period'!$K$66="",0,'Base Period'!$K$66)</f>
        <v>1</v>
      </c>
      <c r="AP8" s="160">
        <f t="shared" si="0"/>
        <v>0</v>
      </c>
    </row>
    <row r="9" spans="2:42" x14ac:dyDescent="0.25">
      <c r="B9" t="str">
        <f>'Base Period'!$B$4:$D$4</f>
        <v>Base Period</v>
      </c>
      <c r="C9">
        <f>'Base Period'!$M$29</f>
        <v>3</v>
      </c>
      <c r="D9">
        <f>'Base Period'!$M$30</f>
        <v>3.8</v>
      </c>
      <c r="E9" s="14">
        <f>'Base Period'!$N$154</f>
        <v>94.443918299999993</v>
      </c>
      <c r="F9">
        <f>'Base Period'!$M$33</f>
        <v>1</v>
      </c>
      <c r="G9">
        <f>'Base Period'!$M$34</f>
        <v>1</v>
      </c>
      <c r="H9">
        <f>'Base Period'!$M$35</f>
        <v>1</v>
      </c>
      <c r="I9">
        <f>'Base Period'!$M$36</f>
        <v>1</v>
      </c>
      <c r="J9">
        <f>'Base Period'!$M$37</f>
        <v>1</v>
      </c>
      <c r="K9">
        <f>'Base Period'!$M$38</f>
        <v>0</v>
      </c>
      <c r="L9">
        <f>'Base Period'!$M$39</f>
        <v>0</v>
      </c>
      <c r="M9">
        <f>'Base Period'!$M$40</f>
        <v>0</v>
      </c>
      <c r="N9">
        <f>'Base Period'!$M$41</f>
        <v>0</v>
      </c>
      <c r="O9">
        <f>'Base Period'!$M$42</f>
        <v>0</v>
      </c>
      <c r="P9">
        <f>'Base Period'!$M$43</f>
        <v>0</v>
      </c>
      <c r="Q9">
        <f>'Base Period'!$M$44</f>
        <v>0</v>
      </c>
      <c r="R9">
        <f>'Base Period'!$M$45</f>
        <v>0</v>
      </c>
      <c r="S9">
        <f>'Base Period'!$M$46</f>
        <v>0</v>
      </c>
      <c r="T9">
        <f>'Base Period'!$M$47</f>
        <v>0</v>
      </c>
      <c r="U9">
        <f>'Base Period'!$M$48</f>
        <v>0</v>
      </c>
      <c r="V9">
        <f>'Base Period'!$M$49</f>
        <v>0</v>
      </c>
      <c r="W9">
        <f>'Base Period'!$M$50</f>
        <v>0</v>
      </c>
      <c r="X9">
        <f>'Base Period'!$M$51</f>
        <v>0</v>
      </c>
      <c r="Y9">
        <f>'Base Period'!$M$52</f>
        <v>0</v>
      </c>
      <c r="Z9">
        <f>'Base Period'!$M$53</f>
        <v>0</v>
      </c>
      <c r="AA9">
        <f>'Base Period'!$M$54</f>
        <v>0</v>
      </c>
      <c r="AB9">
        <f>'Base Period'!$M$55</f>
        <v>0</v>
      </c>
      <c r="AC9">
        <f>'Base Period'!$M$56</f>
        <v>0</v>
      </c>
      <c r="AD9">
        <f>'Base Period'!$M$57</f>
        <v>0</v>
      </c>
      <c r="AE9">
        <f>'Base Period'!$M$58</f>
        <v>0</v>
      </c>
      <c r="AF9">
        <f>'Base Period'!$M$59</f>
        <v>0</v>
      </c>
      <c r="AG9">
        <f>'Base Period'!$M$60</f>
        <v>0</v>
      </c>
      <c r="AH9">
        <f>'Base Period'!$M$61</f>
        <v>0</v>
      </c>
      <c r="AI9">
        <f>'Base Period'!$M$62</f>
        <v>0</v>
      </c>
      <c r="AO9" s="159">
        <f>IF('Base Period'!$M$66="",0,'Base Period'!$M$66)</f>
        <v>5</v>
      </c>
      <c r="AP9" s="160">
        <f t="shared" si="0"/>
        <v>0</v>
      </c>
    </row>
    <row r="10" spans="2:42" x14ac:dyDescent="0.25">
      <c r="B10" t="str">
        <f>'Base Period'!$B$4:$D$4</f>
        <v>Base Period</v>
      </c>
      <c r="C10">
        <f>'Base Period'!$O$29</f>
        <v>4</v>
      </c>
      <c r="D10">
        <f>'Base Period'!$O$30</f>
        <v>4</v>
      </c>
      <c r="E10" s="14">
        <f>'Base Period'!$P$154</f>
        <v>94.443918299999993</v>
      </c>
      <c r="F10">
        <f>'Base Period'!$O$33</f>
        <v>1</v>
      </c>
      <c r="G10">
        <f>'Base Period'!$O$34</f>
        <v>1</v>
      </c>
      <c r="H10">
        <f>'Base Period'!$O$35</f>
        <v>1</v>
      </c>
      <c r="I10">
        <f>'Base Period'!$O$36</f>
        <v>1</v>
      </c>
      <c r="J10">
        <f>'Base Period'!$O$37</f>
        <v>1</v>
      </c>
      <c r="K10">
        <f>'Base Period'!$O$38</f>
        <v>0</v>
      </c>
      <c r="L10">
        <f>'Base Period'!$O$39</f>
        <v>0</v>
      </c>
      <c r="M10">
        <f>'Base Period'!$O$40</f>
        <v>0</v>
      </c>
      <c r="N10">
        <f>'Base Period'!$O$41</f>
        <v>0</v>
      </c>
      <c r="O10">
        <f>'Base Period'!$O$42</f>
        <v>0</v>
      </c>
      <c r="P10">
        <f>'Base Period'!$O$43</f>
        <v>0</v>
      </c>
      <c r="Q10">
        <f>'Base Period'!$O$44</f>
        <v>0</v>
      </c>
      <c r="R10">
        <f>'Base Period'!$O$45</f>
        <v>0</v>
      </c>
      <c r="S10">
        <f>'Base Period'!$O$46</f>
        <v>0</v>
      </c>
      <c r="T10">
        <f>'Base Period'!$O$47</f>
        <v>0</v>
      </c>
      <c r="U10">
        <f>'Base Period'!$O$48</f>
        <v>0</v>
      </c>
      <c r="V10">
        <f>'Base Period'!$O$49</f>
        <v>0</v>
      </c>
      <c r="W10">
        <f>'Base Period'!$O$50</f>
        <v>0</v>
      </c>
      <c r="X10">
        <f>'Base Period'!$O$51</f>
        <v>0</v>
      </c>
      <c r="Y10">
        <f>'Base Period'!$O$52</f>
        <v>0</v>
      </c>
      <c r="Z10">
        <f>'Base Period'!$O$53</f>
        <v>0</v>
      </c>
      <c r="AA10">
        <f>'Base Period'!$O$54</f>
        <v>0</v>
      </c>
      <c r="AB10">
        <f>'Base Period'!$O$55</f>
        <v>0</v>
      </c>
      <c r="AC10">
        <f>'Base Period'!$O$56</f>
        <v>0</v>
      </c>
      <c r="AD10">
        <f>'Base Period'!$O$57</f>
        <v>0</v>
      </c>
      <c r="AE10">
        <f>'Base Period'!$O$58</f>
        <v>0</v>
      </c>
      <c r="AF10">
        <f>'Base Period'!$O$59</f>
        <v>0</v>
      </c>
      <c r="AG10">
        <f>'Base Period'!$O$60</f>
        <v>0</v>
      </c>
      <c r="AH10">
        <f>'Base Period'!$O$61</f>
        <v>0</v>
      </c>
      <c r="AI10">
        <f>'Base Period'!$O$62</f>
        <v>0</v>
      </c>
      <c r="AO10" s="159">
        <f>IF('Base Period'!$O$66="",0,'Base Period'!$O$66)</f>
        <v>5</v>
      </c>
      <c r="AP10" s="160">
        <f t="shared" si="0"/>
        <v>0</v>
      </c>
    </row>
    <row r="11" spans="2:42" x14ac:dyDescent="0.25">
      <c r="B11" t="str">
        <f>'Base Period'!$B$4:$D$4</f>
        <v>Base Period</v>
      </c>
      <c r="C11">
        <f>'Base Period'!$Q$29</f>
        <v>4</v>
      </c>
      <c r="D11">
        <f>'Base Period'!$Q$30</f>
        <v>4.0999999999999996</v>
      </c>
      <c r="E11" s="14">
        <f>'Base Period'!$R$154</f>
        <v>94.443918299999993</v>
      </c>
      <c r="F11">
        <f>'Base Period'!$Q$33</f>
        <v>1</v>
      </c>
      <c r="G11">
        <f>'Base Period'!$Q$34</f>
        <v>1</v>
      </c>
      <c r="H11">
        <f>'Base Period'!$Q$35</f>
        <v>1</v>
      </c>
      <c r="I11">
        <f>'Base Period'!$Q$36</f>
        <v>1</v>
      </c>
      <c r="J11">
        <f>'Base Period'!$Q$37</f>
        <v>1</v>
      </c>
      <c r="K11">
        <f>'Base Period'!$Q$38</f>
        <v>0</v>
      </c>
      <c r="L11">
        <f>'Base Period'!$Q$39</f>
        <v>0</v>
      </c>
      <c r="M11">
        <f>'Base Period'!$Q$40</f>
        <v>0</v>
      </c>
      <c r="N11">
        <f>'Base Period'!$Q$41</f>
        <v>0</v>
      </c>
      <c r="O11">
        <f>'Base Period'!$Q$42</f>
        <v>0</v>
      </c>
      <c r="P11">
        <f>'Base Period'!$Q$43</f>
        <v>0</v>
      </c>
      <c r="Q11">
        <f>'Base Period'!$Q$44</f>
        <v>0</v>
      </c>
      <c r="R11">
        <f>'Base Period'!$Q$45</f>
        <v>0</v>
      </c>
      <c r="S11">
        <f>'Base Period'!$Q$46</f>
        <v>0</v>
      </c>
      <c r="T11">
        <f>'Base Period'!$Q$47</f>
        <v>0</v>
      </c>
      <c r="U11">
        <f>'Base Period'!$Q$48</f>
        <v>0</v>
      </c>
      <c r="V11">
        <f>'Base Period'!$Q$49</f>
        <v>0</v>
      </c>
      <c r="W11">
        <f>'Base Period'!$Q$50</f>
        <v>0</v>
      </c>
      <c r="X11">
        <f>'Base Period'!$Q$51</f>
        <v>0</v>
      </c>
      <c r="Y11">
        <f>'Base Period'!$Q$52</f>
        <v>0</v>
      </c>
      <c r="Z11">
        <f>'Base Period'!$Q$53</f>
        <v>0</v>
      </c>
      <c r="AA11">
        <f>'Base Period'!$Q$54</f>
        <v>0</v>
      </c>
      <c r="AB11">
        <f>'Base Period'!$Q$55</f>
        <v>0</v>
      </c>
      <c r="AC11">
        <f>'Base Period'!$Q$56</f>
        <v>0</v>
      </c>
      <c r="AD11">
        <f>'Base Period'!$Q$57</f>
        <v>0</v>
      </c>
      <c r="AE11">
        <f>'Base Period'!$Q$58</f>
        <v>0</v>
      </c>
      <c r="AF11">
        <f>'Base Period'!$Q$59</f>
        <v>0</v>
      </c>
      <c r="AG11">
        <f>'Base Period'!$Q$60</f>
        <v>0</v>
      </c>
      <c r="AH11">
        <f>'Base Period'!$Q$61</f>
        <v>0</v>
      </c>
      <c r="AI11">
        <f>'Base Period'!$Q$62</f>
        <v>0</v>
      </c>
      <c r="AO11" s="159">
        <f>IF('Base Period'!$Q$66="",0,'Base Period'!$Q$66)</f>
        <v>5</v>
      </c>
      <c r="AP11" s="160">
        <f t="shared" si="0"/>
        <v>0</v>
      </c>
    </row>
    <row r="12" spans="2:42" x14ac:dyDescent="0.25">
      <c r="B12" t="str">
        <f>'Base Period'!$B$4:$D$4</f>
        <v>Base Period</v>
      </c>
      <c r="C12">
        <f>'Base Period'!$S$29</f>
        <v>4</v>
      </c>
      <c r="D12">
        <f>'Base Period'!$S$30</f>
        <v>4.0999999999999996</v>
      </c>
      <c r="E12" s="14">
        <f>'Base Period'!$T$154</f>
        <v>94.443918299999993</v>
      </c>
      <c r="F12">
        <f>'Base Period'!$S$33</f>
        <v>1</v>
      </c>
      <c r="G12">
        <f>'Base Period'!$S$34</f>
        <v>1</v>
      </c>
      <c r="H12">
        <f>'Base Period'!$S$35</f>
        <v>1</v>
      </c>
      <c r="I12">
        <f>'Base Period'!$S$36</f>
        <v>1</v>
      </c>
      <c r="J12">
        <f>'Base Period'!$S$37</f>
        <v>1</v>
      </c>
      <c r="K12">
        <f>'Base Period'!$S$38</f>
        <v>0</v>
      </c>
      <c r="L12">
        <f>'Base Period'!$S$39</f>
        <v>0</v>
      </c>
      <c r="M12">
        <f>'Base Period'!$S$40</f>
        <v>0</v>
      </c>
      <c r="N12">
        <f>'Base Period'!$S$41</f>
        <v>0</v>
      </c>
      <c r="O12">
        <f>'Base Period'!$S$42</f>
        <v>0</v>
      </c>
      <c r="P12">
        <f>'Base Period'!$S$43</f>
        <v>0</v>
      </c>
      <c r="Q12">
        <f>'Base Period'!$S$44</f>
        <v>0</v>
      </c>
      <c r="R12">
        <f>'Base Period'!$S$45</f>
        <v>0</v>
      </c>
      <c r="S12">
        <f>'Base Period'!$S$46</f>
        <v>0</v>
      </c>
      <c r="T12">
        <f>'Base Period'!$S$47</f>
        <v>0</v>
      </c>
      <c r="U12">
        <f>'Base Period'!$S$48</f>
        <v>0</v>
      </c>
      <c r="V12">
        <f>'Base Period'!$S$49</f>
        <v>0</v>
      </c>
      <c r="W12">
        <f>'Base Period'!$S$50</f>
        <v>0</v>
      </c>
      <c r="X12">
        <f>'Base Period'!$S$51</f>
        <v>0</v>
      </c>
      <c r="Y12">
        <f>'Base Period'!$S$52</f>
        <v>0</v>
      </c>
      <c r="Z12">
        <f>'Base Period'!$S$53</f>
        <v>0</v>
      </c>
      <c r="AA12">
        <f>'Base Period'!$S$54</f>
        <v>0</v>
      </c>
      <c r="AB12">
        <f>'Base Period'!$S$55</f>
        <v>0</v>
      </c>
      <c r="AC12">
        <f>'Base Period'!$S$56</f>
        <v>0</v>
      </c>
      <c r="AD12">
        <f>'Base Period'!$S$57</f>
        <v>0</v>
      </c>
      <c r="AE12">
        <f>'Base Period'!$S$58</f>
        <v>0</v>
      </c>
      <c r="AF12">
        <f>'Base Period'!$S$59</f>
        <v>0</v>
      </c>
      <c r="AG12">
        <f>'Base Period'!$S$60</f>
        <v>0</v>
      </c>
      <c r="AH12">
        <f>'Base Period'!$S$61</f>
        <v>0</v>
      </c>
      <c r="AI12">
        <f>'Base Period'!$S$62</f>
        <v>0</v>
      </c>
      <c r="AO12" s="159">
        <f>IF('Base Period'!$S$66="",0,'Base Period'!$S$66)</f>
        <v>5</v>
      </c>
      <c r="AP12" s="160">
        <f t="shared" si="0"/>
        <v>0</v>
      </c>
    </row>
    <row r="13" spans="2:42" x14ac:dyDescent="0.25">
      <c r="B13" t="str">
        <f>'Base Period'!$B$4:$D$4</f>
        <v>Base Period</v>
      </c>
      <c r="C13">
        <f>'Base Period'!$U$29</f>
        <v>4</v>
      </c>
      <c r="D13">
        <f>'Base Period'!$U$30</f>
        <v>4.0999999999999996</v>
      </c>
      <c r="E13" s="14">
        <f>'Base Period'!$V$154</f>
        <v>94.443918299999993</v>
      </c>
      <c r="F13">
        <f>'Base Period'!$U$33</f>
        <v>1</v>
      </c>
      <c r="G13">
        <f>'Base Period'!$U$34</f>
        <v>1</v>
      </c>
      <c r="H13">
        <f>'Base Period'!$U$35</f>
        <v>1</v>
      </c>
      <c r="I13">
        <f>'Base Period'!$U$36</f>
        <v>1</v>
      </c>
      <c r="J13">
        <f>'Base Period'!$U$37</f>
        <v>1</v>
      </c>
      <c r="K13">
        <f>'Base Period'!$U$38</f>
        <v>0</v>
      </c>
      <c r="L13">
        <f>'Base Period'!$U$39</f>
        <v>0</v>
      </c>
      <c r="M13">
        <f>'Base Period'!$U$40</f>
        <v>0</v>
      </c>
      <c r="N13">
        <f>'Base Period'!$U$41</f>
        <v>0</v>
      </c>
      <c r="O13">
        <f>'Base Period'!$U$42</f>
        <v>0</v>
      </c>
      <c r="P13">
        <f>'Base Period'!$U$43</f>
        <v>0</v>
      </c>
      <c r="Q13">
        <f>'Base Period'!$U$44</f>
        <v>0</v>
      </c>
      <c r="R13">
        <f>'Base Period'!$U$45</f>
        <v>0</v>
      </c>
      <c r="S13">
        <f>'Base Period'!$U$46</f>
        <v>0</v>
      </c>
      <c r="T13">
        <f>'Base Period'!$U$47</f>
        <v>0</v>
      </c>
      <c r="U13">
        <f>'Base Period'!$U$48</f>
        <v>0</v>
      </c>
      <c r="V13">
        <f>'Base Period'!$U$49</f>
        <v>0</v>
      </c>
      <c r="W13">
        <f>'Base Period'!$U$50</f>
        <v>0</v>
      </c>
      <c r="X13">
        <f>'Base Period'!$U$51</f>
        <v>0</v>
      </c>
      <c r="Y13">
        <f>'Base Period'!$U$52</f>
        <v>0</v>
      </c>
      <c r="Z13">
        <f>'Base Period'!$U$53</f>
        <v>0</v>
      </c>
      <c r="AA13">
        <f>'Base Period'!$U$54</f>
        <v>0</v>
      </c>
      <c r="AB13">
        <f>'Base Period'!$U$55</f>
        <v>0</v>
      </c>
      <c r="AC13">
        <f>'Base Period'!$U$56</f>
        <v>0</v>
      </c>
      <c r="AD13">
        <f>'Base Period'!$U$57</f>
        <v>0</v>
      </c>
      <c r="AE13">
        <f>'Base Period'!$U$58</f>
        <v>0</v>
      </c>
      <c r="AF13">
        <f>'Base Period'!$U$59</f>
        <v>0</v>
      </c>
      <c r="AG13">
        <f>'Base Period'!$U$60</f>
        <v>0</v>
      </c>
      <c r="AH13">
        <f>'Base Period'!$U$61</f>
        <v>0</v>
      </c>
      <c r="AI13">
        <f>'Base Period'!$U$62</f>
        <v>0</v>
      </c>
      <c r="AO13" s="159">
        <f>IF('Base Period'!$U$66="",0,'Base Period'!$U$66)</f>
        <v>5</v>
      </c>
      <c r="AP13" s="160">
        <f t="shared" si="0"/>
        <v>0</v>
      </c>
    </row>
    <row r="14" spans="2:42" x14ac:dyDescent="0.25">
      <c r="B14" t="str">
        <f>'Base Period'!$B$4:$D$4</f>
        <v>Base Period</v>
      </c>
      <c r="C14">
        <f>'Base Period'!$W$29</f>
        <v>4</v>
      </c>
      <c r="D14">
        <f>'Base Period'!$W$30</f>
        <v>4.2</v>
      </c>
      <c r="E14" s="14">
        <f>'Base Period'!$X$154</f>
        <v>94.443918299999993</v>
      </c>
      <c r="F14">
        <f>'Base Period'!$W$33</f>
        <v>1</v>
      </c>
      <c r="G14">
        <f>'Base Period'!$W$34</f>
        <v>1</v>
      </c>
      <c r="H14">
        <f>'Base Period'!$W$35</f>
        <v>1</v>
      </c>
      <c r="I14">
        <f>'Base Period'!$W$36</f>
        <v>1</v>
      </c>
      <c r="J14">
        <f>'Base Period'!$W$37</f>
        <v>1</v>
      </c>
      <c r="K14">
        <f>'Base Period'!$W$38</f>
        <v>0</v>
      </c>
      <c r="L14">
        <f>'Base Period'!$W$39</f>
        <v>0</v>
      </c>
      <c r="M14">
        <f>'Base Period'!$W$40</f>
        <v>0</v>
      </c>
      <c r="N14">
        <f>'Base Period'!$W$41</f>
        <v>0</v>
      </c>
      <c r="O14">
        <f>'Base Period'!$W$42</f>
        <v>0</v>
      </c>
      <c r="P14">
        <f>'Base Period'!$W$43</f>
        <v>0</v>
      </c>
      <c r="Q14">
        <f>'Base Period'!$W$44</f>
        <v>0</v>
      </c>
      <c r="R14">
        <f>'Base Period'!$W$45</f>
        <v>0</v>
      </c>
      <c r="S14">
        <f>'Base Period'!$W$46</f>
        <v>0</v>
      </c>
      <c r="T14">
        <f>'Base Period'!$W$47</f>
        <v>0</v>
      </c>
      <c r="U14">
        <f>'Base Period'!$W$48</f>
        <v>0</v>
      </c>
      <c r="V14">
        <f>'Base Period'!$W$49</f>
        <v>0</v>
      </c>
      <c r="W14">
        <f>'Base Period'!$W$50</f>
        <v>0</v>
      </c>
      <c r="X14">
        <f>'Base Period'!$W$51</f>
        <v>0</v>
      </c>
      <c r="Y14">
        <f>'Base Period'!$W$52</f>
        <v>0</v>
      </c>
      <c r="Z14">
        <f>'Base Period'!$W$53</f>
        <v>0</v>
      </c>
      <c r="AA14">
        <f>'Base Period'!$W$54</f>
        <v>0</v>
      </c>
      <c r="AB14">
        <f>'Base Period'!$W$55</f>
        <v>0</v>
      </c>
      <c r="AC14">
        <f>'Base Period'!$W$56</f>
        <v>0</v>
      </c>
      <c r="AD14">
        <f>'Base Period'!$W$57</f>
        <v>0</v>
      </c>
      <c r="AE14">
        <f>'Base Period'!$W$58</f>
        <v>0</v>
      </c>
      <c r="AF14">
        <f>'Base Period'!$W$59</f>
        <v>0</v>
      </c>
      <c r="AG14">
        <f>'Base Period'!$W$60</f>
        <v>0</v>
      </c>
      <c r="AH14">
        <f>'Base Period'!$W$61</f>
        <v>0</v>
      </c>
      <c r="AI14">
        <f>'Base Period'!$W$62</f>
        <v>0</v>
      </c>
      <c r="AO14" s="159">
        <f>IF('Base Period'!$W$66="",0,'Base Period'!$W$66)</f>
        <v>5</v>
      </c>
      <c r="AP14" s="160">
        <f t="shared" si="0"/>
        <v>0</v>
      </c>
    </row>
    <row r="15" spans="2:42" x14ac:dyDescent="0.25">
      <c r="B15" t="str">
        <f>'Base Period'!$B$4:$D$4</f>
        <v>Base Period</v>
      </c>
      <c r="C15">
        <f>'Base Period'!$Y$29</f>
        <v>4</v>
      </c>
      <c r="D15">
        <f>'Base Period'!$Y$30</f>
        <v>4.4000000000000004</v>
      </c>
      <c r="E15" s="14">
        <f>'Base Period'!$Z$154</f>
        <v>94.443918299999993</v>
      </c>
      <c r="F15">
        <f>'Base Period'!$Y$33</f>
        <v>1</v>
      </c>
      <c r="G15">
        <f>'Base Period'!$Y$34</f>
        <v>1</v>
      </c>
      <c r="H15">
        <f>'Base Period'!$Y$35</f>
        <v>1</v>
      </c>
      <c r="I15">
        <f>'Base Period'!$Y$36</f>
        <v>1</v>
      </c>
      <c r="J15">
        <f>'Base Period'!$Y$37</f>
        <v>1</v>
      </c>
      <c r="K15">
        <f>'Base Period'!$Y$38</f>
        <v>0</v>
      </c>
      <c r="L15">
        <f>'Base Period'!$Y$39</f>
        <v>0</v>
      </c>
      <c r="M15">
        <f>'Base Period'!$Y$40</f>
        <v>0</v>
      </c>
      <c r="N15">
        <f>'Base Period'!$Y$41</f>
        <v>0</v>
      </c>
      <c r="O15">
        <f>'Base Period'!$Y$42</f>
        <v>0</v>
      </c>
      <c r="P15">
        <f>'Base Period'!$Y$43</f>
        <v>0</v>
      </c>
      <c r="Q15">
        <f>'Base Period'!$Y$44</f>
        <v>0</v>
      </c>
      <c r="R15">
        <f>'Base Period'!$Y$45</f>
        <v>0</v>
      </c>
      <c r="S15">
        <f>'Base Period'!$Y$46</f>
        <v>0</v>
      </c>
      <c r="T15">
        <f>'Base Period'!$Y$47</f>
        <v>0</v>
      </c>
      <c r="U15">
        <f>'Base Period'!$Y$48</f>
        <v>0</v>
      </c>
      <c r="V15">
        <f>'Base Period'!$Y$49</f>
        <v>0</v>
      </c>
      <c r="W15">
        <f>'Base Period'!$Y$50</f>
        <v>0</v>
      </c>
      <c r="X15">
        <f>'Base Period'!$Y$51</f>
        <v>0</v>
      </c>
      <c r="Y15">
        <f>'Base Period'!$Y$52</f>
        <v>0</v>
      </c>
      <c r="Z15">
        <f>'Base Period'!$Y$53</f>
        <v>0</v>
      </c>
      <c r="AA15">
        <f>'Base Period'!$Y$54</f>
        <v>0</v>
      </c>
      <c r="AB15">
        <f>'Base Period'!$Y$55</f>
        <v>0</v>
      </c>
      <c r="AC15">
        <f>'Base Period'!$Y$56</f>
        <v>0</v>
      </c>
      <c r="AD15">
        <f>'Base Period'!$Y$57</f>
        <v>0</v>
      </c>
      <c r="AE15">
        <f>'Base Period'!$Y$58</f>
        <v>0</v>
      </c>
      <c r="AF15">
        <f>'Base Period'!$Y$59</f>
        <v>0</v>
      </c>
      <c r="AG15">
        <f>'Base Period'!$Y$60</f>
        <v>0</v>
      </c>
      <c r="AH15">
        <f>'Base Period'!$Y$61</f>
        <v>0</v>
      </c>
      <c r="AI15">
        <f>'Base Period'!$Y$62</f>
        <v>0</v>
      </c>
      <c r="AO15" s="159">
        <f>IF('Base Period'!$Y$66="",0,'Base Period'!$Y$66)</f>
        <v>5</v>
      </c>
      <c r="AP15" s="160">
        <f t="shared" si="0"/>
        <v>0</v>
      </c>
    </row>
    <row r="16" spans="2:42" x14ac:dyDescent="0.25">
      <c r="B16" t="str">
        <f>'Base Period'!$B$4:$D$4</f>
        <v>Base Period</v>
      </c>
      <c r="C16">
        <f>'Base Period'!$AA$29</f>
        <v>4</v>
      </c>
      <c r="D16">
        <f>'Base Period'!$AA$30</f>
        <v>4.5</v>
      </c>
      <c r="E16" s="14">
        <f>'Base Period'!$AB$154</f>
        <v>94.443918299999993</v>
      </c>
      <c r="F16">
        <f>'Base Period'!$AA$33</f>
        <v>1</v>
      </c>
      <c r="G16">
        <f>'Base Period'!$AA$34</f>
        <v>1</v>
      </c>
      <c r="H16">
        <f>'Base Period'!$AA$35</f>
        <v>1</v>
      </c>
      <c r="I16">
        <f>'Base Period'!$AA$36</f>
        <v>1</v>
      </c>
      <c r="J16">
        <f>'Base Period'!$AA$37</f>
        <v>1</v>
      </c>
      <c r="K16">
        <f>'Base Period'!$AA$38</f>
        <v>0</v>
      </c>
      <c r="L16">
        <f>'Base Period'!$AA$39</f>
        <v>0</v>
      </c>
      <c r="M16">
        <f>'Base Period'!$AA$40</f>
        <v>0</v>
      </c>
      <c r="N16">
        <f>'Base Period'!$AA$41</f>
        <v>0</v>
      </c>
      <c r="O16">
        <f>'Base Period'!$AA$42</f>
        <v>0</v>
      </c>
      <c r="P16">
        <f>'Base Period'!$AA$43</f>
        <v>0</v>
      </c>
      <c r="Q16">
        <f>'Base Period'!$AA$44</f>
        <v>0</v>
      </c>
      <c r="R16">
        <f>'Base Period'!$AA$45</f>
        <v>0</v>
      </c>
      <c r="S16">
        <f>'Base Period'!$AA$46</f>
        <v>0</v>
      </c>
      <c r="T16">
        <f>'Base Period'!$AA$47</f>
        <v>0</v>
      </c>
      <c r="U16">
        <f>'Base Period'!$AA$48</f>
        <v>0</v>
      </c>
      <c r="V16">
        <f>'Base Period'!$AA$49</f>
        <v>0</v>
      </c>
      <c r="W16">
        <f>'Base Period'!$AA$50</f>
        <v>0</v>
      </c>
      <c r="X16">
        <f>'Base Period'!$AA$51</f>
        <v>0</v>
      </c>
      <c r="Y16">
        <f>'Base Period'!$AA$52</f>
        <v>0</v>
      </c>
      <c r="Z16">
        <f>'Base Period'!$AA$53</f>
        <v>0</v>
      </c>
      <c r="AA16">
        <f>'Base Period'!$AA$54</f>
        <v>0</v>
      </c>
      <c r="AB16">
        <f>'Base Period'!$AA$55</f>
        <v>0</v>
      </c>
      <c r="AC16">
        <f>'Base Period'!$AA$56</f>
        <v>0</v>
      </c>
      <c r="AD16">
        <f>'Base Period'!$AA$57</f>
        <v>0</v>
      </c>
      <c r="AE16">
        <f>'Base Period'!$AA$58</f>
        <v>0</v>
      </c>
      <c r="AF16">
        <f>'Base Period'!$AA$59</f>
        <v>0</v>
      </c>
      <c r="AG16">
        <f>'Base Period'!$AA$60</f>
        <v>0</v>
      </c>
      <c r="AH16">
        <f>'Base Period'!$AA$61</f>
        <v>0</v>
      </c>
      <c r="AI16">
        <f>'Base Period'!$AA$62</f>
        <v>0</v>
      </c>
      <c r="AO16" s="159">
        <f>IF('Base Period'!$AA$66="",0,'Base Period'!$AA$66)</f>
        <v>5</v>
      </c>
      <c r="AP16" s="160">
        <f t="shared" si="0"/>
        <v>0</v>
      </c>
    </row>
    <row r="17" spans="2:42" x14ac:dyDescent="0.25">
      <c r="B17" t="str">
        <f>'Base Period'!$B$4:$D$4</f>
        <v>Base Period</v>
      </c>
      <c r="C17">
        <f>'Base Period'!$AC$29</f>
        <v>4</v>
      </c>
      <c r="D17">
        <f>'Base Period'!$AC$30</f>
        <v>4.5999999999999996</v>
      </c>
      <c r="E17" s="14">
        <f>'Base Period'!$AD$154</f>
        <v>94.443918299999993</v>
      </c>
      <c r="F17">
        <f>'Base Period'!$AC$33</f>
        <v>1</v>
      </c>
      <c r="G17">
        <f>'Base Period'!$AC$34</f>
        <v>1</v>
      </c>
      <c r="H17">
        <f>'Base Period'!$AC$35</f>
        <v>1</v>
      </c>
      <c r="I17">
        <f>'Base Period'!$AC$36</f>
        <v>1</v>
      </c>
      <c r="J17">
        <f>'Base Period'!$AC$37</f>
        <v>1</v>
      </c>
      <c r="K17">
        <f>'Base Period'!$AC$38</f>
        <v>0</v>
      </c>
      <c r="L17">
        <f>'Base Period'!$AC$39</f>
        <v>0</v>
      </c>
      <c r="M17">
        <f>'Base Period'!$AC$40</f>
        <v>0</v>
      </c>
      <c r="N17">
        <f>'Base Period'!$AC$41</f>
        <v>0</v>
      </c>
      <c r="O17">
        <f>'Base Period'!$AC$42</f>
        <v>0</v>
      </c>
      <c r="P17">
        <f>'Base Period'!$AC$43</f>
        <v>0</v>
      </c>
      <c r="Q17">
        <f>'Base Period'!$AC$44</f>
        <v>0</v>
      </c>
      <c r="R17">
        <f>'Base Period'!$AC$45</f>
        <v>0</v>
      </c>
      <c r="S17">
        <f>'Base Period'!$AC$46</f>
        <v>0</v>
      </c>
      <c r="T17">
        <f>'Base Period'!$AC$47</f>
        <v>0</v>
      </c>
      <c r="U17">
        <f>'Base Period'!$AC$48</f>
        <v>0</v>
      </c>
      <c r="V17">
        <f>'Base Period'!$AC$49</f>
        <v>0</v>
      </c>
      <c r="W17">
        <f>'Base Period'!$AC$50</f>
        <v>0</v>
      </c>
      <c r="X17">
        <f>'Base Period'!$AC$51</f>
        <v>0</v>
      </c>
      <c r="Y17">
        <f>'Base Period'!$AC$52</f>
        <v>0</v>
      </c>
      <c r="Z17">
        <f>'Base Period'!$AC$53</f>
        <v>0</v>
      </c>
      <c r="AA17">
        <f>'Base Period'!$AC$54</f>
        <v>0</v>
      </c>
      <c r="AB17">
        <f>'Base Period'!$AC$55</f>
        <v>0</v>
      </c>
      <c r="AC17">
        <f>'Base Period'!$AC$56</f>
        <v>0</v>
      </c>
      <c r="AD17">
        <f>'Base Period'!$AC$57</f>
        <v>0</v>
      </c>
      <c r="AE17">
        <f>'Base Period'!$AC$58</f>
        <v>0</v>
      </c>
      <c r="AF17">
        <f>'Base Period'!$AC$59</f>
        <v>0</v>
      </c>
      <c r="AG17">
        <f>'Base Period'!$AC$60</f>
        <v>0</v>
      </c>
      <c r="AH17">
        <f>'Base Period'!$AC$61</f>
        <v>0</v>
      </c>
      <c r="AI17">
        <f>'Base Period'!$AC$62</f>
        <v>0</v>
      </c>
      <c r="AO17" s="159">
        <f>IF('Base Period'!$AC$66="",0,'Base Period'!$AC$66)</f>
        <v>5</v>
      </c>
      <c r="AP17" s="160">
        <f t="shared" si="0"/>
        <v>0</v>
      </c>
    </row>
    <row r="18" spans="2:42" x14ac:dyDescent="0.25">
      <c r="B18" t="str">
        <f>'Base Period'!$B$4:$D$4</f>
        <v>Base Period</v>
      </c>
      <c r="C18">
        <f>'Base Period'!$AE$29</f>
        <v>5</v>
      </c>
      <c r="D18">
        <f>'Base Period'!$AE$30</f>
        <v>5</v>
      </c>
      <c r="E18" s="14">
        <f>'Base Period'!$AF$154</f>
        <v>0</v>
      </c>
      <c r="F18">
        <f>'Base Period'!$AE$33</f>
        <v>0</v>
      </c>
      <c r="G18">
        <f>'Base Period'!$AE$34</f>
        <v>0</v>
      </c>
      <c r="H18">
        <f>'Base Period'!$AE$35</f>
        <v>0</v>
      </c>
      <c r="I18">
        <f>'Base Period'!$AE$36</f>
        <v>0</v>
      </c>
      <c r="J18">
        <f>'Base Period'!$AE$37</f>
        <v>0</v>
      </c>
      <c r="K18">
        <f>'Base Period'!$AE$38</f>
        <v>0</v>
      </c>
      <c r="L18">
        <f>'Base Period'!$AE$39</f>
        <v>0</v>
      </c>
      <c r="M18">
        <f>'Base Period'!$AE$40</f>
        <v>0</v>
      </c>
      <c r="N18">
        <f>'Base Period'!$AE$41</f>
        <v>0</v>
      </c>
      <c r="O18">
        <f>'Base Period'!$AE$42</f>
        <v>0</v>
      </c>
      <c r="P18">
        <f>'Base Period'!$AE$43</f>
        <v>0</v>
      </c>
      <c r="Q18">
        <f>'Base Period'!$AE$44</f>
        <v>0</v>
      </c>
      <c r="R18">
        <f>'Base Period'!$AE$45</f>
        <v>0</v>
      </c>
      <c r="S18">
        <f>'Base Period'!$AE$46</f>
        <v>0</v>
      </c>
      <c r="T18">
        <f>'Base Period'!$AE$47</f>
        <v>0</v>
      </c>
      <c r="U18">
        <f>'Base Period'!$AE$48</f>
        <v>0</v>
      </c>
      <c r="V18">
        <f>'Base Period'!$AE$49</f>
        <v>0</v>
      </c>
      <c r="W18">
        <f>'Base Period'!$AE$50</f>
        <v>0</v>
      </c>
      <c r="X18">
        <f>'Base Period'!$AE$51</f>
        <v>0</v>
      </c>
      <c r="Y18">
        <f>'Base Period'!$AE$52</f>
        <v>0</v>
      </c>
      <c r="Z18">
        <f>'Base Period'!$AE$53</f>
        <v>0</v>
      </c>
      <c r="AA18">
        <f>'Base Period'!$AE$54</f>
        <v>0</v>
      </c>
      <c r="AB18">
        <f>'Base Period'!$AE$55</f>
        <v>0</v>
      </c>
      <c r="AC18">
        <f>'Base Period'!$AE$56</f>
        <v>0</v>
      </c>
      <c r="AD18">
        <f>'Base Period'!$AE$57</f>
        <v>0</v>
      </c>
      <c r="AE18">
        <f>'Base Period'!$AE$58</f>
        <v>0</v>
      </c>
      <c r="AF18">
        <f>'Base Period'!$AE$59</f>
        <v>0</v>
      </c>
      <c r="AG18">
        <f>'Base Period'!$AE$60</f>
        <v>0</v>
      </c>
      <c r="AH18">
        <f>'Base Period'!$AE$61</f>
        <v>0</v>
      </c>
      <c r="AI18">
        <f>'Base Period'!$AE$62</f>
        <v>0</v>
      </c>
      <c r="AO18" s="159">
        <f>IF('Base Period'!$AE$66="",0,'Base Period'!$AE$66)</f>
        <v>0</v>
      </c>
      <c r="AP18" s="160">
        <f t="shared" si="0"/>
        <v>0</v>
      </c>
    </row>
    <row r="19" spans="2:42" x14ac:dyDescent="0.25">
      <c r="B19" t="str">
        <f>'Base Period'!$B$4:$D$4</f>
        <v>Base Period</v>
      </c>
      <c r="C19" t="str">
        <f>'Base Period'!$AG$29</f>
        <v>Enter Task # Here</v>
      </c>
      <c r="D19" t="str">
        <f>'Base Period'!$AG$30</f>
        <v>Enter Subtask # Here</v>
      </c>
      <c r="E19" s="14">
        <f>'Base Period'!$AH$154</f>
        <v>0</v>
      </c>
      <c r="F19">
        <f>'Base Period'!$AG$33</f>
        <v>0</v>
      </c>
      <c r="G19">
        <f>'Base Period'!$AG$34</f>
        <v>0</v>
      </c>
      <c r="H19">
        <f>'Base Period'!$AG$35</f>
        <v>0</v>
      </c>
      <c r="I19">
        <f>'Base Period'!$AG$36</f>
        <v>0</v>
      </c>
      <c r="J19">
        <f>'Base Period'!$AG$37</f>
        <v>0</v>
      </c>
      <c r="K19">
        <f>'Base Period'!$AG$38</f>
        <v>0</v>
      </c>
      <c r="L19">
        <f>'Base Period'!$AG$39</f>
        <v>0</v>
      </c>
      <c r="M19">
        <f>'Base Period'!$AG$40</f>
        <v>0</v>
      </c>
      <c r="N19">
        <f>'Base Period'!$AG$41</f>
        <v>0</v>
      </c>
      <c r="O19">
        <f>'Base Period'!$AG$42</f>
        <v>0</v>
      </c>
      <c r="P19">
        <f>'Base Period'!$AG$43</f>
        <v>0</v>
      </c>
      <c r="Q19">
        <f>'Base Period'!$AG$44</f>
        <v>0</v>
      </c>
      <c r="R19">
        <f>'Base Period'!$AG$45</f>
        <v>0</v>
      </c>
      <c r="S19">
        <f>'Base Period'!$AG$46</f>
        <v>0</v>
      </c>
      <c r="T19">
        <f>'Base Period'!$AG$47</f>
        <v>0</v>
      </c>
      <c r="U19">
        <f>'Base Period'!$AG$48</f>
        <v>0</v>
      </c>
      <c r="V19">
        <f>'Base Period'!$AG$49</f>
        <v>0</v>
      </c>
      <c r="W19">
        <f>'Base Period'!$AG$50</f>
        <v>0</v>
      </c>
      <c r="X19">
        <f>'Base Period'!$AG$51</f>
        <v>0</v>
      </c>
      <c r="Y19">
        <f>'Base Period'!$AG$52</f>
        <v>0</v>
      </c>
      <c r="Z19">
        <f>'Base Period'!$AG$53</f>
        <v>0</v>
      </c>
      <c r="AA19">
        <f>'Base Period'!$AG$54</f>
        <v>0</v>
      </c>
      <c r="AB19">
        <f>'Base Period'!$AG$55</f>
        <v>0</v>
      </c>
      <c r="AC19">
        <f>'Base Period'!$AG$56</f>
        <v>0</v>
      </c>
      <c r="AD19">
        <f>'Base Period'!$AG$57</f>
        <v>0</v>
      </c>
      <c r="AE19">
        <f>'Base Period'!$AG$58</f>
        <v>0</v>
      </c>
      <c r="AF19">
        <f>'Base Period'!$AG$59</f>
        <v>0</v>
      </c>
      <c r="AG19">
        <f>'Base Period'!$AG$60</f>
        <v>0</v>
      </c>
      <c r="AH19">
        <f>'Base Period'!$AG$61</f>
        <v>0</v>
      </c>
      <c r="AI19">
        <f>'Base Period'!$AG$62</f>
        <v>0</v>
      </c>
      <c r="AO19" s="159">
        <f>IF('Base Period'!$AG$66="",0,'Base Period'!$AG$66)</f>
        <v>0</v>
      </c>
      <c r="AP19" s="160">
        <f t="shared" si="0"/>
        <v>0</v>
      </c>
    </row>
    <row r="20" spans="2:42" x14ac:dyDescent="0.25">
      <c r="B20" t="str">
        <f>'Base Period'!$B$4:$D$4</f>
        <v>Base Period</v>
      </c>
      <c r="C20" t="str">
        <f>'Base Period'!$AI$29</f>
        <v>Enter Task # Here</v>
      </c>
      <c r="D20" t="str">
        <f>'Base Period'!$AI$30</f>
        <v>Enter Subtask # Here</v>
      </c>
      <c r="E20" s="14">
        <f>'Base Period'!$AJ$154</f>
        <v>0</v>
      </c>
      <c r="F20">
        <f>'Base Period'!$AI$33</f>
        <v>0</v>
      </c>
      <c r="G20">
        <f>'Base Period'!$AI$34</f>
        <v>0</v>
      </c>
      <c r="H20">
        <f>'Base Period'!$AI$35</f>
        <v>0</v>
      </c>
      <c r="I20">
        <f>'Base Period'!$AI$36</f>
        <v>0</v>
      </c>
      <c r="J20">
        <f>'Base Period'!$AI$37</f>
        <v>0</v>
      </c>
      <c r="K20">
        <f>'Base Period'!$AI$38</f>
        <v>0</v>
      </c>
      <c r="L20">
        <f>'Base Period'!$AI$39</f>
        <v>0</v>
      </c>
      <c r="M20">
        <f>'Base Period'!$AI$40</f>
        <v>0</v>
      </c>
      <c r="N20">
        <f>'Base Period'!$AI$41</f>
        <v>0</v>
      </c>
      <c r="O20">
        <f>'Base Period'!$AI$42</f>
        <v>0</v>
      </c>
      <c r="P20">
        <f>'Base Period'!$AI$43</f>
        <v>0</v>
      </c>
      <c r="Q20">
        <f>'Base Period'!$AI$44</f>
        <v>0</v>
      </c>
      <c r="R20">
        <f>'Base Period'!$AI$45</f>
        <v>0</v>
      </c>
      <c r="S20">
        <f>'Base Period'!$AI$46</f>
        <v>0</v>
      </c>
      <c r="T20">
        <f>'Base Period'!$AI$47</f>
        <v>0</v>
      </c>
      <c r="U20">
        <f>'Base Period'!$AI$48</f>
        <v>0</v>
      </c>
      <c r="V20">
        <f>'Base Period'!$AI$49</f>
        <v>0</v>
      </c>
      <c r="W20">
        <f>'Base Period'!$AI$50</f>
        <v>0</v>
      </c>
      <c r="X20">
        <f>'Base Period'!$AI$51</f>
        <v>0</v>
      </c>
      <c r="Y20">
        <f>'Base Period'!$AI$52</f>
        <v>0</v>
      </c>
      <c r="Z20">
        <f>'Base Period'!$AI$53</f>
        <v>0</v>
      </c>
      <c r="AA20">
        <f>'Base Period'!$AI$54</f>
        <v>0</v>
      </c>
      <c r="AB20">
        <f>'Base Period'!$AI$55</f>
        <v>0</v>
      </c>
      <c r="AC20">
        <f>'Base Period'!$AI$56</f>
        <v>0</v>
      </c>
      <c r="AD20">
        <f>'Base Period'!$AI$57</f>
        <v>0</v>
      </c>
      <c r="AE20">
        <f>'Base Period'!$AI$58</f>
        <v>0</v>
      </c>
      <c r="AF20">
        <f>'Base Period'!$AI$59</f>
        <v>0</v>
      </c>
      <c r="AG20">
        <f>'Base Period'!$AI$60</f>
        <v>0</v>
      </c>
      <c r="AH20">
        <f>'Base Period'!$AI$61</f>
        <v>0</v>
      </c>
      <c r="AI20">
        <f>'Base Period'!$AI$62</f>
        <v>0</v>
      </c>
      <c r="AO20" s="159">
        <f>IF('Base Period'!$AI$66="",0,'Base Period'!$AI$66)</f>
        <v>0</v>
      </c>
      <c r="AP20" s="160">
        <f t="shared" si="0"/>
        <v>0</v>
      </c>
    </row>
    <row r="21" spans="2:42" x14ac:dyDescent="0.25">
      <c r="B21" t="str">
        <f>'Base Period'!$B$4:$D$4</f>
        <v>Base Period</v>
      </c>
      <c r="C21" t="str">
        <f>'Base Period'!$AK$29</f>
        <v>Enter Task # Here</v>
      </c>
      <c r="D21" t="str">
        <f>'Base Period'!$AK$30</f>
        <v>Enter Subtask # Here</v>
      </c>
      <c r="E21" s="14">
        <f>'Base Period'!$AL$154</f>
        <v>0</v>
      </c>
      <c r="F21">
        <f>'Base Period'!$AK$33</f>
        <v>0</v>
      </c>
      <c r="G21">
        <f>'Base Period'!$AK$34</f>
        <v>0</v>
      </c>
      <c r="H21">
        <f>'Base Period'!$AK$35</f>
        <v>0</v>
      </c>
      <c r="I21">
        <f>'Base Period'!$AK$36</f>
        <v>0</v>
      </c>
      <c r="J21">
        <f>'Base Period'!$AK$37</f>
        <v>0</v>
      </c>
      <c r="K21">
        <f>'Base Period'!$AK$38</f>
        <v>0</v>
      </c>
      <c r="L21">
        <f>'Base Period'!$AK$39</f>
        <v>0</v>
      </c>
      <c r="M21">
        <f>'Base Period'!$AK$40</f>
        <v>0</v>
      </c>
      <c r="N21">
        <f>'Base Period'!$AK$41</f>
        <v>0</v>
      </c>
      <c r="O21">
        <f>'Base Period'!$AK$42</f>
        <v>0</v>
      </c>
      <c r="P21">
        <f>'Base Period'!$AK$43</f>
        <v>0</v>
      </c>
      <c r="Q21">
        <f>'Base Period'!$AK$44</f>
        <v>0</v>
      </c>
      <c r="R21">
        <f>'Base Period'!$AK$45</f>
        <v>0</v>
      </c>
      <c r="S21">
        <f>'Base Period'!$AK$46</f>
        <v>0</v>
      </c>
      <c r="T21">
        <f>'Base Period'!$AK$47</f>
        <v>0</v>
      </c>
      <c r="U21">
        <f>'Base Period'!$AK$48</f>
        <v>0</v>
      </c>
      <c r="V21">
        <f>'Base Period'!$AK$49</f>
        <v>0</v>
      </c>
      <c r="W21">
        <f>'Base Period'!$AK$50</f>
        <v>0</v>
      </c>
      <c r="X21">
        <f>'Base Period'!$AK$51</f>
        <v>0</v>
      </c>
      <c r="Y21">
        <f>'Base Period'!$AK$52</f>
        <v>0</v>
      </c>
      <c r="Z21">
        <f>'Base Period'!$AK$53</f>
        <v>0</v>
      </c>
      <c r="AA21">
        <f>'Base Period'!$AK$54</f>
        <v>0</v>
      </c>
      <c r="AB21">
        <f>'Base Period'!$AK$55</f>
        <v>0</v>
      </c>
      <c r="AC21">
        <f>'Base Period'!$AK$56</f>
        <v>0</v>
      </c>
      <c r="AD21">
        <f>'Base Period'!$AK$57</f>
        <v>0</v>
      </c>
      <c r="AE21">
        <f>'Base Period'!$AK$58</f>
        <v>0</v>
      </c>
      <c r="AF21">
        <f>'Base Period'!$AK$59</f>
        <v>0</v>
      </c>
      <c r="AG21">
        <f>'Base Period'!$AK$60</f>
        <v>0</v>
      </c>
      <c r="AH21">
        <f>'Base Period'!$AK$61</f>
        <v>0</v>
      </c>
      <c r="AI21">
        <f>'Base Period'!$AK$62</f>
        <v>0</v>
      </c>
      <c r="AO21" s="159">
        <f>IF('Base Period'!$AK$66="",0,'Base Period'!$AK$66)</f>
        <v>0</v>
      </c>
      <c r="AP21" s="160">
        <f t="shared" si="0"/>
        <v>0</v>
      </c>
    </row>
    <row r="22" spans="2:42" x14ac:dyDescent="0.25">
      <c r="B22" t="str">
        <f>'Base Period'!$B$4:$D$4</f>
        <v>Base Period</v>
      </c>
      <c r="C22" t="str">
        <f>'Base Period'!$AM$29</f>
        <v>Enter Task # Here</v>
      </c>
      <c r="D22" t="str">
        <f>'Base Period'!$AM$30</f>
        <v>Enter Subtask # Here</v>
      </c>
      <c r="E22" s="14">
        <f>'Base Period'!$AN$154</f>
        <v>0</v>
      </c>
      <c r="F22">
        <f>'Base Period'!$AM$33</f>
        <v>0</v>
      </c>
      <c r="G22">
        <f>'Base Period'!$AM$34</f>
        <v>0</v>
      </c>
      <c r="H22">
        <f>'Base Period'!$AM$35</f>
        <v>0</v>
      </c>
      <c r="I22">
        <f>'Base Period'!$AM$36</f>
        <v>0</v>
      </c>
      <c r="J22">
        <f>'Base Period'!$AM$37</f>
        <v>0</v>
      </c>
      <c r="K22">
        <f>'Base Period'!$AM$38</f>
        <v>0</v>
      </c>
      <c r="L22">
        <f>'Base Period'!$AM$39</f>
        <v>0</v>
      </c>
      <c r="M22">
        <f>'Base Period'!$AM$40</f>
        <v>0</v>
      </c>
      <c r="N22">
        <f>'Base Period'!$AM$41</f>
        <v>0</v>
      </c>
      <c r="O22">
        <f>'Base Period'!$AM$42</f>
        <v>0</v>
      </c>
      <c r="P22">
        <f>'Base Period'!$AM$43</f>
        <v>0</v>
      </c>
      <c r="Q22">
        <f>'Base Period'!$AM$44</f>
        <v>0</v>
      </c>
      <c r="R22">
        <f>'Base Period'!$AM$45</f>
        <v>0</v>
      </c>
      <c r="S22">
        <f>'Base Period'!$AM$46</f>
        <v>0</v>
      </c>
      <c r="T22">
        <f>'Base Period'!$AM$47</f>
        <v>0</v>
      </c>
      <c r="U22">
        <f>'Base Period'!$AM$48</f>
        <v>0</v>
      </c>
      <c r="V22">
        <f>'Base Period'!$AM$49</f>
        <v>0</v>
      </c>
      <c r="W22">
        <f>'Base Period'!$AM$50</f>
        <v>0</v>
      </c>
      <c r="X22">
        <f>'Base Period'!$AM$51</f>
        <v>0</v>
      </c>
      <c r="Y22">
        <f>'Base Period'!$AM$52</f>
        <v>0</v>
      </c>
      <c r="Z22">
        <f>'Base Period'!$AM$53</f>
        <v>0</v>
      </c>
      <c r="AA22">
        <f>'Base Period'!$AM$54</f>
        <v>0</v>
      </c>
      <c r="AB22">
        <f>'Base Period'!$AM$55</f>
        <v>0</v>
      </c>
      <c r="AC22">
        <f>'Base Period'!$AM$56</f>
        <v>0</v>
      </c>
      <c r="AD22">
        <f>'Base Period'!$AM$57</f>
        <v>0</v>
      </c>
      <c r="AE22">
        <f>'Base Period'!$AM$58</f>
        <v>0</v>
      </c>
      <c r="AF22">
        <f>'Base Period'!$AM$59</f>
        <v>0</v>
      </c>
      <c r="AG22">
        <f>'Base Period'!$AM$60</f>
        <v>0</v>
      </c>
      <c r="AH22">
        <f>'Base Period'!$AM$61</f>
        <v>0</v>
      </c>
      <c r="AI22">
        <f>'Base Period'!$AM$62</f>
        <v>0</v>
      </c>
      <c r="AO22" s="159">
        <f>IF('Base Period'!$AM$66="",0,'Base Period'!$AM$66)</f>
        <v>0</v>
      </c>
      <c r="AP22" s="160">
        <f t="shared" si="0"/>
        <v>0</v>
      </c>
    </row>
    <row r="23" spans="2:42" x14ac:dyDescent="0.25">
      <c r="B23" t="str">
        <f>'Base Period'!$B$4:$D$4</f>
        <v>Base Period</v>
      </c>
      <c r="C23" t="str">
        <f>'Base Period'!$AO$29</f>
        <v>Enter Task # Here</v>
      </c>
      <c r="D23" t="str">
        <f>'Base Period'!$AO$30</f>
        <v>Enter Subtask # Here</v>
      </c>
      <c r="E23" s="14">
        <f>'Base Period'!$AP$154</f>
        <v>0</v>
      </c>
      <c r="F23">
        <f>'Base Period'!$AO$33</f>
        <v>0</v>
      </c>
      <c r="G23">
        <f>'Base Period'!$AO$34</f>
        <v>0</v>
      </c>
      <c r="H23">
        <f>'Base Period'!$AO$35</f>
        <v>0</v>
      </c>
      <c r="I23">
        <f>'Base Period'!$AO$36</f>
        <v>0</v>
      </c>
      <c r="J23">
        <f>'Base Period'!$AO$37</f>
        <v>0</v>
      </c>
      <c r="K23">
        <f>'Base Period'!$AO$38</f>
        <v>0</v>
      </c>
      <c r="L23">
        <f>'Base Period'!$AO$39</f>
        <v>0</v>
      </c>
      <c r="M23">
        <f>'Base Period'!$AO$40</f>
        <v>0</v>
      </c>
      <c r="N23">
        <f>'Base Period'!$AO$41</f>
        <v>0</v>
      </c>
      <c r="O23">
        <f>'Base Period'!$AO$42</f>
        <v>0</v>
      </c>
      <c r="P23">
        <f>'Base Period'!$AO$43</f>
        <v>0</v>
      </c>
      <c r="Q23">
        <f>'Base Period'!$AO$44</f>
        <v>0</v>
      </c>
      <c r="R23">
        <f>'Base Period'!$AO$45</f>
        <v>0</v>
      </c>
      <c r="S23">
        <f>'Base Period'!$AO$46</f>
        <v>0</v>
      </c>
      <c r="T23">
        <f>'Base Period'!$AO$47</f>
        <v>0</v>
      </c>
      <c r="U23">
        <f>'Base Period'!$AO$48</f>
        <v>0</v>
      </c>
      <c r="V23">
        <f>'Base Period'!$AO$49</f>
        <v>0</v>
      </c>
      <c r="W23">
        <f>'Base Period'!$AO$50</f>
        <v>0</v>
      </c>
      <c r="X23">
        <f>'Base Period'!$AO$51</f>
        <v>0</v>
      </c>
      <c r="Y23">
        <f>'Base Period'!$AO$52</f>
        <v>0</v>
      </c>
      <c r="Z23">
        <f>'Base Period'!$AO$53</f>
        <v>0</v>
      </c>
      <c r="AA23">
        <f>'Base Period'!$AO$54</f>
        <v>0</v>
      </c>
      <c r="AB23">
        <f>'Base Period'!$AO$55</f>
        <v>0</v>
      </c>
      <c r="AC23">
        <f>'Base Period'!$AO$56</f>
        <v>0</v>
      </c>
      <c r="AD23">
        <f>'Base Period'!$AO$57</f>
        <v>0</v>
      </c>
      <c r="AE23">
        <f>'Base Period'!$AO$58</f>
        <v>0</v>
      </c>
      <c r="AF23">
        <f>'Base Period'!$AO$59</f>
        <v>0</v>
      </c>
      <c r="AG23">
        <f>'Base Period'!$AO$60</f>
        <v>0</v>
      </c>
      <c r="AH23">
        <f>'Base Period'!$AO$61</f>
        <v>0</v>
      </c>
      <c r="AI23">
        <f>'Base Period'!$AO$62</f>
        <v>0</v>
      </c>
      <c r="AO23" s="159">
        <f>IF('Base Period'!$AO$66="",0,'Base Period'!$AO$66)</f>
        <v>0</v>
      </c>
      <c r="AP23" s="160">
        <f t="shared" si="0"/>
        <v>0</v>
      </c>
    </row>
    <row r="24" spans="2:42" x14ac:dyDescent="0.25">
      <c r="B24" t="str">
        <f>'Base Period'!$B$4:$D$4</f>
        <v>Base Period</v>
      </c>
      <c r="C24" t="str">
        <f>'Base Period'!$AQ$29</f>
        <v>Enter Task # Here</v>
      </c>
      <c r="D24" t="str">
        <f>'Base Period'!$AQ$30</f>
        <v>Enter Subtask # Here</v>
      </c>
      <c r="E24" s="14">
        <f>'Base Period'!$AR$154</f>
        <v>0</v>
      </c>
      <c r="F24">
        <f>'Base Period'!$AQ$33</f>
        <v>0</v>
      </c>
      <c r="G24">
        <f>'Base Period'!$AQ$34</f>
        <v>0</v>
      </c>
      <c r="H24">
        <f>'Base Period'!$AQ$35</f>
        <v>0</v>
      </c>
      <c r="I24">
        <f>'Base Period'!$AQ$36</f>
        <v>0</v>
      </c>
      <c r="J24">
        <f>'Base Period'!$AQ$37</f>
        <v>0</v>
      </c>
      <c r="K24">
        <f>'Base Period'!$AQ$38</f>
        <v>0</v>
      </c>
      <c r="L24">
        <f>'Base Period'!$AQ$39</f>
        <v>0</v>
      </c>
      <c r="M24">
        <f>'Base Period'!$AQ$40</f>
        <v>0</v>
      </c>
      <c r="N24">
        <f>'Base Period'!$AQ$41</f>
        <v>0</v>
      </c>
      <c r="O24">
        <f>'Base Period'!$AQ$42</f>
        <v>0</v>
      </c>
      <c r="P24">
        <f>'Base Period'!$AQ$43</f>
        <v>0</v>
      </c>
      <c r="Q24">
        <f>'Base Period'!$AQ$44</f>
        <v>0</v>
      </c>
      <c r="R24">
        <f>'Base Period'!$AQ$45</f>
        <v>0</v>
      </c>
      <c r="S24">
        <f>'Base Period'!$AQ$46</f>
        <v>0</v>
      </c>
      <c r="T24">
        <f>'Base Period'!$AQ$47</f>
        <v>0</v>
      </c>
      <c r="U24">
        <f>'Base Period'!$AQ$48</f>
        <v>0</v>
      </c>
      <c r="V24">
        <f>'Base Period'!$AQ$49</f>
        <v>0</v>
      </c>
      <c r="W24">
        <f>'Base Period'!$AQ$50</f>
        <v>0</v>
      </c>
      <c r="X24">
        <f>'Base Period'!$AQ$51</f>
        <v>0</v>
      </c>
      <c r="Y24">
        <f>'Base Period'!$AQ$52</f>
        <v>0</v>
      </c>
      <c r="Z24">
        <f>'Base Period'!$AQ$53</f>
        <v>0</v>
      </c>
      <c r="AA24">
        <f>'Base Period'!$AQ$54</f>
        <v>0</v>
      </c>
      <c r="AB24">
        <f>'Base Period'!$AQ$55</f>
        <v>0</v>
      </c>
      <c r="AC24">
        <f>'Base Period'!$AQ$56</f>
        <v>0</v>
      </c>
      <c r="AD24">
        <f>'Base Period'!$AQ$57</f>
        <v>0</v>
      </c>
      <c r="AE24">
        <f>'Base Period'!$AQ$58</f>
        <v>0</v>
      </c>
      <c r="AF24">
        <f>'Base Period'!$AQ$59</f>
        <v>0</v>
      </c>
      <c r="AG24">
        <f>'Base Period'!$AQ$60</f>
        <v>0</v>
      </c>
      <c r="AH24">
        <f>'Base Period'!$AQ$61</f>
        <v>0</v>
      </c>
      <c r="AI24">
        <f>'Base Period'!$AQ$62</f>
        <v>0</v>
      </c>
      <c r="AO24" s="159">
        <f>IF('Base Period'!$AQ$66="",0,'Base Period'!$AQ$66)</f>
        <v>0</v>
      </c>
      <c r="AP24" s="160">
        <f t="shared" si="0"/>
        <v>0</v>
      </c>
    </row>
    <row r="25" spans="2:42" x14ac:dyDescent="0.25">
      <c r="B25" t="str">
        <f>'Base Period'!$B$4:$D$4</f>
        <v>Base Period</v>
      </c>
      <c r="C25" t="str">
        <f>'Base Period'!$AS$29</f>
        <v>Enter Task # Here</v>
      </c>
      <c r="D25" t="str">
        <f>'Base Period'!$AS$30</f>
        <v>Enter Subtask # Here</v>
      </c>
      <c r="E25" s="14">
        <f>'Base Period'!$AT$154</f>
        <v>0</v>
      </c>
      <c r="F25">
        <f>'Base Period'!$AS$33</f>
        <v>0</v>
      </c>
      <c r="G25">
        <f>'Base Period'!$AS$34</f>
        <v>0</v>
      </c>
      <c r="H25">
        <f>'Base Period'!$AS$35</f>
        <v>0</v>
      </c>
      <c r="I25">
        <f>'Base Period'!$AS$36</f>
        <v>0</v>
      </c>
      <c r="J25">
        <f>'Base Period'!$AS$37</f>
        <v>0</v>
      </c>
      <c r="K25">
        <f>'Base Period'!$AS$38</f>
        <v>0</v>
      </c>
      <c r="L25">
        <f>'Base Period'!$AS$39</f>
        <v>0</v>
      </c>
      <c r="M25">
        <f>'Base Period'!$AS$40</f>
        <v>0</v>
      </c>
      <c r="N25">
        <f>'Base Period'!$AS$41</f>
        <v>0</v>
      </c>
      <c r="O25">
        <f>'Base Period'!$AS$42</f>
        <v>0</v>
      </c>
      <c r="P25">
        <f>'Base Period'!$AS$43</f>
        <v>0</v>
      </c>
      <c r="Q25">
        <f>'Base Period'!$AS$44</f>
        <v>0</v>
      </c>
      <c r="R25">
        <f>'Base Period'!$AS$45</f>
        <v>0</v>
      </c>
      <c r="S25">
        <f>'Base Period'!$AS$46</f>
        <v>0</v>
      </c>
      <c r="T25">
        <f>'Base Period'!$AS$47</f>
        <v>0</v>
      </c>
      <c r="U25">
        <f>'Base Period'!$AS$48</f>
        <v>0</v>
      </c>
      <c r="V25">
        <f>'Base Period'!$AS$49</f>
        <v>0</v>
      </c>
      <c r="W25">
        <f>'Base Period'!$AS$50</f>
        <v>0</v>
      </c>
      <c r="X25">
        <f>'Base Period'!$AS$51</f>
        <v>0</v>
      </c>
      <c r="Y25">
        <f>'Base Period'!$AS$52</f>
        <v>0</v>
      </c>
      <c r="Z25">
        <f>'Base Period'!$AS$53</f>
        <v>0</v>
      </c>
      <c r="AA25">
        <f>'Base Period'!$AS$54</f>
        <v>0</v>
      </c>
      <c r="AB25">
        <f>'Base Period'!$AS$55</f>
        <v>0</v>
      </c>
      <c r="AC25">
        <f>'Base Period'!$AS$56</f>
        <v>0</v>
      </c>
      <c r="AD25">
        <f>'Base Period'!$AS$57</f>
        <v>0</v>
      </c>
      <c r="AE25">
        <f>'Base Period'!$AS$58</f>
        <v>0</v>
      </c>
      <c r="AF25">
        <f>'Base Period'!$AS$59</f>
        <v>0</v>
      </c>
      <c r="AG25">
        <f>'Base Period'!$AS$60</f>
        <v>0</v>
      </c>
      <c r="AH25">
        <f>'Base Period'!$AS$61</f>
        <v>0</v>
      </c>
      <c r="AI25">
        <f>'Base Period'!$AS$62</f>
        <v>0</v>
      </c>
      <c r="AO25" s="159">
        <f>IF('Base Period'!$AS$66="",0,'Base Period'!$AS$66)</f>
        <v>0</v>
      </c>
      <c r="AP25" s="160">
        <f t="shared" si="0"/>
        <v>0</v>
      </c>
    </row>
    <row r="26" spans="2:42" x14ac:dyDescent="0.25">
      <c r="B26" t="str">
        <f>'Base Period'!$B$4:$D$4</f>
        <v>Base Period</v>
      </c>
      <c r="C26" t="str">
        <f>'Base Period'!$AU$29</f>
        <v>Enter Task # Here</v>
      </c>
      <c r="D26" t="str">
        <f>'Base Period'!$AU$30</f>
        <v>Enter Subtask # Here</v>
      </c>
      <c r="E26" s="14">
        <f>'Base Period'!$AV$154</f>
        <v>0</v>
      </c>
      <c r="F26">
        <f>'Base Period'!$AU$33</f>
        <v>0</v>
      </c>
      <c r="G26">
        <f>'Base Period'!$AU$34</f>
        <v>0</v>
      </c>
      <c r="H26">
        <f>'Base Period'!$AU$35</f>
        <v>0</v>
      </c>
      <c r="I26">
        <f>'Base Period'!$AU$36</f>
        <v>0</v>
      </c>
      <c r="J26">
        <f>'Base Period'!$AU$37</f>
        <v>0</v>
      </c>
      <c r="K26">
        <f>'Base Period'!$AU$38</f>
        <v>0</v>
      </c>
      <c r="L26">
        <f>'Base Period'!$AU$39</f>
        <v>0</v>
      </c>
      <c r="M26">
        <f>'Base Period'!$AU$40</f>
        <v>0</v>
      </c>
      <c r="N26">
        <f>'Base Period'!$AU$41</f>
        <v>0</v>
      </c>
      <c r="O26">
        <f>'Base Period'!$AU$42</f>
        <v>0</v>
      </c>
      <c r="P26">
        <f>'Base Period'!$AU$43</f>
        <v>0</v>
      </c>
      <c r="Q26">
        <f>'Base Period'!$AU$44</f>
        <v>0</v>
      </c>
      <c r="R26">
        <f>'Base Period'!$AU$45</f>
        <v>0</v>
      </c>
      <c r="S26">
        <f>'Base Period'!$AU$46</f>
        <v>0</v>
      </c>
      <c r="T26">
        <f>'Base Period'!$AU$47</f>
        <v>0</v>
      </c>
      <c r="U26">
        <f>'Base Period'!$AU$48</f>
        <v>0</v>
      </c>
      <c r="V26">
        <f>'Base Period'!$AU$49</f>
        <v>0</v>
      </c>
      <c r="W26">
        <f>'Base Period'!$AU$50</f>
        <v>0</v>
      </c>
      <c r="X26">
        <f>'Base Period'!$AU$51</f>
        <v>0</v>
      </c>
      <c r="Y26">
        <f>'Base Period'!$AU$52</f>
        <v>0</v>
      </c>
      <c r="Z26">
        <f>'Base Period'!$AU$53</f>
        <v>0</v>
      </c>
      <c r="AA26">
        <f>'Base Period'!$AU$54</f>
        <v>0</v>
      </c>
      <c r="AB26">
        <f>'Base Period'!$AU$55</f>
        <v>0</v>
      </c>
      <c r="AC26">
        <f>'Base Period'!$AU$56</f>
        <v>0</v>
      </c>
      <c r="AD26">
        <f>'Base Period'!$AU$57</f>
        <v>0</v>
      </c>
      <c r="AE26">
        <f>'Base Period'!$AU$58</f>
        <v>0</v>
      </c>
      <c r="AF26">
        <f>'Base Period'!$AU$59</f>
        <v>0</v>
      </c>
      <c r="AG26">
        <f>'Base Period'!$AU$60</f>
        <v>0</v>
      </c>
      <c r="AH26">
        <f>'Base Period'!$AU$61</f>
        <v>0</v>
      </c>
      <c r="AI26">
        <f>'Base Period'!$AU$62</f>
        <v>0</v>
      </c>
      <c r="AO26" s="159">
        <f>IF('Base Period'!$AU$66="",0,'Base Period'!$AU$66)</f>
        <v>0</v>
      </c>
      <c r="AP26" s="160">
        <f t="shared" si="0"/>
        <v>0</v>
      </c>
    </row>
    <row r="27" spans="2:42" x14ac:dyDescent="0.25">
      <c r="B27" t="str">
        <f>'Base Period'!$B$4:$D$4</f>
        <v>Base Period</v>
      </c>
      <c r="C27" t="str">
        <f>'Base Period'!$AW$29</f>
        <v>Enter Task # Here</v>
      </c>
      <c r="D27" t="str">
        <f>'Base Period'!$AW$30</f>
        <v>Enter Subtask # Here</v>
      </c>
      <c r="E27" s="14">
        <f>'Base Period'!$AX$154</f>
        <v>0</v>
      </c>
      <c r="F27">
        <f>'Base Period'!$AW$33</f>
        <v>0</v>
      </c>
      <c r="G27">
        <f>'Base Period'!$AW$34</f>
        <v>0</v>
      </c>
      <c r="H27">
        <f>'Base Period'!$AW$35</f>
        <v>0</v>
      </c>
      <c r="I27">
        <f>'Base Period'!$AW$36</f>
        <v>0</v>
      </c>
      <c r="J27">
        <f>'Base Period'!$AW$37</f>
        <v>0</v>
      </c>
      <c r="K27">
        <f>'Base Period'!$AW$38</f>
        <v>0</v>
      </c>
      <c r="L27">
        <f>'Base Period'!$AW$39</f>
        <v>0</v>
      </c>
      <c r="M27">
        <f>'Base Period'!$AW$40</f>
        <v>0</v>
      </c>
      <c r="N27">
        <f>'Base Period'!$AW$41</f>
        <v>0</v>
      </c>
      <c r="O27">
        <f>'Base Period'!$AW$42</f>
        <v>0</v>
      </c>
      <c r="P27">
        <f>'Base Period'!$AW$43</f>
        <v>0</v>
      </c>
      <c r="Q27">
        <f>'Base Period'!$AW$44</f>
        <v>0</v>
      </c>
      <c r="R27">
        <f>'Base Period'!$AW$45</f>
        <v>0</v>
      </c>
      <c r="S27">
        <f>'Base Period'!$AW$46</f>
        <v>0</v>
      </c>
      <c r="T27">
        <f>'Base Period'!$AW$47</f>
        <v>0</v>
      </c>
      <c r="U27">
        <f>'Base Period'!$AW$48</f>
        <v>0</v>
      </c>
      <c r="V27">
        <f>'Base Period'!$AW$49</f>
        <v>0</v>
      </c>
      <c r="W27">
        <f>'Base Period'!$AW$50</f>
        <v>0</v>
      </c>
      <c r="X27">
        <f>'Base Period'!$AW$51</f>
        <v>0</v>
      </c>
      <c r="Y27">
        <f>'Base Period'!$AW$52</f>
        <v>0</v>
      </c>
      <c r="Z27">
        <f>'Base Period'!$AW$53</f>
        <v>0</v>
      </c>
      <c r="AA27">
        <f>'Base Period'!$AW$54</f>
        <v>0</v>
      </c>
      <c r="AB27">
        <f>'Base Period'!$AW$55</f>
        <v>0</v>
      </c>
      <c r="AC27">
        <f>'Base Period'!$AW$56</f>
        <v>0</v>
      </c>
      <c r="AD27">
        <f>'Base Period'!$AW$57</f>
        <v>0</v>
      </c>
      <c r="AE27">
        <f>'Base Period'!$AW$58</f>
        <v>0</v>
      </c>
      <c r="AF27">
        <f>'Base Period'!$AW$59</f>
        <v>0</v>
      </c>
      <c r="AG27">
        <f>'Base Period'!$AW$60</f>
        <v>0</v>
      </c>
      <c r="AH27">
        <f>'Base Period'!$AW$61</f>
        <v>0</v>
      </c>
      <c r="AI27">
        <f>'Base Period'!$AW$62</f>
        <v>0</v>
      </c>
      <c r="AO27" s="159">
        <f>IF('Base Period'!$AW$66="",0,'Base Period'!$AW$66)</f>
        <v>0</v>
      </c>
      <c r="AP27" s="160">
        <f t="shared" si="0"/>
        <v>0</v>
      </c>
    </row>
    <row r="28" spans="2:42" x14ac:dyDescent="0.25">
      <c r="B28" t="str">
        <f>'Base Period'!$B$4:$D$4</f>
        <v>Base Period</v>
      </c>
      <c r="C28" t="str">
        <f>'Base Period'!$AY$29</f>
        <v>Enter Task # Here</v>
      </c>
      <c r="D28" t="str">
        <f>'Base Period'!$AY$30</f>
        <v>Enter Subtask # Here</v>
      </c>
      <c r="E28" s="14">
        <f>'Base Period'!$AZ$154</f>
        <v>0</v>
      </c>
      <c r="F28">
        <f>'Base Period'!$AY$33</f>
        <v>0</v>
      </c>
      <c r="G28">
        <f>'Base Period'!$AY$34</f>
        <v>0</v>
      </c>
      <c r="H28">
        <f>'Base Period'!$AY$35</f>
        <v>0</v>
      </c>
      <c r="I28">
        <f>'Base Period'!$AY$36</f>
        <v>0</v>
      </c>
      <c r="J28">
        <f>'Base Period'!$AY$37</f>
        <v>0</v>
      </c>
      <c r="K28">
        <f>'Base Period'!$AY$38</f>
        <v>0</v>
      </c>
      <c r="L28">
        <f>'Base Period'!$AY$39</f>
        <v>0</v>
      </c>
      <c r="M28">
        <f>'Base Period'!$AY$40</f>
        <v>0</v>
      </c>
      <c r="N28">
        <f>'Base Period'!$AY$41</f>
        <v>0</v>
      </c>
      <c r="O28">
        <f>'Base Period'!$AY$42</f>
        <v>0</v>
      </c>
      <c r="P28">
        <f>'Base Period'!$AY$43</f>
        <v>0</v>
      </c>
      <c r="Q28">
        <f>'Base Period'!$AY$44</f>
        <v>0</v>
      </c>
      <c r="R28">
        <f>'Base Period'!$AY$45</f>
        <v>0</v>
      </c>
      <c r="S28">
        <f>'Base Period'!$AY$46</f>
        <v>0</v>
      </c>
      <c r="T28">
        <f>'Base Period'!$AY$47</f>
        <v>0</v>
      </c>
      <c r="U28">
        <f>'Base Period'!$AY$48</f>
        <v>0</v>
      </c>
      <c r="V28">
        <f>'Base Period'!$AY$49</f>
        <v>0</v>
      </c>
      <c r="W28">
        <f>'Base Period'!$AY$50</f>
        <v>0</v>
      </c>
      <c r="X28">
        <f>'Base Period'!$AY$51</f>
        <v>0</v>
      </c>
      <c r="Y28">
        <f>'Base Period'!$AY$52</f>
        <v>0</v>
      </c>
      <c r="Z28">
        <f>'Base Period'!$AY$53</f>
        <v>0</v>
      </c>
      <c r="AA28">
        <f>'Base Period'!$AY$54</f>
        <v>0</v>
      </c>
      <c r="AB28">
        <f>'Base Period'!$AY$55</f>
        <v>0</v>
      </c>
      <c r="AC28">
        <f>'Base Period'!$AY$56</f>
        <v>0</v>
      </c>
      <c r="AD28">
        <f>'Base Period'!$AY$57</f>
        <v>0</v>
      </c>
      <c r="AE28">
        <f>'Base Period'!$AY$58</f>
        <v>0</v>
      </c>
      <c r="AF28">
        <f>'Base Period'!$AY$59</f>
        <v>0</v>
      </c>
      <c r="AG28">
        <f>'Base Period'!$AY$60</f>
        <v>0</v>
      </c>
      <c r="AH28">
        <f>'Base Period'!$AY$61</f>
        <v>0</v>
      </c>
      <c r="AI28">
        <f>'Base Period'!$AY$62</f>
        <v>0</v>
      </c>
      <c r="AO28" s="159">
        <f>IF('Base Period'!$AY$66="",0,'Base Period'!$AY$66)</f>
        <v>0</v>
      </c>
      <c r="AP28" s="160">
        <f t="shared" si="0"/>
        <v>0</v>
      </c>
    </row>
    <row r="29" spans="2:42" x14ac:dyDescent="0.25">
      <c r="B29" t="str">
        <f>'Base Period'!$B$4:$D$4</f>
        <v>Base Period</v>
      </c>
      <c r="C29" t="str">
        <f>'Base Period'!$BA$29</f>
        <v>Enter Task # Here</v>
      </c>
      <c r="D29" t="str">
        <f>'Base Period'!$BA$30</f>
        <v>Enter Subtask # Here</v>
      </c>
      <c r="E29" s="14">
        <f>'Base Period'!$BB$154</f>
        <v>0</v>
      </c>
      <c r="F29">
        <f>'Base Period'!$BA$33</f>
        <v>0</v>
      </c>
      <c r="G29">
        <f>'Base Period'!$BA$34</f>
        <v>0</v>
      </c>
      <c r="H29">
        <f>'Base Period'!$BA$35</f>
        <v>0</v>
      </c>
      <c r="I29">
        <f>'Base Period'!$BA$36</f>
        <v>0</v>
      </c>
      <c r="J29">
        <f>'Base Period'!$BA$37</f>
        <v>0</v>
      </c>
      <c r="K29">
        <f>'Base Period'!$BA$38</f>
        <v>0</v>
      </c>
      <c r="L29">
        <f>'Base Period'!$BA$39</f>
        <v>0</v>
      </c>
      <c r="M29">
        <f>'Base Period'!$BA$40</f>
        <v>0</v>
      </c>
      <c r="N29">
        <f>'Base Period'!$BA$41</f>
        <v>0</v>
      </c>
      <c r="O29">
        <f>'Base Period'!$BA$42</f>
        <v>0</v>
      </c>
      <c r="P29">
        <f>'Base Period'!$BA$43</f>
        <v>0</v>
      </c>
      <c r="Q29">
        <f>'Base Period'!$BA$44</f>
        <v>0</v>
      </c>
      <c r="R29">
        <f>'Base Period'!$BA$45</f>
        <v>0</v>
      </c>
      <c r="S29">
        <f>'Base Period'!$BA$46</f>
        <v>0</v>
      </c>
      <c r="T29">
        <f>'Base Period'!$BA$47</f>
        <v>0</v>
      </c>
      <c r="U29">
        <f>'Base Period'!$BA$48</f>
        <v>0</v>
      </c>
      <c r="V29">
        <f>'Base Period'!$BA$49</f>
        <v>0</v>
      </c>
      <c r="W29">
        <f>'Base Period'!$BA$50</f>
        <v>0</v>
      </c>
      <c r="X29">
        <f>'Base Period'!$BA$51</f>
        <v>0</v>
      </c>
      <c r="Y29">
        <f>'Base Period'!$BA$52</f>
        <v>0</v>
      </c>
      <c r="Z29">
        <f>'Base Period'!$BA$53</f>
        <v>0</v>
      </c>
      <c r="AA29">
        <f>'Base Period'!$BA$54</f>
        <v>0</v>
      </c>
      <c r="AB29">
        <f>'Base Period'!$BA$55</f>
        <v>0</v>
      </c>
      <c r="AC29">
        <f>'Base Period'!$BA$56</f>
        <v>0</v>
      </c>
      <c r="AD29">
        <f>'Base Period'!$BA$57</f>
        <v>0</v>
      </c>
      <c r="AE29">
        <f>'Base Period'!$BA$58</f>
        <v>0</v>
      </c>
      <c r="AF29">
        <f>'Base Period'!$BA$59</f>
        <v>0</v>
      </c>
      <c r="AG29">
        <f>'Base Period'!$BA$60</f>
        <v>0</v>
      </c>
      <c r="AH29">
        <f>'Base Period'!$BA$61</f>
        <v>0</v>
      </c>
      <c r="AI29">
        <f>'Base Period'!$BA$62</f>
        <v>0</v>
      </c>
      <c r="AO29" s="159">
        <f>IF('Base Period'!$BA$66="",0,'Base Period'!$BA$66)</f>
        <v>0</v>
      </c>
      <c r="AP29" s="160">
        <f t="shared" si="0"/>
        <v>0</v>
      </c>
    </row>
    <row r="30" spans="2:42" x14ac:dyDescent="0.25">
      <c r="B30" t="str">
        <f>'Base Period'!$B$4:$D$4</f>
        <v>Base Period</v>
      </c>
      <c r="C30" t="str">
        <f>'Base Period'!$BC$29</f>
        <v>Enter Task # Here</v>
      </c>
      <c r="D30" t="str">
        <f>'Base Period'!$BC$30</f>
        <v>Enter Subtask # Here</v>
      </c>
      <c r="E30" s="14">
        <f>'Base Period'!$BD$154</f>
        <v>0</v>
      </c>
      <c r="F30">
        <f>'Base Period'!$BC$33</f>
        <v>0</v>
      </c>
      <c r="G30">
        <f>'Base Period'!$BC$34</f>
        <v>0</v>
      </c>
      <c r="H30">
        <f>'Base Period'!$BC$35</f>
        <v>0</v>
      </c>
      <c r="I30">
        <f>'Base Period'!$BC$36</f>
        <v>0</v>
      </c>
      <c r="J30">
        <f>'Base Period'!$BC$37</f>
        <v>0</v>
      </c>
      <c r="K30">
        <f>'Base Period'!$BC$38</f>
        <v>0</v>
      </c>
      <c r="L30">
        <f>'Base Period'!$BC$39</f>
        <v>0</v>
      </c>
      <c r="M30">
        <f>'Base Period'!$BC$40</f>
        <v>0</v>
      </c>
      <c r="N30">
        <f>'Base Period'!$BC$41</f>
        <v>0</v>
      </c>
      <c r="O30">
        <f>'Base Period'!$BC$42</f>
        <v>0</v>
      </c>
      <c r="P30">
        <f>'Base Period'!$BC$43</f>
        <v>0</v>
      </c>
      <c r="Q30">
        <f>'Base Period'!$BC$44</f>
        <v>0</v>
      </c>
      <c r="R30">
        <f>'Base Period'!$BC$45</f>
        <v>0</v>
      </c>
      <c r="S30">
        <f>'Base Period'!$BC$46</f>
        <v>0</v>
      </c>
      <c r="T30">
        <f>'Base Period'!$BC$47</f>
        <v>0</v>
      </c>
      <c r="U30">
        <f>'Base Period'!$BC$48</f>
        <v>0</v>
      </c>
      <c r="V30">
        <f>'Base Period'!$BC$49</f>
        <v>0</v>
      </c>
      <c r="W30">
        <f>'Base Period'!$BC$50</f>
        <v>0</v>
      </c>
      <c r="X30">
        <f>'Base Period'!$BC$51</f>
        <v>0</v>
      </c>
      <c r="Y30">
        <f>'Base Period'!$BC$52</f>
        <v>0</v>
      </c>
      <c r="Z30">
        <f>'Base Period'!$BC$53</f>
        <v>0</v>
      </c>
      <c r="AA30">
        <f>'Base Period'!$BC$54</f>
        <v>0</v>
      </c>
      <c r="AB30">
        <f>'Base Period'!$BC$55</f>
        <v>0</v>
      </c>
      <c r="AC30">
        <f>'Base Period'!$BC$56</f>
        <v>0</v>
      </c>
      <c r="AD30">
        <f>'Base Period'!$BC$57</f>
        <v>0</v>
      </c>
      <c r="AE30">
        <f>'Base Period'!$BC$58</f>
        <v>0</v>
      </c>
      <c r="AF30">
        <f>'Base Period'!$BC$59</f>
        <v>0</v>
      </c>
      <c r="AG30">
        <f>'Base Period'!$BC$60</f>
        <v>0</v>
      </c>
      <c r="AH30">
        <f>'Base Period'!$BC$61</f>
        <v>0</v>
      </c>
      <c r="AI30">
        <f>'Base Period'!$BC$62</f>
        <v>0</v>
      </c>
      <c r="AO30" s="159">
        <f>IF('Base Period'!$BC$66="",0,'Base Period'!$BC$66)</f>
        <v>0</v>
      </c>
      <c r="AP30" s="160">
        <f t="shared" si="0"/>
        <v>0</v>
      </c>
    </row>
    <row r="31" spans="2:42" x14ac:dyDescent="0.25">
      <c r="B31" t="str">
        <f>'Base Period'!$B$4:$D$4</f>
        <v>Base Period</v>
      </c>
      <c r="C31" t="str">
        <f>'Base Period'!$BE$29</f>
        <v>Enter Task # Here</v>
      </c>
      <c r="D31" t="str">
        <f>'Base Period'!$BE$30</f>
        <v>Enter Subtask # Here</v>
      </c>
      <c r="E31" s="14">
        <f>'Base Period'!$BF$154</f>
        <v>0</v>
      </c>
      <c r="F31">
        <f>'Base Period'!$BE$33</f>
        <v>0</v>
      </c>
      <c r="G31">
        <f>'Base Period'!$BE$34</f>
        <v>0</v>
      </c>
      <c r="H31">
        <f>'Base Period'!$BE$35</f>
        <v>0</v>
      </c>
      <c r="I31">
        <f>'Base Period'!$BE$36</f>
        <v>0</v>
      </c>
      <c r="J31">
        <f>'Base Period'!$BE$37</f>
        <v>0</v>
      </c>
      <c r="K31">
        <f>'Base Period'!$BE$38</f>
        <v>0</v>
      </c>
      <c r="L31">
        <f>'Base Period'!$BE$39</f>
        <v>0</v>
      </c>
      <c r="M31">
        <f>'Base Period'!$BE$40</f>
        <v>0</v>
      </c>
      <c r="N31">
        <f>'Base Period'!$BE$41</f>
        <v>0</v>
      </c>
      <c r="O31">
        <f>'Base Period'!$BE$42</f>
        <v>0</v>
      </c>
      <c r="P31">
        <f>'Base Period'!$BE$43</f>
        <v>0</v>
      </c>
      <c r="Q31">
        <f>'Base Period'!$BE$44</f>
        <v>0</v>
      </c>
      <c r="R31">
        <f>'Base Period'!$BE$45</f>
        <v>0</v>
      </c>
      <c r="S31">
        <f>'Base Period'!$BE$46</f>
        <v>0</v>
      </c>
      <c r="T31">
        <f>'Base Period'!$BE$47</f>
        <v>0</v>
      </c>
      <c r="U31">
        <f>'Base Period'!$BE$48</f>
        <v>0</v>
      </c>
      <c r="V31">
        <f>'Base Period'!$BE$49</f>
        <v>0</v>
      </c>
      <c r="W31">
        <f>'Base Period'!$BE$50</f>
        <v>0</v>
      </c>
      <c r="X31">
        <f>'Base Period'!$BE$51</f>
        <v>0</v>
      </c>
      <c r="Y31">
        <f>'Base Period'!$BE$52</f>
        <v>0</v>
      </c>
      <c r="Z31">
        <f>'Base Period'!$BE$53</f>
        <v>0</v>
      </c>
      <c r="AA31">
        <f>'Base Period'!$BE$54</f>
        <v>0</v>
      </c>
      <c r="AB31">
        <f>'Base Period'!$BE$55</f>
        <v>0</v>
      </c>
      <c r="AC31">
        <f>'Base Period'!$BE$56</f>
        <v>0</v>
      </c>
      <c r="AD31">
        <f>'Base Period'!$BE$57</f>
        <v>0</v>
      </c>
      <c r="AE31">
        <f>'Base Period'!$BE$58</f>
        <v>0</v>
      </c>
      <c r="AF31">
        <f>'Base Period'!$BE$59</f>
        <v>0</v>
      </c>
      <c r="AG31">
        <f>'Base Period'!$BE$60</f>
        <v>0</v>
      </c>
      <c r="AH31">
        <f>'Base Period'!$BE$61</f>
        <v>0</v>
      </c>
      <c r="AI31">
        <f>'Base Period'!$BE$62</f>
        <v>0</v>
      </c>
      <c r="AO31" s="159">
        <f>IF('Base Period'!$BE$66="",0,'Base Period'!$BE$66)</f>
        <v>0</v>
      </c>
      <c r="AP31" s="160">
        <f t="shared" si="0"/>
        <v>0</v>
      </c>
    </row>
    <row r="32" spans="2:42" x14ac:dyDescent="0.25">
      <c r="B32" t="str">
        <f>'Base Period'!$B$4:$D$4</f>
        <v>Base Period</v>
      </c>
      <c r="C32" t="str">
        <f>'Base Period'!$BG$29</f>
        <v>Enter Task # Here</v>
      </c>
      <c r="D32" t="str">
        <f>'Base Period'!$BG$30</f>
        <v>Enter Subtask # Here</v>
      </c>
      <c r="E32" s="14">
        <f>'Base Period'!$BH$154</f>
        <v>0</v>
      </c>
      <c r="F32">
        <f>'Base Period'!$BG$33</f>
        <v>0</v>
      </c>
      <c r="G32">
        <f>'Base Period'!$BG$34</f>
        <v>0</v>
      </c>
      <c r="H32">
        <f>'Base Period'!$BG$35</f>
        <v>0</v>
      </c>
      <c r="I32">
        <f>'Base Period'!$BG$36</f>
        <v>0</v>
      </c>
      <c r="J32">
        <f>'Base Period'!$BG$37</f>
        <v>0</v>
      </c>
      <c r="K32">
        <f>'Base Period'!$BG$38</f>
        <v>0</v>
      </c>
      <c r="L32">
        <f>'Base Period'!$BG$39</f>
        <v>0</v>
      </c>
      <c r="M32">
        <f>'Base Period'!$BG$40</f>
        <v>0</v>
      </c>
      <c r="N32">
        <f>'Base Period'!$BG$41</f>
        <v>0</v>
      </c>
      <c r="O32">
        <f>'Base Period'!$BG$42</f>
        <v>0</v>
      </c>
      <c r="P32">
        <f>'Base Period'!$BG$43</f>
        <v>0</v>
      </c>
      <c r="Q32">
        <f>'Base Period'!$BG$44</f>
        <v>0</v>
      </c>
      <c r="R32">
        <f>'Base Period'!$BG$45</f>
        <v>0</v>
      </c>
      <c r="S32">
        <f>'Base Period'!$BG$46</f>
        <v>0</v>
      </c>
      <c r="T32">
        <f>'Base Period'!$BG$47</f>
        <v>0</v>
      </c>
      <c r="U32">
        <f>'Base Period'!$BG$48</f>
        <v>0</v>
      </c>
      <c r="V32">
        <f>'Base Period'!$BG$49</f>
        <v>0</v>
      </c>
      <c r="W32">
        <f>'Base Period'!$BG$50</f>
        <v>0</v>
      </c>
      <c r="X32">
        <f>'Base Period'!$BG$51</f>
        <v>0</v>
      </c>
      <c r="Y32">
        <f>'Base Period'!$BG$52</f>
        <v>0</v>
      </c>
      <c r="Z32">
        <f>'Base Period'!$BG$53</f>
        <v>0</v>
      </c>
      <c r="AA32">
        <f>'Base Period'!$BG$54</f>
        <v>0</v>
      </c>
      <c r="AB32">
        <f>'Base Period'!$BG$55</f>
        <v>0</v>
      </c>
      <c r="AC32">
        <f>'Base Period'!$BG$56</f>
        <v>0</v>
      </c>
      <c r="AD32">
        <f>'Base Period'!$BG$57</f>
        <v>0</v>
      </c>
      <c r="AE32">
        <f>'Base Period'!$BG$58</f>
        <v>0</v>
      </c>
      <c r="AF32">
        <f>'Base Period'!$BG$59</f>
        <v>0</v>
      </c>
      <c r="AG32">
        <f>'Base Period'!$BG$60</f>
        <v>0</v>
      </c>
      <c r="AH32">
        <f>'Base Period'!$BG$61</f>
        <v>0</v>
      </c>
      <c r="AI32">
        <f>'Base Period'!$BG$62</f>
        <v>0</v>
      </c>
      <c r="AO32" s="159">
        <f>IF('Base Period'!$BG$66="",0,'Base Period'!$BG$66)</f>
        <v>0</v>
      </c>
      <c r="AP32" s="160">
        <f t="shared" si="0"/>
        <v>0</v>
      </c>
    </row>
    <row r="33" spans="2:42" x14ac:dyDescent="0.25">
      <c r="B33" t="str">
        <f>'Base Period'!$B$4:$D$4</f>
        <v>Base Period</v>
      </c>
      <c r="C33" t="str">
        <f>'Base Period'!$BI$29</f>
        <v>Enter Task # Here</v>
      </c>
      <c r="D33" t="str">
        <f>'Base Period'!$BI$30</f>
        <v>Enter Subtask # Here</v>
      </c>
      <c r="E33" s="14">
        <f>'Base Period'!$BJ$154</f>
        <v>0</v>
      </c>
      <c r="F33">
        <f>'Base Period'!$BI$33</f>
        <v>0</v>
      </c>
      <c r="G33">
        <f>'Base Period'!$BI$34</f>
        <v>0</v>
      </c>
      <c r="H33">
        <f>'Base Period'!$BI$35</f>
        <v>0</v>
      </c>
      <c r="I33">
        <f>'Base Period'!$BI$36</f>
        <v>0</v>
      </c>
      <c r="J33">
        <f>'Base Period'!$BI$37</f>
        <v>0</v>
      </c>
      <c r="K33">
        <f>'Base Period'!$BI$38</f>
        <v>0</v>
      </c>
      <c r="L33">
        <f>'Base Period'!$BI$39</f>
        <v>0</v>
      </c>
      <c r="M33">
        <f>'Base Period'!$BI$40</f>
        <v>0</v>
      </c>
      <c r="N33">
        <f>'Base Period'!$BI$41</f>
        <v>0</v>
      </c>
      <c r="O33">
        <f>'Base Period'!$BI$42</f>
        <v>0</v>
      </c>
      <c r="P33">
        <f>'Base Period'!$BI$43</f>
        <v>0</v>
      </c>
      <c r="Q33">
        <f>'Base Period'!$BI$44</f>
        <v>0</v>
      </c>
      <c r="R33">
        <f>'Base Period'!$BI$45</f>
        <v>0</v>
      </c>
      <c r="S33">
        <f>'Base Period'!$BI$46</f>
        <v>0</v>
      </c>
      <c r="T33">
        <f>'Base Period'!$BI$47</f>
        <v>0</v>
      </c>
      <c r="U33">
        <f>'Base Period'!$BI$48</f>
        <v>0</v>
      </c>
      <c r="V33">
        <f>'Base Period'!$BI$49</f>
        <v>0</v>
      </c>
      <c r="W33">
        <f>'Base Period'!$BI$50</f>
        <v>0</v>
      </c>
      <c r="X33">
        <f>'Base Period'!$BI$51</f>
        <v>0</v>
      </c>
      <c r="Y33">
        <f>'Base Period'!$BI$52</f>
        <v>0</v>
      </c>
      <c r="Z33">
        <f>'Base Period'!$BI$53</f>
        <v>0</v>
      </c>
      <c r="AA33">
        <f>'Base Period'!$BI$54</f>
        <v>0</v>
      </c>
      <c r="AB33">
        <f>'Base Period'!$BI$55</f>
        <v>0</v>
      </c>
      <c r="AC33">
        <f>'Base Period'!$BI$56</f>
        <v>0</v>
      </c>
      <c r="AD33">
        <f>'Base Period'!$BI$57</f>
        <v>0</v>
      </c>
      <c r="AE33">
        <f>'Base Period'!$BI$58</f>
        <v>0</v>
      </c>
      <c r="AF33">
        <f>'Base Period'!$BI$59</f>
        <v>0</v>
      </c>
      <c r="AG33">
        <f>'Base Period'!$BI$60</f>
        <v>0</v>
      </c>
      <c r="AH33">
        <f>'Base Period'!$BI$61</f>
        <v>0</v>
      </c>
      <c r="AI33">
        <f>'Base Period'!$BI$62</f>
        <v>0</v>
      </c>
      <c r="AO33" s="159">
        <f>IF('Base Period'!$BI$66="",0,'Base Period'!$BI$66)</f>
        <v>0</v>
      </c>
      <c r="AP33" s="160">
        <f t="shared" si="0"/>
        <v>0</v>
      </c>
    </row>
    <row r="34" spans="2:42" x14ac:dyDescent="0.25">
      <c r="B34" t="str">
        <f>'Base Period'!$B$4:$D$4</f>
        <v>Base Period</v>
      </c>
      <c r="C34" t="str">
        <f>'Base Period'!$BK$29</f>
        <v>Enter Task # Here</v>
      </c>
      <c r="D34" t="str">
        <f>'Base Period'!$BK$30</f>
        <v>Enter Subtask # Here</v>
      </c>
      <c r="E34" s="14">
        <f>'Base Period'!$BL$154</f>
        <v>0</v>
      </c>
      <c r="F34">
        <f>'Base Period'!$BK$33</f>
        <v>0</v>
      </c>
      <c r="G34">
        <f>'Base Period'!$BK$34</f>
        <v>0</v>
      </c>
      <c r="H34">
        <f>'Base Period'!$BK$35</f>
        <v>0</v>
      </c>
      <c r="I34">
        <f>'Base Period'!$BK$36</f>
        <v>0</v>
      </c>
      <c r="J34">
        <f>'Base Period'!$BK$37</f>
        <v>0</v>
      </c>
      <c r="K34">
        <f>'Base Period'!$BK$38</f>
        <v>0</v>
      </c>
      <c r="L34">
        <f>'Base Period'!$BK$39</f>
        <v>0</v>
      </c>
      <c r="M34">
        <f>'Base Period'!$BK$40</f>
        <v>0</v>
      </c>
      <c r="N34">
        <f>'Base Period'!$BK$41</f>
        <v>0</v>
      </c>
      <c r="O34">
        <f>'Base Period'!$BK$42</f>
        <v>0</v>
      </c>
      <c r="P34">
        <f>'Base Period'!$BK$43</f>
        <v>0</v>
      </c>
      <c r="Q34">
        <f>'Base Period'!$BK$44</f>
        <v>0</v>
      </c>
      <c r="R34">
        <f>'Base Period'!$BK$45</f>
        <v>0</v>
      </c>
      <c r="S34">
        <f>'Base Period'!$BK$46</f>
        <v>0</v>
      </c>
      <c r="T34">
        <f>'Base Period'!$BK$47</f>
        <v>0</v>
      </c>
      <c r="U34">
        <f>'Base Period'!$BK$48</f>
        <v>0</v>
      </c>
      <c r="V34">
        <f>'Base Period'!$BK$49</f>
        <v>0</v>
      </c>
      <c r="W34">
        <f>'Base Period'!$BK$50</f>
        <v>0</v>
      </c>
      <c r="X34">
        <f>'Base Period'!$BK$51</f>
        <v>0</v>
      </c>
      <c r="Y34">
        <f>'Base Period'!$BK$52</f>
        <v>0</v>
      </c>
      <c r="Z34">
        <f>'Base Period'!$BK$53</f>
        <v>0</v>
      </c>
      <c r="AA34">
        <f>'Base Period'!$BK$54</f>
        <v>0</v>
      </c>
      <c r="AB34">
        <f>'Base Period'!$BK$55</f>
        <v>0</v>
      </c>
      <c r="AC34">
        <f>'Base Period'!$BK$56</f>
        <v>0</v>
      </c>
      <c r="AD34">
        <f>'Base Period'!$BK$57</f>
        <v>0</v>
      </c>
      <c r="AE34">
        <f>'Base Period'!$BK$58</f>
        <v>0</v>
      </c>
      <c r="AF34">
        <f>'Base Period'!$BK$59</f>
        <v>0</v>
      </c>
      <c r="AG34">
        <f>'Base Period'!$BK$60</f>
        <v>0</v>
      </c>
      <c r="AH34">
        <f>'Base Period'!$BK$61</f>
        <v>0</v>
      </c>
      <c r="AI34">
        <f>'Base Period'!$BK$62</f>
        <v>0</v>
      </c>
      <c r="AO34" s="159">
        <f>IF('Base Period'!$BK$66="",0,'Base Period'!$BK$66)</f>
        <v>0</v>
      </c>
      <c r="AP34" s="160">
        <f t="shared" si="0"/>
        <v>0</v>
      </c>
    </row>
    <row r="35" spans="2:42" x14ac:dyDescent="0.25">
      <c r="AP35" s="161"/>
    </row>
    <row r="36" spans="2:42" x14ac:dyDescent="0.25">
      <c r="AP36" s="161"/>
    </row>
    <row r="37" spans="2:42" x14ac:dyDescent="0.25">
      <c r="AP37" s="161"/>
    </row>
    <row r="38" spans="2:42" x14ac:dyDescent="0.25">
      <c r="AP38" s="161"/>
    </row>
    <row r="39" spans="2:42" x14ac:dyDescent="0.25">
      <c r="B39" t="str">
        <f>'Option Period 1'!$B$4:$D$4</f>
        <v>Option Period 1</v>
      </c>
      <c r="C39">
        <f>'Option Period 1'!$E$29</f>
        <v>1</v>
      </c>
      <c r="D39">
        <f>'Option Period 1'!$E$30</f>
        <v>1.3</v>
      </c>
      <c r="E39" s="14">
        <f>'Option Period 1'!$F$154</f>
        <v>1.2869557933679998</v>
      </c>
      <c r="F39">
        <f>'Option Period 1'!$E$33</f>
        <v>0</v>
      </c>
      <c r="G39">
        <f>'Option Period 1'!$E$34</f>
        <v>0</v>
      </c>
      <c r="H39">
        <f>'Option Period 1'!$E$35</f>
        <v>0</v>
      </c>
      <c r="I39">
        <f>'Option Period 1'!$E$36</f>
        <v>10</v>
      </c>
      <c r="J39">
        <f>'Option Period 1'!$E$37</f>
        <v>0</v>
      </c>
      <c r="K39">
        <f>'Option Period 1'!$E$38</f>
        <v>0</v>
      </c>
      <c r="L39">
        <f>'Option Period 1'!$E$39</f>
        <v>0</v>
      </c>
      <c r="M39">
        <f>'Option Period 1'!$E$40</f>
        <v>0</v>
      </c>
      <c r="N39">
        <f>'Option Period 1'!$E$41</f>
        <v>0</v>
      </c>
      <c r="O39">
        <f>'Option Period 1'!$E$42</f>
        <v>0</v>
      </c>
      <c r="P39">
        <f>'Option Period 1'!$E$43</f>
        <v>0</v>
      </c>
      <c r="Q39">
        <f>'Option Period 1'!$E$44</f>
        <v>0</v>
      </c>
      <c r="R39">
        <f>'Option Period 1'!$E$45</f>
        <v>0</v>
      </c>
      <c r="S39">
        <f>'Option Period 1'!$E$46</f>
        <v>0</v>
      </c>
      <c r="T39">
        <f>'Option Period 1'!$E$47</f>
        <v>0</v>
      </c>
      <c r="U39">
        <f>'Option Period 1'!$E$48</f>
        <v>0</v>
      </c>
      <c r="V39">
        <f>'Option Period 1'!$E$49</f>
        <v>0</v>
      </c>
      <c r="W39">
        <f>'Option Period 1'!$E$50</f>
        <v>0</v>
      </c>
      <c r="X39">
        <f>'Option Period 1'!$E$51</f>
        <v>0</v>
      </c>
      <c r="Y39">
        <f>'Option Period 1'!$E$52</f>
        <v>0</v>
      </c>
      <c r="Z39">
        <f>'Option Period 1'!$E$53</f>
        <v>0</v>
      </c>
      <c r="AA39">
        <f>'Option Period 1'!$E$54</f>
        <v>0</v>
      </c>
      <c r="AB39">
        <f>'Option Period 1'!$E$55</f>
        <v>0</v>
      </c>
      <c r="AC39">
        <f>'Option Period 1'!$E$56</f>
        <v>0</v>
      </c>
      <c r="AD39">
        <f>'Option Period 1'!$E$57</f>
        <v>0</v>
      </c>
      <c r="AE39">
        <f>'Option Period 1'!$E$58</f>
        <v>0</v>
      </c>
      <c r="AF39">
        <f>'Option Period 1'!$E$59</f>
        <v>0</v>
      </c>
      <c r="AG39">
        <f>'Option Period 1'!$E$60</f>
        <v>0</v>
      </c>
      <c r="AH39">
        <f>'Option Period 1'!$E$61</f>
        <v>0</v>
      </c>
      <c r="AI39">
        <f>'Option Period 1'!$E$62</f>
        <v>0</v>
      </c>
      <c r="AO39" s="159">
        <f>IF('Option Period 1'!$E$66="",0,'Option Period 1'!$E$66)</f>
        <v>10</v>
      </c>
      <c r="AP39" s="160">
        <f>SUM(F39:AI39)-AO39</f>
        <v>0</v>
      </c>
    </row>
    <row r="40" spans="2:42" x14ac:dyDescent="0.25">
      <c r="B40" t="str">
        <f>'Option Period 1'!$B$4:$D$4</f>
        <v>Option Period 1</v>
      </c>
      <c r="C40">
        <f>'Option Period 1'!$G$29</f>
        <v>1</v>
      </c>
      <c r="D40">
        <f>'Option Period 1'!$G$30</f>
        <v>1.5</v>
      </c>
      <c r="E40" s="14">
        <f>'Option Period 1'!$H$154</f>
        <v>7.7217347602080011</v>
      </c>
      <c r="F40">
        <f>'Option Period 1'!$G$33</f>
        <v>10</v>
      </c>
      <c r="G40">
        <f>'Option Period 1'!$G$34</f>
        <v>10</v>
      </c>
      <c r="H40">
        <f>'Option Period 1'!$G$35</f>
        <v>10</v>
      </c>
      <c r="I40">
        <f>'Option Period 1'!$G$36</f>
        <v>10</v>
      </c>
      <c r="J40">
        <f>'Option Period 1'!$G$37</f>
        <v>10</v>
      </c>
      <c r="K40">
        <f>'Option Period 1'!$G$38</f>
        <v>10</v>
      </c>
      <c r="L40">
        <f>'Option Period 1'!$G$39</f>
        <v>0</v>
      </c>
      <c r="M40">
        <f>'Option Period 1'!$G$40</f>
        <v>0</v>
      </c>
      <c r="N40">
        <f>'Option Period 1'!$G$41</f>
        <v>0</v>
      </c>
      <c r="O40">
        <f>'Option Period 1'!$G$42</f>
        <v>0</v>
      </c>
      <c r="P40">
        <f>'Option Period 1'!$G$43</f>
        <v>0</v>
      </c>
      <c r="Q40">
        <f>'Option Period 1'!$G$44</f>
        <v>0</v>
      </c>
      <c r="R40">
        <f>'Option Period 1'!$G$45</f>
        <v>0</v>
      </c>
      <c r="S40">
        <f>'Option Period 1'!$G$46</f>
        <v>0</v>
      </c>
      <c r="T40">
        <f>'Option Period 1'!$G$47</f>
        <v>0</v>
      </c>
      <c r="U40">
        <f>'Option Period 1'!$G$48</f>
        <v>0</v>
      </c>
      <c r="V40">
        <f>'Option Period 1'!$G$49</f>
        <v>0</v>
      </c>
      <c r="W40">
        <f>'Option Period 1'!$G$50</f>
        <v>0</v>
      </c>
      <c r="X40">
        <f>'Option Period 1'!$G$51</f>
        <v>0</v>
      </c>
      <c r="Y40">
        <f>'Option Period 1'!$G$52</f>
        <v>0</v>
      </c>
      <c r="Z40">
        <f>'Option Period 1'!$G$53</f>
        <v>0</v>
      </c>
      <c r="AA40">
        <f>'Option Period 1'!$G$54</f>
        <v>0</v>
      </c>
      <c r="AB40">
        <f>'Option Period 1'!$G$55</f>
        <v>0</v>
      </c>
      <c r="AC40">
        <f>'Option Period 1'!$G$56</f>
        <v>0</v>
      </c>
      <c r="AD40">
        <f>'Option Period 1'!$G$57</f>
        <v>0</v>
      </c>
      <c r="AE40">
        <f>'Option Period 1'!$G$58</f>
        <v>0</v>
      </c>
      <c r="AF40">
        <f>'Option Period 1'!$G$59</f>
        <v>0</v>
      </c>
      <c r="AG40">
        <f>'Option Period 1'!$G$60</f>
        <v>0</v>
      </c>
      <c r="AH40">
        <f>'Option Period 1'!$G$61</f>
        <v>0</v>
      </c>
      <c r="AI40">
        <f>'Option Period 1'!$G$62</f>
        <v>0</v>
      </c>
      <c r="AO40" s="159">
        <f>IF('Option Period 1'!$G$66="",0,'Option Period 1'!$G$66)</f>
        <v>60</v>
      </c>
      <c r="AP40" s="160">
        <f t="shared" ref="AP40:AP68" si="1">SUM(F40:AI40)-AO40</f>
        <v>0</v>
      </c>
    </row>
    <row r="41" spans="2:42" x14ac:dyDescent="0.25">
      <c r="B41" t="str">
        <f>'Option Period 1'!$B$4:$D$4</f>
        <v>Option Period 1</v>
      </c>
      <c r="C41">
        <f>'Option Period 1'!$I$29</f>
        <v>3</v>
      </c>
      <c r="D41">
        <f>'Option Period 1'!$I$30</f>
        <v>3.3</v>
      </c>
      <c r="E41" s="14">
        <f>'Option Period 1'!$J$154</f>
        <v>7.7217347602080011</v>
      </c>
      <c r="F41">
        <f>'Option Period 1'!$I$33</f>
        <v>10</v>
      </c>
      <c r="G41">
        <f>'Option Period 1'!$I$34</f>
        <v>10</v>
      </c>
      <c r="H41">
        <f>'Option Period 1'!$I$35</f>
        <v>10</v>
      </c>
      <c r="I41">
        <f>'Option Period 1'!$I$36</f>
        <v>10</v>
      </c>
      <c r="J41">
        <f>'Option Period 1'!$I$37</f>
        <v>10</v>
      </c>
      <c r="K41">
        <f>'Option Period 1'!$I$38</f>
        <v>10</v>
      </c>
      <c r="L41">
        <f>'Option Period 1'!$I$39</f>
        <v>0</v>
      </c>
      <c r="M41">
        <f>'Option Period 1'!$I$40</f>
        <v>0</v>
      </c>
      <c r="N41">
        <f>'Option Period 1'!$I$41</f>
        <v>0</v>
      </c>
      <c r="O41">
        <f>'Option Period 1'!$I$42</f>
        <v>0</v>
      </c>
      <c r="P41">
        <f>'Option Period 1'!$I$43</f>
        <v>0</v>
      </c>
      <c r="Q41">
        <f>'Option Period 1'!$I$44</f>
        <v>0</v>
      </c>
      <c r="R41">
        <f>'Option Period 1'!$I$45</f>
        <v>0</v>
      </c>
      <c r="S41">
        <f>'Option Period 1'!$I$46</f>
        <v>0</v>
      </c>
      <c r="T41">
        <f>'Option Period 1'!$I$47</f>
        <v>0</v>
      </c>
      <c r="U41">
        <f>'Option Period 1'!$I$48</f>
        <v>0</v>
      </c>
      <c r="V41">
        <f>'Option Period 1'!$I$49</f>
        <v>0</v>
      </c>
      <c r="W41">
        <f>'Option Period 1'!$I$50</f>
        <v>0</v>
      </c>
      <c r="X41">
        <f>'Option Period 1'!$I$51</f>
        <v>0</v>
      </c>
      <c r="Y41">
        <f>'Option Period 1'!$I$52</f>
        <v>0</v>
      </c>
      <c r="Z41">
        <f>'Option Period 1'!$I$53</f>
        <v>0</v>
      </c>
      <c r="AA41">
        <f>'Option Period 1'!$I$54</f>
        <v>0</v>
      </c>
      <c r="AB41">
        <f>'Option Period 1'!$I$55</f>
        <v>0</v>
      </c>
      <c r="AC41">
        <f>'Option Period 1'!$I$56</f>
        <v>0</v>
      </c>
      <c r="AD41">
        <f>'Option Period 1'!$I$57</f>
        <v>0</v>
      </c>
      <c r="AE41">
        <f>'Option Period 1'!$I$58</f>
        <v>0</v>
      </c>
      <c r="AF41">
        <f>'Option Period 1'!$I$59</f>
        <v>0</v>
      </c>
      <c r="AG41">
        <f>'Option Period 1'!$I$60</f>
        <v>0</v>
      </c>
      <c r="AH41">
        <f>'Option Period 1'!$I$61</f>
        <v>0</v>
      </c>
      <c r="AI41">
        <f>'Option Period 1'!$I$62</f>
        <v>0</v>
      </c>
      <c r="AO41" s="159">
        <f>IF('Option Period 1'!$I$66="",0,'Option Period 1'!$I$66)</f>
        <v>60</v>
      </c>
      <c r="AP41" s="160">
        <f t="shared" si="1"/>
        <v>0</v>
      </c>
    </row>
    <row r="42" spans="2:42" x14ac:dyDescent="0.25">
      <c r="B42" t="str">
        <f>'Option Period 1'!$B$4:$D$4</f>
        <v>Option Period 1</v>
      </c>
      <c r="C42">
        <f>'Option Period 1'!$K$29</f>
        <v>3</v>
      </c>
      <c r="D42" t="str">
        <f>'Option Period 1'!$K$30</f>
        <v>3.7.1</v>
      </c>
      <c r="E42" s="14">
        <f>'Option Period 1'!$L$154</f>
        <v>1222.6080036996</v>
      </c>
      <c r="F42">
        <f>'Option Period 1'!$K$33</f>
        <v>10</v>
      </c>
      <c r="G42">
        <f>'Option Period 1'!$K$34</f>
        <v>10</v>
      </c>
      <c r="H42">
        <f>'Option Period 1'!$K$35</f>
        <v>10</v>
      </c>
      <c r="I42">
        <f>'Option Period 1'!$K$36</f>
        <v>10</v>
      </c>
      <c r="J42">
        <f>'Option Period 1'!$K$37</f>
        <v>10</v>
      </c>
      <c r="K42">
        <f>'Option Period 1'!$K$38</f>
        <v>10</v>
      </c>
      <c r="L42">
        <f>'Option Period 1'!$K$39</f>
        <v>0</v>
      </c>
      <c r="M42">
        <f>'Option Period 1'!$K$40</f>
        <v>0</v>
      </c>
      <c r="N42">
        <f>'Option Period 1'!$K$41</f>
        <v>0</v>
      </c>
      <c r="O42">
        <f>'Option Period 1'!$K$42</f>
        <v>0</v>
      </c>
      <c r="P42">
        <f>'Option Period 1'!$K$43</f>
        <v>0</v>
      </c>
      <c r="Q42">
        <f>'Option Period 1'!$K$44</f>
        <v>0</v>
      </c>
      <c r="R42">
        <f>'Option Period 1'!$K$45</f>
        <v>0</v>
      </c>
      <c r="S42">
        <f>'Option Period 1'!$K$46</f>
        <v>0</v>
      </c>
      <c r="T42">
        <f>'Option Period 1'!$K$47</f>
        <v>0</v>
      </c>
      <c r="U42">
        <f>'Option Period 1'!$K$48</f>
        <v>0</v>
      </c>
      <c r="V42">
        <f>'Option Period 1'!$K$49</f>
        <v>0</v>
      </c>
      <c r="W42">
        <f>'Option Period 1'!$K$50</f>
        <v>0</v>
      </c>
      <c r="X42">
        <f>'Option Period 1'!$K$51</f>
        <v>0</v>
      </c>
      <c r="Y42">
        <f>'Option Period 1'!$K$52</f>
        <v>0</v>
      </c>
      <c r="Z42">
        <f>'Option Period 1'!$K$53</f>
        <v>0</v>
      </c>
      <c r="AA42">
        <f>'Option Period 1'!$K$54</f>
        <v>0</v>
      </c>
      <c r="AB42">
        <f>'Option Period 1'!$K$55</f>
        <v>0</v>
      </c>
      <c r="AC42">
        <f>'Option Period 1'!$K$56</f>
        <v>0</v>
      </c>
      <c r="AD42">
        <f>'Option Period 1'!$K$57</f>
        <v>0</v>
      </c>
      <c r="AE42">
        <f>'Option Period 1'!$K$58</f>
        <v>0</v>
      </c>
      <c r="AF42">
        <f>'Option Period 1'!$K$59</f>
        <v>0</v>
      </c>
      <c r="AG42">
        <f>'Option Period 1'!$K$60</f>
        <v>0</v>
      </c>
      <c r="AH42">
        <f>'Option Period 1'!$K$61</f>
        <v>0</v>
      </c>
      <c r="AI42">
        <f>'Option Period 1'!$K$62</f>
        <v>0</v>
      </c>
      <c r="AO42" s="159">
        <f>IF('Option Period 1'!$K$66="",0,'Option Period 1'!$K$66)</f>
        <v>60</v>
      </c>
      <c r="AP42" s="160">
        <f t="shared" si="1"/>
        <v>0</v>
      </c>
    </row>
    <row r="43" spans="2:42" x14ac:dyDescent="0.25">
      <c r="B43" t="str">
        <f>'Option Period 1'!$B$4:$D$4</f>
        <v>Option Period 1</v>
      </c>
      <c r="C43">
        <f>'Option Period 1'!$M$29</f>
        <v>3</v>
      </c>
      <c r="D43">
        <f>'Option Period 1'!$M$30</f>
        <v>3.8</v>
      </c>
      <c r="E43" s="14">
        <f>'Option Period 1'!$N$154</f>
        <v>7.7217347602080011</v>
      </c>
      <c r="F43">
        <f>'Option Period 1'!$M$33</f>
        <v>10</v>
      </c>
      <c r="G43">
        <f>'Option Period 1'!$M$34</f>
        <v>10</v>
      </c>
      <c r="H43">
        <f>'Option Period 1'!$M$35</f>
        <v>10</v>
      </c>
      <c r="I43">
        <f>'Option Period 1'!$M$36</f>
        <v>10</v>
      </c>
      <c r="J43">
        <f>'Option Period 1'!$M$37</f>
        <v>10</v>
      </c>
      <c r="K43">
        <f>'Option Period 1'!$M$38</f>
        <v>10</v>
      </c>
      <c r="L43">
        <f>'Option Period 1'!$M$39</f>
        <v>0</v>
      </c>
      <c r="M43">
        <f>'Option Period 1'!$M$40</f>
        <v>0</v>
      </c>
      <c r="N43">
        <f>'Option Period 1'!$M$41</f>
        <v>0</v>
      </c>
      <c r="O43">
        <f>'Option Period 1'!$M$42</f>
        <v>0</v>
      </c>
      <c r="P43">
        <f>'Option Period 1'!$M$43</f>
        <v>0</v>
      </c>
      <c r="Q43">
        <f>'Option Period 1'!$M$44</f>
        <v>0</v>
      </c>
      <c r="R43">
        <f>'Option Period 1'!$M$45</f>
        <v>0</v>
      </c>
      <c r="S43">
        <f>'Option Period 1'!$M$46</f>
        <v>0</v>
      </c>
      <c r="T43">
        <f>'Option Period 1'!$M$47</f>
        <v>0</v>
      </c>
      <c r="U43">
        <f>'Option Period 1'!$M$48</f>
        <v>0</v>
      </c>
      <c r="V43">
        <f>'Option Period 1'!$M$49</f>
        <v>0</v>
      </c>
      <c r="W43">
        <f>'Option Period 1'!$M$50</f>
        <v>0</v>
      </c>
      <c r="X43">
        <f>'Option Period 1'!$M$51</f>
        <v>0</v>
      </c>
      <c r="Y43">
        <f>'Option Period 1'!$M$52</f>
        <v>0</v>
      </c>
      <c r="Z43">
        <f>'Option Period 1'!$M$53</f>
        <v>0</v>
      </c>
      <c r="AA43">
        <f>'Option Period 1'!$M$54</f>
        <v>0</v>
      </c>
      <c r="AB43">
        <f>'Option Period 1'!$M$55</f>
        <v>0</v>
      </c>
      <c r="AC43">
        <f>'Option Period 1'!$M$56</f>
        <v>0</v>
      </c>
      <c r="AD43">
        <f>'Option Period 1'!$M$57</f>
        <v>0</v>
      </c>
      <c r="AE43">
        <f>'Option Period 1'!$M$58</f>
        <v>0</v>
      </c>
      <c r="AF43">
        <f>'Option Period 1'!$M$59</f>
        <v>0</v>
      </c>
      <c r="AG43">
        <f>'Option Period 1'!$M$60</f>
        <v>0</v>
      </c>
      <c r="AH43">
        <f>'Option Period 1'!$M$61</f>
        <v>0</v>
      </c>
      <c r="AI43">
        <f>'Option Period 1'!$M$62</f>
        <v>0</v>
      </c>
      <c r="AO43" s="159">
        <f>IF('Option Period 1'!$M$66="",0,'Option Period 1'!$M$66)</f>
        <v>60</v>
      </c>
      <c r="AP43" s="160">
        <f t="shared" si="1"/>
        <v>0</v>
      </c>
    </row>
    <row r="44" spans="2:42" x14ac:dyDescent="0.25">
      <c r="B44" t="str">
        <f>'Option Period 1'!$B$4:$D$4</f>
        <v>Option Period 1</v>
      </c>
      <c r="C44">
        <f>'Option Period 1'!$O$29</f>
        <v>4</v>
      </c>
      <c r="D44">
        <f>'Option Period 1'!$O$30</f>
        <v>4</v>
      </c>
      <c r="E44" s="14">
        <f>'Option Period 1'!$P$154</f>
        <v>7.7217347602080011</v>
      </c>
      <c r="F44">
        <f>'Option Period 1'!$O$33</f>
        <v>10</v>
      </c>
      <c r="G44">
        <f>'Option Period 1'!$O$34</f>
        <v>10</v>
      </c>
      <c r="H44">
        <f>'Option Period 1'!$O$35</f>
        <v>10</v>
      </c>
      <c r="I44">
        <f>'Option Period 1'!$O$36</f>
        <v>10</v>
      </c>
      <c r="J44">
        <f>'Option Period 1'!$O$37</f>
        <v>10</v>
      </c>
      <c r="K44">
        <f>'Option Period 1'!$O$38</f>
        <v>10</v>
      </c>
      <c r="L44">
        <f>'Option Period 1'!$O$39</f>
        <v>0</v>
      </c>
      <c r="M44">
        <f>'Option Period 1'!$O$40</f>
        <v>0</v>
      </c>
      <c r="N44">
        <f>'Option Period 1'!$O$41</f>
        <v>0</v>
      </c>
      <c r="O44">
        <f>'Option Period 1'!$O$42</f>
        <v>0</v>
      </c>
      <c r="P44">
        <f>'Option Period 1'!$O$43</f>
        <v>0</v>
      </c>
      <c r="Q44">
        <f>'Option Period 1'!$O$44</f>
        <v>0</v>
      </c>
      <c r="R44">
        <f>'Option Period 1'!$O$45</f>
        <v>0</v>
      </c>
      <c r="S44">
        <f>'Option Period 1'!$O$46</f>
        <v>0</v>
      </c>
      <c r="T44">
        <f>'Option Period 1'!$O$47</f>
        <v>0</v>
      </c>
      <c r="U44">
        <f>'Option Period 1'!$O$48</f>
        <v>0</v>
      </c>
      <c r="V44">
        <f>'Option Period 1'!$O$49</f>
        <v>0</v>
      </c>
      <c r="W44">
        <f>'Option Period 1'!$O$50</f>
        <v>0</v>
      </c>
      <c r="X44">
        <f>'Option Period 1'!$O$51</f>
        <v>0</v>
      </c>
      <c r="Y44">
        <f>'Option Period 1'!$O$52</f>
        <v>0</v>
      </c>
      <c r="Z44">
        <f>'Option Period 1'!$O$53</f>
        <v>0</v>
      </c>
      <c r="AA44">
        <f>'Option Period 1'!$O$54</f>
        <v>0</v>
      </c>
      <c r="AB44">
        <f>'Option Period 1'!$O$55</f>
        <v>0</v>
      </c>
      <c r="AC44">
        <f>'Option Period 1'!$O$56</f>
        <v>0</v>
      </c>
      <c r="AD44">
        <f>'Option Period 1'!$O$57</f>
        <v>0</v>
      </c>
      <c r="AE44">
        <f>'Option Period 1'!$O$58</f>
        <v>0</v>
      </c>
      <c r="AF44">
        <f>'Option Period 1'!$O$59</f>
        <v>0</v>
      </c>
      <c r="AG44">
        <f>'Option Period 1'!$O$60</f>
        <v>0</v>
      </c>
      <c r="AH44">
        <f>'Option Period 1'!$O$61</f>
        <v>0</v>
      </c>
      <c r="AI44">
        <f>'Option Period 1'!$O$62</f>
        <v>0</v>
      </c>
      <c r="AO44" s="159">
        <f>IF('Option Period 1'!$O$66="",0,'Option Period 1'!$O$66)</f>
        <v>60</v>
      </c>
      <c r="AP44" s="160">
        <f t="shared" si="1"/>
        <v>0</v>
      </c>
    </row>
    <row r="45" spans="2:42" x14ac:dyDescent="0.25">
      <c r="B45" t="str">
        <f>'Option Period 1'!$B$4:$D$4</f>
        <v>Option Period 1</v>
      </c>
      <c r="C45">
        <f>'Option Period 1'!$Q$29</f>
        <v>4</v>
      </c>
      <c r="D45">
        <f>'Option Period 1'!$Q$30</f>
        <v>4.0999999999999996</v>
      </c>
      <c r="E45" s="14">
        <f>'Option Period 1'!$R$154</f>
        <v>7.7217347602080011</v>
      </c>
      <c r="F45">
        <f>'Option Period 1'!$Q$33</f>
        <v>10</v>
      </c>
      <c r="G45">
        <f>'Option Period 1'!$Q$34</f>
        <v>10</v>
      </c>
      <c r="H45">
        <f>'Option Period 1'!$Q$35</f>
        <v>10</v>
      </c>
      <c r="I45">
        <f>'Option Period 1'!$Q$36</f>
        <v>10</v>
      </c>
      <c r="J45">
        <f>'Option Period 1'!$Q$37</f>
        <v>10</v>
      </c>
      <c r="K45">
        <f>'Option Period 1'!$Q$38</f>
        <v>10</v>
      </c>
      <c r="L45">
        <f>'Option Period 1'!$Q$39</f>
        <v>0</v>
      </c>
      <c r="M45">
        <f>'Option Period 1'!$Q$40</f>
        <v>0</v>
      </c>
      <c r="N45">
        <f>'Option Period 1'!$Q$41</f>
        <v>0</v>
      </c>
      <c r="O45">
        <f>'Option Period 1'!$Q$42</f>
        <v>0</v>
      </c>
      <c r="P45">
        <f>'Option Period 1'!$Q$43</f>
        <v>0</v>
      </c>
      <c r="Q45">
        <f>'Option Period 1'!$Q$44</f>
        <v>0</v>
      </c>
      <c r="R45">
        <f>'Option Period 1'!$Q$45</f>
        <v>0</v>
      </c>
      <c r="S45">
        <f>'Option Period 1'!$Q$46</f>
        <v>0</v>
      </c>
      <c r="T45">
        <f>'Option Period 1'!$Q$47</f>
        <v>0</v>
      </c>
      <c r="U45">
        <f>'Option Period 1'!$Q$48</f>
        <v>0</v>
      </c>
      <c r="V45">
        <f>'Option Period 1'!$Q$49</f>
        <v>0</v>
      </c>
      <c r="W45">
        <f>'Option Period 1'!$Q$50</f>
        <v>0</v>
      </c>
      <c r="X45">
        <f>'Option Period 1'!$Q$51</f>
        <v>0</v>
      </c>
      <c r="Y45">
        <f>'Option Period 1'!$Q$52</f>
        <v>0</v>
      </c>
      <c r="Z45">
        <f>'Option Period 1'!$Q$53</f>
        <v>0</v>
      </c>
      <c r="AA45">
        <f>'Option Period 1'!$Q$54</f>
        <v>0</v>
      </c>
      <c r="AB45">
        <f>'Option Period 1'!$Q$55</f>
        <v>0</v>
      </c>
      <c r="AC45">
        <f>'Option Period 1'!$Q$56</f>
        <v>0</v>
      </c>
      <c r="AD45">
        <f>'Option Period 1'!$Q$57</f>
        <v>0</v>
      </c>
      <c r="AE45">
        <f>'Option Period 1'!$Q$58</f>
        <v>0</v>
      </c>
      <c r="AF45">
        <f>'Option Period 1'!$Q$59</f>
        <v>0</v>
      </c>
      <c r="AG45">
        <f>'Option Period 1'!$Q$60</f>
        <v>0</v>
      </c>
      <c r="AH45">
        <f>'Option Period 1'!$Q$61</f>
        <v>0</v>
      </c>
      <c r="AI45">
        <f>'Option Period 1'!$Q$62</f>
        <v>0</v>
      </c>
      <c r="AO45" s="159">
        <f>IF('Option Period 1'!$Q$66="",0,'Option Period 1'!$Q$66)</f>
        <v>60</v>
      </c>
      <c r="AP45" s="160">
        <f t="shared" si="1"/>
        <v>0</v>
      </c>
    </row>
    <row r="46" spans="2:42" x14ac:dyDescent="0.25">
      <c r="B46" t="str">
        <f>'Option Period 1'!$B$4:$D$4</f>
        <v>Option Period 1</v>
      </c>
      <c r="C46">
        <f>'Option Period 1'!$S$29</f>
        <v>4</v>
      </c>
      <c r="D46">
        <f>'Option Period 1'!$S$30</f>
        <v>4.0999999999999996</v>
      </c>
      <c r="E46" s="14">
        <f>'Option Period 1'!$T$154</f>
        <v>7.7217347602080011</v>
      </c>
      <c r="F46">
        <f>'Option Period 1'!$S$33</f>
        <v>10</v>
      </c>
      <c r="G46">
        <f>'Option Period 1'!$S$34</f>
        <v>10</v>
      </c>
      <c r="H46">
        <f>'Option Period 1'!$S$35</f>
        <v>10</v>
      </c>
      <c r="I46">
        <f>'Option Period 1'!$S$36</f>
        <v>10</v>
      </c>
      <c r="J46">
        <f>'Option Period 1'!$S$37</f>
        <v>10</v>
      </c>
      <c r="K46">
        <f>'Option Period 1'!$S$38</f>
        <v>10</v>
      </c>
      <c r="L46">
        <f>'Option Period 1'!$S$39</f>
        <v>0</v>
      </c>
      <c r="M46">
        <f>'Option Period 1'!$S$40</f>
        <v>0</v>
      </c>
      <c r="N46">
        <f>'Option Period 1'!$S$41</f>
        <v>0</v>
      </c>
      <c r="O46">
        <f>'Option Period 1'!$S$42</f>
        <v>0</v>
      </c>
      <c r="P46">
        <f>'Option Period 1'!$S$43</f>
        <v>0</v>
      </c>
      <c r="Q46">
        <f>'Option Period 1'!$S$44</f>
        <v>0</v>
      </c>
      <c r="R46">
        <f>'Option Period 1'!$S$45</f>
        <v>0</v>
      </c>
      <c r="S46">
        <f>'Option Period 1'!$S$46</f>
        <v>0</v>
      </c>
      <c r="T46">
        <f>'Option Period 1'!$S$47</f>
        <v>0</v>
      </c>
      <c r="U46">
        <f>'Option Period 1'!$S$48</f>
        <v>0</v>
      </c>
      <c r="V46">
        <f>'Option Period 1'!$S$49</f>
        <v>0</v>
      </c>
      <c r="W46">
        <f>'Option Period 1'!$S$50</f>
        <v>0</v>
      </c>
      <c r="X46">
        <f>'Option Period 1'!$S$51</f>
        <v>0</v>
      </c>
      <c r="Y46">
        <f>'Option Period 1'!$S$52</f>
        <v>0</v>
      </c>
      <c r="Z46">
        <f>'Option Period 1'!$S$53</f>
        <v>0</v>
      </c>
      <c r="AA46">
        <f>'Option Period 1'!$S$54</f>
        <v>0</v>
      </c>
      <c r="AB46">
        <f>'Option Period 1'!$S$55</f>
        <v>0</v>
      </c>
      <c r="AC46">
        <f>'Option Period 1'!$S$56</f>
        <v>0</v>
      </c>
      <c r="AD46">
        <f>'Option Period 1'!$S$57</f>
        <v>0</v>
      </c>
      <c r="AE46">
        <f>'Option Period 1'!$S$58</f>
        <v>0</v>
      </c>
      <c r="AF46">
        <f>'Option Period 1'!$S$59</f>
        <v>0</v>
      </c>
      <c r="AG46">
        <f>'Option Period 1'!$S$60</f>
        <v>0</v>
      </c>
      <c r="AH46">
        <f>'Option Period 1'!$S$61</f>
        <v>0</v>
      </c>
      <c r="AI46">
        <f>'Option Period 1'!$S$62</f>
        <v>0</v>
      </c>
      <c r="AO46" s="159">
        <f>IF('Option Period 1'!$S$66="",0,'Option Period 1'!$S$66)</f>
        <v>60</v>
      </c>
      <c r="AP46" s="160">
        <f t="shared" si="1"/>
        <v>0</v>
      </c>
    </row>
    <row r="47" spans="2:42" x14ac:dyDescent="0.25">
      <c r="B47" t="str">
        <f>'Option Period 1'!$B$4:$D$4</f>
        <v>Option Period 1</v>
      </c>
      <c r="C47">
        <f>'Option Period 1'!$U$29</f>
        <v>4</v>
      </c>
      <c r="D47">
        <f>'Option Period 1'!$U$30</f>
        <v>4.0999999999999996</v>
      </c>
      <c r="E47" s="14">
        <f>'Option Period 1'!$V$154</f>
        <v>7.7217347602080011</v>
      </c>
      <c r="F47">
        <f>'Option Period 1'!$U$33</f>
        <v>10</v>
      </c>
      <c r="G47">
        <f>'Option Period 1'!$U$34</f>
        <v>10</v>
      </c>
      <c r="H47">
        <f>'Option Period 1'!$U$35</f>
        <v>10</v>
      </c>
      <c r="I47">
        <f>'Option Period 1'!$U$36</f>
        <v>10</v>
      </c>
      <c r="J47">
        <f>'Option Period 1'!$U$37</f>
        <v>10</v>
      </c>
      <c r="K47">
        <f>'Option Period 1'!$U$38</f>
        <v>10</v>
      </c>
      <c r="L47">
        <f>'Option Period 1'!$U$39</f>
        <v>0</v>
      </c>
      <c r="M47">
        <f>'Option Period 1'!$U$40</f>
        <v>0</v>
      </c>
      <c r="N47">
        <f>'Option Period 1'!$U$41</f>
        <v>0</v>
      </c>
      <c r="O47">
        <f>'Option Period 1'!$U$42</f>
        <v>0</v>
      </c>
      <c r="P47">
        <f>'Option Period 1'!$U$43</f>
        <v>0</v>
      </c>
      <c r="Q47">
        <f>'Option Period 1'!$U$44</f>
        <v>0</v>
      </c>
      <c r="R47">
        <f>'Option Period 1'!$U$45</f>
        <v>0</v>
      </c>
      <c r="S47">
        <f>'Option Period 1'!$U$46</f>
        <v>0</v>
      </c>
      <c r="T47">
        <f>'Option Period 1'!$U$47</f>
        <v>0</v>
      </c>
      <c r="U47">
        <f>'Option Period 1'!$U$48</f>
        <v>0</v>
      </c>
      <c r="V47">
        <f>'Option Period 1'!$U$49</f>
        <v>0</v>
      </c>
      <c r="W47">
        <f>'Option Period 1'!$U$50</f>
        <v>0</v>
      </c>
      <c r="X47">
        <f>'Option Period 1'!$U$51</f>
        <v>0</v>
      </c>
      <c r="Y47">
        <f>'Option Period 1'!$U$52</f>
        <v>0</v>
      </c>
      <c r="Z47">
        <f>'Option Period 1'!$U$53</f>
        <v>0</v>
      </c>
      <c r="AA47">
        <f>'Option Period 1'!$U$54</f>
        <v>0</v>
      </c>
      <c r="AB47">
        <f>'Option Period 1'!$U$55</f>
        <v>0</v>
      </c>
      <c r="AC47">
        <f>'Option Period 1'!$U$56</f>
        <v>0</v>
      </c>
      <c r="AD47">
        <f>'Option Period 1'!$U$57</f>
        <v>0</v>
      </c>
      <c r="AE47">
        <f>'Option Period 1'!$U$58</f>
        <v>0</v>
      </c>
      <c r="AF47">
        <f>'Option Period 1'!$U$59</f>
        <v>0</v>
      </c>
      <c r="AG47">
        <f>'Option Period 1'!$U$60</f>
        <v>0</v>
      </c>
      <c r="AH47">
        <f>'Option Period 1'!$U$61</f>
        <v>0</v>
      </c>
      <c r="AI47">
        <f>'Option Period 1'!$U$62</f>
        <v>0</v>
      </c>
      <c r="AO47" s="159">
        <f>IF('Option Period 1'!$U$66="",0,'Option Period 1'!$U$66)</f>
        <v>60</v>
      </c>
      <c r="AP47" s="160">
        <f t="shared" si="1"/>
        <v>0</v>
      </c>
    </row>
    <row r="48" spans="2:42" x14ac:dyDescent="0.25">
      <c r="B48" t="str">
        <f>'Option Period 1'!$B$4:$D$4</f>
        <v>Option Period 1</v>
      </c>
      <c r="C48">
        <f>'Option Period 1'!$W$29</f>
        <v>4</v>
      </c>
      <c r="D48">
        <f>'Option Period 1'!$W$30</f>
        <v>4.2</v>
      </c>
      <c r="E48" s="14">
        <f>'Option Period 1'!$X$154</f>
        <v>7.7217347602080011</v>
      </c>
      <c r="F48">
        <f>'Option Period 1'!$W$33</f>
        <v>10</v>
      </c>
      <c r="G48">
        <f>'Option Period 1'!$W$34</f>
        <v>10</v>
      </c>
      <c r="H48">
        <f>'Option Period 1'!$W$35</f>
        <v>10</v>
      </c>
      <c r="I48">
        <f>'Option Period 1'!$W$36</f>
        <v>10</v>
      </c>
      <c r="J48">
        <f>'Option Period 1'!$W$37</f>
        <v>10</v>
      </c>
      <c r="K48">
        <f>'Option Period 1'!$W$38</f>
        <v>10</v>
      </c>
      <c r="L48">
        <f>'Option Period 1'!$W$39</f>
        <v>0</v>
      </c>
      <c r="M48">
        <f>'Option Period 1'!$W$40</f>
        <v>0</v>
      </c>
      <c r="N48">
        <f>'Option Period 1'!$W$41</f>
        <v>0</v>
      </c>
      <c r="O48">
        <f>'Option Period 1'!$W$42</f>
        <v>0</v>
      </c>
      <c r="P48">
        <f>'Option Period 1'!$W$43</f>
        <v>0</v>
      </c>
      <c r="Q48">
        <f>'Option Period 1'!$W$44</f>
        <v>0</v>
      </c>
      <c r="R48">
        <f>'Option Period 1'!$W$45</f>
        <v>0</v>
      </c>
      <c r="S48">
        <f>'Option Period 1'!$W$46</f>
        <v>0</v>
      </c>
      <c r="T48">
        <f>'Option Period 1'!$W$47</f>
        <v>0</v>
      </c>
      <c r="U48">
        <f>'Option Period 1'!$W$48</f>
        <v>0</v>
      </c>
      <c r="V48">
        <f>'Option Period 1'!$W$49</f>
        <v>0</v>
      </c>
      <c r="W48">
        <f>'Option Period 1'!$W$50</f>
        <v>0</v>
      </c>
      <c r="X48">
        <f>'Option Period 1'!$W$51</f>
        <v>0</v>
      </c>
      <c r="Y48">
        <f>'Option Period 1'!$W$52</f>
        <v>0</v>
      </c>
      <c r="Z48">
        <f>'Option Period 1'!$W$53</f>
        <v>0</v>
      </c>
      <c r="AA48">
        <f>'Option Period 1'!$W$54</f>
        <v>0</v>
      </c>
      <c r="AB48">
        <f>'Option Period 1'!$W$55</f>
        <v>0</v>
      </c>
      <c r="AC48">
        <f>'Option Period 1'!$W$56</f>
        <v>0</v>
      </c>
      <c r="AD48">
        <f>'Option Period 1'!$W$57</f>
        <v>0</v>
      </c>
      <c r="AE48">
        <f>'Option Period 1'!$W$58</f>
        <v>0</v>
      </c>
      <c r="AF48">
        <f>'Option Period 1'!$W$59</f>
        <v>0</v>
      </c>
      <c r="AG48">
        <f>'Option Period 1'!$W$60</f>
        <v>0</v>
      </c>
      <c r="AH48">
        <f>'Option Period 1'!$W$61</f>
        <v>0</v>
      </c>
      <c r="AI48">
        <f>'Option Period 1'!$W$62</f>
        <v>0</v>
      </c>
      <c r="AO48" s="159">
        <f>IF('Option Period 1'!$W$66="",0,'Option Period 1'!$W$66)</f>
        <v>60</v>
      </c>
      <c r="AP48" s="160">
        <f t="shared" si="1"/>
        <v>0</v>
      </c>
    </row>
    <row r="49" spans="2:42" x14ac:dyDescent="0.25">
      <c r="B49" t="str">
        <f>'Option Period 1'!$B$4:$D$4</f>
        <v>Option Period 1</v>
      </c>
      <c r="C49">
        <f>'Option Period 1'!$Y$29</f>
        <v>4</v>
      </c>
      <c r="D49">
        <f>'Option Period 1'!$Y$30</f>
        <v>4.4000000000000004</v>
      </c>
      <c r="E49" s="14">
        <f>'Option Period 1'!$Z$154</f>
        <v>7.7217347602080011</v>
      </c>
      <c r="F49">
        <f>'Option Period 1'!$Y$33</f>
        <v>10</v>
      </c>
      <c r="G49">
        <f>'Option Period 1'!$Y$34</f>
        <v>10</v>
      </c>
      <c r="H49">
        <f>'Option Period 1'!$Y$35</f>
        <v>10</v>
      </c>
      <c r="I49">
        <f>'Option Period 1'!$Y$36</f>
        <v>10</v>
      </c>
      <c r="J49">
        <f>'Option Period 1'!$Y$37</f>
        <v>10</v>
      </c>
      <c r="K49">
        <f>'Option Period 1'!$Y$38</f>
        <v>10</v>
      </c>
      <c r="L49">
        <f>'Option Period 1'!$Y$39</f>
        <v>0</v>
      </c>
      <c r="M49">
        <f>'Option Period 1'!$Y$40</f>
        <v>0</v>
      </c>
      <c r="N49">
        <f>'Option Period 1'!$Y$41</f>
        <v>0</v>
      </c>
      <c r="O49">
        <f>'Option Period 1'!$Y$42</f>
        <v>0</v>
      </c>
      <c r="P49">
        <f>'Option Period 1'!$Y$43</f>
        <v>0</v>
      </c>
      <c r="Q49">
        <f>'Option Period 1'!$Y$44</f>
        <v>0</v>
      </c>
      <c r="R49">
        <f>'Option Period 1'!$Y$45</f>
        <v>0</v>
      </c>
      <c r="S49">
        <f>'Option Period 1'!$Y$46</f>
        <v>0</v>
      </c>
      <c r="T49">
        <f>'Option Period 1'!$Y$47</f>
        <v>0</v>
      </c>
      <c r="U49">
        <f>'Option Period 1'!$Y$48</f>
        <v>0</v>
      </c>
      <c r="V49">
        <f>'Option Period 1'!$Y$49</f>
        <v>0</v>
      </c>
      <c r="W49">
        <f>'Option Period 1'!$Y$50</f>
        <v>0</v>
      </c>
      <c r="X49">
        <f>'Option Period 1'!$Y$51</f>
        <v>0</v>
      </c>
      <c r="Y49">
        <f>'Option Period 1'!$Y$52</f>
        <v>0</v>
      </c>
      <c r="Z49">
        <f>'Option Period 1'!$Y$53</f>
        <v>0</v>
      </c>
      <c r="AA49">
        <f>'Option Period 1'!$Y$54</f>
        <v>0</v>
      </c>
      <c r="AB49">
        <f>'Option Period 1'!$Y$55</f>
        <v>0</v>
      </c>
      <c r="AC49">
        <f>'Option Period 1'!$Y$56</f>
        <v>0</v>
      </c>
      <c r="AD49">
        <f>'Option Period 1'!$Y$57</f>
        <v>0</v>
      </c>
      <c r="AE49">
        <f>'Option Period 1'!$Y$58</f>
        <v>0</v>
      </c>
      <c r="AF49">
        <f>'Option Period 1'!$Y$59</f>
        <v>0</v>
      </c>
      <c r="AG49">
        <f>'Option Period 1'!$Y$60</f>
        <v>0</v>
      </c>
      <c r="AH49">
        <f>'Option Period 1'!$Y$61</f>
        <v>0</v>
      </c>
      <c r="AI49">
        <f>'Option Period 1'!$Y$62</f>
        <v>0</v>
      </c>
      <c r="AO49" s="159">
        <f>IF('Option Period 1'!$Y$66="",0,'Option Period 1'!$Y$66)</f>
        <v>60</v>
      </c>
      <c r="AP49" s="160">
        <f t="shared" si="1"/>
        <v>0</v>
      </c>
    </row>
    <row r="50" spans="2:42" x14ac:dyDescent="0.25">
      <c r="B50" t="str">
        <f>'Option Period 1'!$B$4:$D$4</f>
        <v>Option Period 1</v>
      </c>
      <c r="C50">
        <f>'Option Period 1'!$AA$29</f>
        <v>4</v>
      </c>
      <c r="D50">
        <f>'Option Period 1'!$AA$30</f>
        <v>4.5</v>
      </c>
      <c r="E50" s="14">
        <f>'Option Period 1'!$AB$154</f>
        <v>7.7217347602080011</v>
      </c>
      <c r="F50">
        <f>'Option Period 1'!$AA$33</f>
        <v>10</v>
      </c>
      <c r="G50">
        <f>'Option Period 1'!$AA$34</f>
        <v>10</v>
      </c>
      <c r="H50">
        <f>'Option Period 1'!$AA$35</f>
        <v>10</v>
      </c>
      <c r="I50">
        <f>'Option Period 1'!$AA$36</f>
        <v>10</v>
      </c>
      <c r="J50">
        <f>'Option Period 1'!$AA$37</f>
        <v>10</v>
      </c>
      <c r="K50">
        <f>'Option Period 1'!$AA$38</f>
        <v>10</v>
      </c>
      <c r="L50">
        <f>'Option Period 1'!$AA$39</f>
        <v>0</v>
      </c>
      <c r="M50">
        <f>'Option Period 1'!$AA$40</f>
        <v>0</v>
      </c>
      <c r="N50">
        <f>'Option Period 1'!$AA$41</f>
        <v>0</v>
      </c>
      <c r="O50">
        <f>'Option Period 1'!$AA$42</f>
        <v>0</v>
      </c>
      <c r="P50">
        <f>'Option Period 1'!$AA$43</f>
        <v>0</v>
      </c>
      <c r="Q50">
        <f>'Option Period 1'!$AA$44</f>
        <v>0</v>
      </c>
      <c r="R50">
        <f>'Option Period 1'!$AA$45</f>
        <v>0</v>
      </c>
      <c r="S50">
        <f>'Option Period 1'!$AA$46</f>
        <v>0</v>
      </c>
      <c r="T50">
        <f>'Option Period 1'!$AA$47</f>
        <v>0</v>
      </c>
      <c r="U50">
        <f>'Option Period 1'!$AA$48</f>
        <v>0</v>
      </c>
      <c r="V50">
        <f>'Option Period 1'!$AA$49</f>
        <v>0</v>
      </c>
      <c r="W50">
        <f>'Option Period 1'!$AA$50</f>
        <v>0</v>
      </c>
      <c r="X50">
        <f>'Option Period 1'!$AA$51</f>
        <v>0</v>
      </c>
      <c r="Y50">
        <f>'Option Period 1'!$AA$52</f>
        <v>0</v>
      </c>
      <c r="Z50">
        <f>'Option Period 1'!$AA$53</f>
        <v>0</v>
      </c>
      <c r="AA50">
        <f>'Option Period 1'!$AA$54</f>
        <v>0</v>
      </c>
      <c r="AB50">
        <f>'Option Period 1'!$AA$55</f>
        <v>0</v>
      </c>
      <c r="AC50">
        <f>'Option Period 1'!$AA$56</f>
        <v>0</v>
      </c>
      <c r="AD50">
        <f>'Option Period 1'!$AA$57</f>
        <v>0</v>
      </c>
      <c r="AE50">
        <f>'Option Period 1'!$AA$58</f>
        <v>0</v>
      </c>
      <c r="AF50">
        <f>'Option Period 1'!$AA$59</f>
        <v>0</v>
      </c>
      <c r="AG50">
        <f>'Option Period 1'!$AA$60</f>
        <v>0</v>
      </c>
      <c r="AH50">
        <f>'Option Period 1'!$AA$61</f>
        <v>0</v>
      </c>
      <c r="AI50">
        <f>'Option Period 1'!$AA$62</f>
        <v>0</v>
      </c>
      <c r="AO50" s="159">
        <f>IF('Option Period 1'!$AA$66="",0,'Option Period 1'!$AA$66)</f>
        <v>60</v>
      </c>
      <c r="AP50" s="160">
        <f t="shared" si="1"/>
        <v>0</v>
      </c>
    </row>
    <row r="51" spans="2:42" x14ac:dyDescent="0.25">
      <c r="B51" t="str">
        <f>'Option Period 1'!$B$4:$D$4</f>
        <v>Option Period 1</v>
      </c>
      <c r="C51">
        <f>'Option Period 1'!$AC$29</f>
        <v>4</v>
      </c>
      <c r="D51">
        <f>'Option Period 1'!$AC$30</f>
        <v>4.5999999999999996</v>
      </c>
      <c r="E51" s="14">
        <f>'Option Period 1'!$AD$154</f>
        <v>7.7217347602080011</v>
      </c>
      <c r="F51">
        <f>'Option Period 1'!$AC$33</f>
        <v>200</v>
      </c>
      <c r="G51">
        <f>'Option Period 1'!$AC$34</f>
        <v>50</v>
      </c>
      <c r="H51">
        <f>'Option Period 1'!$AC$35</f>
        <v>180</v>
      </c>
      <c r="I51">
        <f>'Option Period 1'!$AC$36</f>
        <v>150</v>
      </c>
      <c r="J51">
        <f>'Option Period 1'!$AC$37</f>
        <v>200</v>
      </c>
      <c r="K51">
        <f>'Option Period 1'!$AC$38</f>
        <v>200</v>
      </c>
      <c r="L51">
        <f>'Option Period 1'!$AC$39</f>
        <v>0</v>
      </c>
      <c r="M51">
        <f>'Option Period 1'!$AC$40</f>
        <v>0</v>
      </c>
      <c r="N51">
        <f>'Option Period 1'!$AC$41</f>
        <v>0</v>
      </c>
      <c r="O51">
        <f>'Option Period 1'!$AC$42</f>
        <v>0</v>
      </c>
      <c r="P51">
        <f>'Option Period 1'!$AC$43</f>
        <v>0</v>
      </c>
      <c r="Q51">
        <f>'Option Period 1'!$AC$44</f>
        <v>0</v>
      </c>
      <c r="R51">
        <f>'Option Period 1'!$AC$45</f>
        <v>0</v>
      </c>
      <c r="S51">
        <f>'Option Period 1'!$AC$46</f>
        <v>0</v>
      </c>
      <c r="T51">
        <f>'Option Period 1'!$AC$47</f>
        <v>0</v>
      </c>
      <c r="U51">
        <f>'Option Period 1'!$AC$48</f>
        <v>0</v>
      </c>
      <c r="V51">
        <f>'Option Period 1'!$AC$49</f>
        <v>0</v>
      </c>
      <c r="W51">
        <f>'Option Period 1'!$AC$50</f>
        <v>0</v>
      </c>
      <c r="X51">
        <f>'Option Period 1'!$AC$51</f>
        <v>0</v>
      </c>
      <c r="Y51">
        <f>'Option Period 1'!$AC$52</f>
        <v>0</v>
      </c>
      <c r="Z51">
        <f>'Option Period 1'!$AC$53</f>
        <v>0</v>
      </c>
      <c r="AA51">
        <f>'Option Period 1'!$AC$54</f>
        <v>0</v>
      </c>
      <c r="AB51">
        <f>'Option Period 1'!$AC$55</f>
        <v>0</v>
      </c>
      <c r="AC51">
        <f>'Option Period 1'!$AC$56</f>
        <v>0</v>
      </c>
      <c r="AD51">
        <f>'Option Period 1'!$AC$57</f>
        <v>0</v>
      </c>
      <c r="AE51">
        <f>'Option Period 1'!$AC$58</f>
        <v>0</v>
      </c>
      <c r="AF51">
        <f>'Option Period 1'!$AC$59</f>
        <v>0</v>
      </c>
      <c r="AG51">
        <f>'Option Period 1'!$AC$60</f>
        <v>0</v>
      </c>
      <c r="AH51">
        <f>'Option Period 1'!$AC$61</f>
        <v>0</v>
      </c>
      <c r="AI51">
        <f>'Option Period 1'!$AC$62</f>
        <v>0</v>
      </c>
      <c r="AO51" s="159">
        <f>IF('Option Period 1'!$AC$66="",0,'Option Period 1'!$AC$66)</f>
        <v>980</v>
      </c>
      <c r="AP51" s="160">
        <f t="shared" si="1"/>
        <v>0</v>
      </c>
    </row>
    <row r="52" spans="2:42" x14ac:dyDescent="0.25">
      <c r="B52" t="str">
        <f>'Option Period 1'!$B$4:$D$4</f>
        <v>Option Period 1</v>
      </c>
      <c r="C52">
        <f>'Option Period 1'!$AE$29</f>
        <v>5</v>
      </c>
      <c r="D52">
        <f>'Option Period 1'!$AE$30</f>
        <v>5</v>
      </c>
      <c r="E52" s="14">
        <f>'Option Period 1'!$AF$154</f>
        <v>1222.6080036996</v>
      </c>
      <c r="F52">
        <f>'Option Period 1'!$AE$33</f>
        <v>10</v>
      </c>
      <c r="G52">
        <f>'Option Period 1'!$AE$34</f>
        <v>10</v>
      </c>
      <c r="H52">
        <f>'Option Period 1'!$AE$35</f>
        <v>10</v>
      </c>
      <c r="I52">
        <f>'Option Period 1'!$AE$36</f>
        <v>10</v>
      </c>
      <c r="J52">
        <f>'Option Period 1'!$AE$37</f>
        <v>10</v>
      </c>
      <c r="K52">
        <f>'Option Period 1'!$AE$38</f>
        <v>10</v>
      </c>
      <c r="L52">
        <f>'Option Period 1'!$AE$39</f>
        <v>0</v>
      </c>
      <c r="M52">
        <f>'Option Period 1'!$AE$40</f>
        <v>0</v>
      </c>
      <c r="N52">
        <f>'Option Period 1'!$AE$41</f>
        <v>0</v>
      </c>
      <c r="O52">
        <f>'Option Period 1'!$AE$42</f>
        <v>0</v>
      </c>
      <c r="P52">
        <f>'Option Period 1'!$AE$43</f>
        <v>0</v>
      </c>
      <c r="Q52">
        <f>'Option Period 1'!$AE$44</f>
        <v>0</v>
      </c>
      <c r="R52">
        <f>'Option Period 1'!$AE$45</f>
        <v>0</v>
      </c>
      <c r="S52">
        <f>'Option Period 1'!$AE$46</f>
        <v>0</v>
      </c>
      <c r="T52">
        <f>'Option Period 1'!$AE$47</f>
        <v>0</v>
      </c>
      <c r="U52">
        <f>'Option Period 1'!$AE$48</f>
        <v>0</v>
      </c>
      <c r="V52">
        <f>'Option Period 1'!$AE$49</f>
        <v>0</v>
      </c>
      <c r="W52">
        <f>'Option Period 1'!$AE$50</f>
        <v>0</v>
      </c>
      <c r="X52">
        <f>'Option Period 1'!$AE$51</f>
        <v>0</v>
      </c>
      <c r="Y52">
        <f>'Option Period 1'!$AE$52</f>
        <v>0</v>
      </c>
      <c r="Z52">
        <f>'Option Period 1'!$AE$53</f>
        <v>0</v>
      </c>
      <c r="AA52">
        <f>'Option Period 1'!$AE$54</f>
        <v>0</v>
      </c>
      <c r="AB52">
        <f>'Option Period 1'!$AE$55</f>
        <v>0</v>
      </c>
      <c r="AC52">
        <f>'Option Period 1'!$AE$56</f>
        <v>0</v>
      </c>
      <c r="AD52">
        <f>'Option Period 1'!$AE$57</f>
        <v>0</v>
      </c>
      <c r="AE52">
        <f>'Option Period 1'!$AE$58</f>
        <v>0</v>
      </c>
      <c r="AF52">
        <f>'Option Period 1'!$AE$59</f>
        <v>0</v>
      </c>
      <c r="AG52">
        <f>'Option Period 1'!$AE$60</f>
        <v>0</v>
      </c>
      <c r="AH52">
        <f>'Option Period 1'!$AE$61</f>
        <v>0</v>
      </c>
      <c r="AI52">
        <f>'Option Period 1'!$AE$62</f>
        <v>0</v>
      </c>
      <c r="AO52" s="159">
        <f>IF('Option Period 1'!$AE$66="",0,'Option Period 1'!$AE$66)</f>
        <v>60</v>
      </c>
      <c r="AP52" s="160">
        <f t="shared" si="1"/>
        <v>0</v>
      </c>
    </row>
    <row r="53" spans="2:42" x14ac:dyDescent="0.25">
      <c r="B53" t="str">
        <f>'Option Period 1'!$B$4:$D$4</f>
        <v>Option Period 1</v>
      </c>
      <c r="C53" t="str">
        <f>'Option Period 1'!$AG$29</f>
        <v>Enter Task # Here</v>
      </c>
      <c r="D53" t="str">
        <f>'Option Period 1'!$AG$30</f>
        <v>Enter Subtask # Here</v>
      </c>
      <c r="E53" s="14">
        <f>'Option Period 1'!$AH$154</f>
        <v>1222.6080036996</v>
      </c>
      <c r="F53">
        <f>'Option Period 1'!$AG$33</f>
        <v>10</v>
      </c>
      <c r="G53">
        <f>'Option Period 1'!$AG$34</f>
        <v>10</v>
      </c>
      <c r="H53">
        <f>'Option Period 1'!$AG$35</f>
        <v>10</v>
      </c>
      <c r="I53">
        <f>'Option Period 1'!$AG$36</f>
        <v>10</v>
      </c>
      <c r="J53">
        <f>'Option Period 1'!$AG$37</f>
        <v>10</v>
      </c>
      <c r="K53">
        <f>'Option Period 1'!$AG$38</f>
        <v>10</v>
      </c>
      <c r="L53">
        <f>'Option Period 1'!$AG$39</f>
        <v>0</v>
      </c>
      <c r="M53">
        <f>'Option Period 1'!$AG$40</f>
        <v>0</v>
      </c>
      <c r="N53">
        <f>'Option Period 1'!$AG$41</f>
        <v>0</v>
      </c>
      <c r="O53">
        <f>'Option Period 1'!$AG$42</f>
        <v>0</v>
      </c>
      <c r="P53">
        <f>'Option Period 1'!$AG$43</f>
        <v>0</v>
      </c>
      <c r="Q53">
        <f>'Option Period 1'!$AG$44</f>
        <v>0</v>
      </c>
      <c r="R53">
        <f>'Option Period 1'!$AG$45</f>
        <v>0</v>
      </c>
      <c r="S53">
        <f>'Option Period 1'!$AG$46</f>
        <v>0</v>
      </c>
      <c r="T53">
        <f>'Option Period 1'!$AG$47</f>
        <v>0</v>
      </c>
      <c r="U53">
        <f>'Option Period 1'!$AG$48</f>
        <v>0</v>
      </c>
      <c r="V53">
        <f>'Option Period 1'!$AG$49</f>
        <v>0</v>
      </c>
      <c r="W53">
        <f>'Option Period 1'!$AG$50</f>
        <v>0</v>
      </c>
      <c r="X53">
        <f>'Option Period 1'!$AG$51</f>
        <v>0</v>
      </c>
      <c r="Y53">
        <f>'Option Period 1'!$AG$52</f>
        <v>0</v>
      </c>
      <c r="Z53">
        <f>'Option Period 1'!$AG$53</f>
        <v>0</v>
      </c>
      <c r="AA53">
        <f>'Option Period 1'!$AG$54</f>
        <v>0</v>
      </c>
      <c r="AB53">
        <f>'Option Period 1'!$AG$55</f>
        <v>0</v>
      </c>
      <c r="AC53">
        <f>'Option Period 1'!$AG$56</f>
        <v>0</v>
      </c>
      <c r="AD53">
        <f>'Option Period 1'!$AG$57</f>
        <v>0</v>
      </c>
      <c r="AE53">
        <f>'Option Period 1'!$AG$58</f>
        <v>0</v>
      </c>
      <c r="AF53">
        <f>'Option Period 1'!$AG$59</f>
        <v>0</v>
      </c>
      <c r="AG53">
        <f>'Option Period 1'!$AG$60</f>
        <v>0</v>
      </c>
      <c r="AH53">
        <f>'Option Period 1'!$AG$61</f>
        <v>0</v>
      </c>
      <c r="AI53">
        <f>'Option Period 1'!$AG$62</f>
        <v>0</v>
      </c>
      <c r="AO53" s="159">
        <f>IF('Option Period 1'!$AG$66="",0,'Option Period 1'!$AG$66)</f>
        <v>60</v>
      </c>
      <c r="AP53" s="160">
        <f t="shared" si="1"/>
        <v>0</v>
      </c>
    </row>
    <row r="54" spans="2:42" x14ac:dyDescent="0.25">
      <c r="B54" t="str">
        <f>'Option Period 1'!$B$4:$D$4</f>
        <v>Option Period 1</v>
      </c>
      <c r="C54" t="str">
        <f>'Option Period 1'!$AI$29</f>
        <v>Enter Task # Here</v>
      </c>
      <c r="D54" t="str">
        <f>'Option Period 1'!$AI$30</f>
        <v>Enter Subtask # Here</v>
      </c>
      <c r="E54" s="14">
        <f>'Option Period 1'!$AJ$154</f>
        <v>0</v>
      </c>
      <c r="F54">
        <f>'Option Period 1'!$AI$33</f>
        <v>0</v>
      </c>
      <c r="G54">
        <f>'Option Period 1'!$AI$34</f>
        <v>0</v>
      </c>
      <c r="H54">
        <f>'Option Period 1'!$AI$35</f>
        <v>0</v>
      </c>
      <c r="I54">
        <f>'Option Period 1'!$AI$36</f>
        <v>0</v>
      </c>
      <c r="J54">
        <f>'Option Period 1'!$AI$37</f>
        <v>0</v>
      </c>
      <c r="K54">
        <f>'Option Period 1'!$AI$38</f>
        <v>0</v>
      </c>
      <c r="L54">
        <f>'Option Period 1'!$AI$39</f>
        <v>0</v>
      </c>
      <c r="M54">
        <f>'Option Period 1'!$AI$40</f>
        <v>0</v>
      </c>
      <c r="N54">
        <f>'Option Period 1'!$AI$41</f>
        <v>0</v>
      </c>
      <c r="O54">
        <f>'Option Period 1'!$AI$42</f>
        <v>0</v>
      </c>
      <c r="P54">
        <f>'Option Period 1'!$AI$43</f>
        <v>0</v>
      </c>
      <c r="Q54">
        <f>'Option Period 1'!$AI$44</f>
        <v>0</v>
      </c>
      <c r="R54">
        <f>'Option Period 1'!$AI$45</f>
        <v>0</v>
      </c>
      <c r="S54">
        <f>'Option Period 1'!$AI$46</f>
        <v>0</v>
      </c>
      <c r="T54">
        <f>'Option Period 1'!$AI$47</f>
        <v>0</v>
      </c>
      <c r="U54">
        <f>'Option Period 1'!$AI$48</f>
        <v>0</v>
      </c>
      <c r="V54">
        <f>'Option Period 1'!$AI$49</f>
        <v>0</v>
      </c>
      <c r="W54">
        <f>'Option Period 1'!$AI$50</f>
        <v>0</v>
      </c>
      <c r="X54">
        <f>'Option Period 1'!$AI$51</f>
        <v>0</v>
      </c>
      <c r="Y54">
        <f>'Option Period 1'!$AI$52</f>
        <v>0</v>
      </c>
      <c r="Z54">
        <f>'Option Period 1'!$AI$53</f>
        <v>0</v>
      </c>
      <c r="AA54">
        <f>'Option Period 1'!$AI$54</f>
        <v>0</v>
      </c>
      <c r="AB54">
        <f>'Option Period 1'!$AI$55</f>
        <v>0</v>
      </c>
      <c r="AC54">
        <f>'Option Period 1'!$AI$56</f>
        <v>0</v>
      </c>
      <c r="AD54">
        <f>'Option Period 1'!$AI$57</f>
        <v>0</v>
      </c>
      <c r="AE54">
        <f>'Option Period 1'!$AI$58</f>
        <v>0</v>
      </c>
      <c r="AF54">
        <f>'Option Period 1'!$AI$59</f>
        <v>0</v>
      </c>
      <c r="AG54">
        <f>'Option Period 1'!$AI$60</f>
        <v>0</v>
      </c>
      <c r="AH54">
        <f>'Option Period 1'!$AI$61</f>
        <v>0</v>
      </c>
      <c r="AI54">
        <f>'Option Period 1'!$AI$62</f>
        <v>0</v>
      </c>
      <c r="AO54" s="159">
        <f>IF('Option Period 1'!$AI$66="",0,'Option Period 1'!$AI$66)</f>
        <v>0</v>
      </c>
      <c r="AP54" s="160">
        <f t="shared" si="1"/>
        <v>0</v>
      </c>
    </row>
    <row r="55" spans="2:42" x14ac:dyDescent="0.25">
      <c r="B55" t="str">
        <f>'Option Period 1'!$B$4:$D$4</f>
        <v>Option Period 1</v>
      </c>
      <c r="C55" t="str">
        <f>'Option Period 1'!$AK$29</f>
        <v>Enter Task # Here</v>
      </c>
      <c r="D55" t="str">
        <f>'Option Period 1'!$AK$30</f>
        <v>Enter Subtask # Here</v>
      </c>
      <c r="E55" s="14">
        <f>'Option Period 1'!$AL$154</f>
        <v>0</v>
      </c>
      <c r="F55">
        <f>'Option Period 1'!$AK$33</f>
        <v>0</v>
      </c>
      <c r="G55">
        <f>'Option Period 1'!$AK$34</f>
        <v>0</v>
      </c>
      <c r="H55">
        <f>'Option Period 1'!$AK$35</f>
        <v>0</v>
      </c>
      <c r="I55">
        <f>'Option Period 1'!$AK$36</f>
        <v>0</v>
      </c>
      <c r="J55">
        <f>'Option Period 1'!$AK$37</f>
        <v>0</v>
      </c>
      <c r="K55">
        <f>'Option Period 1'!$AK$38</f>
        <v>0</v>
      </c>
      <c r="L55">
        <f>'Option Period 1'!$AK$39</f>
        <v>0</v>
      </c>
      <c r="M55">
        <f>'Option Period 1'!$AK$40</f>
        <v>0</v>
      </c>
      <c r="N55">
        <f>'Option Period 1'!$AK$41</f>
        <v>0</v>
      </c>
      <c r="O55">
        <f>'Option Period 1'!$AK$42</f>
        <v>0</v>
      </c>
      <c r="P55">
        <f>'Option Period 1'!$AK$43</f>
        <v>0</v>
      </c>
      <c r="Q55">
        <f>'Option Period 1'!$AK$44</f>
        <v>0</v>
      </c>
      <c r="R55">
        <f>'Option Period 1'!$AK$45</f>
        <v>0</v>
      </c>
      <c r="S55">
        <f>'Option Period 1'!$AK$46</f>
        <v>0</v>
      </c>
      <c r="T55">
        <f>'Option Period 1'!$AK$47</f>
        <v>0</v>
      </c>
      <c r="U55">
        <f>'Option Period 1'!$AK$48</f>
        <v>0</v>
      </c>
      <c r="V55">
        <f>'Option Period 1'!$AK$49</f>
        <v>0</v>
      </c>
      <c r="W55">
        <f>'Option Period 1'!$AK$50</f>
        <v>0</v>
      </c>
      <c r="X55">
        <f>'Option Period 1'!$AK$51</f>
        <v>0</v>
      </c>
      <c r="Y55">
        <f>'Option Period 1'!$AK$52</f>
        <v>0</v>
      </c>
      <c r="Z55">
        <f>'Option Period 1'!$AK$53</f>
        <v>0</v>
      </c>
      <c r="AA55">
        <f>'Option Period 1'!$AK$54</f>
        <v>0</v>
      </c>
      <c r="AB55">
        <f>'Option Period 1'!$AK$55</f>
        <v>0</v>
      </c>
      <c r="AC55">
        <f>'Option Period 1'!$AK$56</f>
        <v>0</v>
      </c>
      <c r="AD55">
        <f>'Option Period 1'!$AK$57</f>
        <v>0</v>
      </c>
      <c r="AE55">
        <f>'Option Period 1'!$AK$58</f>
        <v>0</v>
      </c>
      <c r="AF55">
        <f>'Option Period 1'!$AK$59</f>
        <v>0</v>
      </c>
      <c r="AG55">
        <f>'Option Period 1'!$AK$60</f>
        <v>0</v>
      </c>
      <c r="AH55">
        <f>'Option Period 1'!$AK$61</f>
        <v>0</v>
      </c>
      <c r="AI55">
        <f>'Option Period 1'!$AK$62</f>
        <v>0</v>
      </c>
      <c r="AO55" s="159">
        <f>IF('Option Period 1'!$AK$66="",0,'Option Period 1'!$AK$66)</f>
        <v>0</v>
      </c>
      <c r="AP55" s="160">
        <f t="shared" si="1"/>
        <v>0</v>
      </c>
    </row>
    <row r="56" spans="2:42" x14ac:dyDescent="0.25">
      <c r="B56" t="str">
        <f>'Option Period 1'!$B$4:$D$4</f>
        <v>Option Period 1</v>
      </c>
      <c r="C56" t="str">
        <f>'Option Period 1'!$AM$29</f>
        <v>Enter Task # Here</v>
      </c>
      <c r="D56" t="str">
        <f>'Option Period 1'!$AM$30</f>
        <v>Enter Subtask # Here</v>
      </c>
      <c r="E56" s="14">
        <f>'Option Period 1'!$AN$154</f>
        <v>0</v>
      </c>
      <c r="F56">
        <f>'Option Period 1'!$AM$33</f>
        <v>0</v>
      </c>
      <c r="G56">
        <f>'Option Period 1'!$AM$34</f>
        <v>0</v>
      </c>
      <c r="H56">
        <f>'Option Period 1'!$AM$35</f>
        <v>0</v>
      </c>
      <c r="I56">
        <f>'Option Period 1'!$AM$36</f>
        <v>0</v>
      </c>
      <c r="J56">
        <f>'Option Period 1'!$AM$37</f>
        <v>0</v>
      </c>
      <c r="K56">
        <f>'Option Period 1'!$AM$38</f>
        <v>0</v>
      </c>
      <c r="L56">
        <f>'Option Period 1'!$AM$39</f>
        <v>0</v>
      </c>
      <c r="M56">
        <f>'Option Period 1'!$AM$40</f>
        <v>0</v>
      </c>
      <c r="N56">
        <f>'Option Period 1'!$AM$41</f>
        <v>0</v>
      </c>
      <c r="O56">
        <f>'Option Period 1'!$AM$42</f>
        <v>0</v>
      </c>
      <c r="P56">
        <f>'Option Period 1'!$AM$43</f>
        <v>0</v>
      </c>
      <c r="Q56">
        <f>'Option Period 1'!$AM$44</f>
        <v>0</v>
      </c>
      <c r="R56">
        <f>'Option Period 1'!$AM$45</f>
        <v>0</v>
      </c>
      <c r="S56">
        <f>'Option Period 1'!$AM$46</f>
        <v>0</v>
      </c>
      <c r="T56">
        <f>'Option Period 1'!$AM$47</f>
        <v>0</v>
      </c>
      <c r="U56">
        <f>'Option Period 1'!$AM$48</f>
        <v>0</v>
      </c>
      <c r="V56">
        <f>'Option Period 1'!$AM$49</f>
        <v>0</v>
      </c>
      <c r="W56">
        <f>'Option Period 1'!$AM$50</f>
        <v>0</v>
      </c>
      <c r="X56">
        <f>'Option Period 1'!$AM$51</f>
        <v>0</v>
      </c>
      <c r="Y56">
        <f>'Option Period 1'!$AM$52</f>
        <v>0</v>
      </c>
      <c r="Z56">
        <f>'Option Period 1'!$AM$53</f>
        <v>0</v>
      </c>
      <c r="AA56">
        <f>'Option Period 1'!$AM$54</f>
        <v>0</v>
      </c>
      <c r="AB56">
        <f>'Option Period 1'!$AM$55</f>
        <v>0</v>
      </c>
      <c r="AC56">
        <f>'Option Period 1'!$AM$56</f>
        <v>0</v>
      </c>
      <c r="AD56">
        <f>'Option Period 1'!$AM$57</f>
        <v>0</v>
      </c>
      <c r="AE56">
        <f>'Option Period 1'!$AM$58</f>
        <v>0</v>
      </c>
      <c r="AF56">
        <f>'Option Period 1'!$AM$59</f>
        <v>0</v>
      </c>
      <c r="AG56">
        <f>'Option Period 1'!$AM$60</f>
        <v>0</v>
      </c>
      <c r="AH56">
        <f>'Option Period 1'!$AM$61</f>
        <v>0</v>
      </c>
      <c r="AI56">
        <f>'Option Period 1'!$AM$62</f>
        <v>0</v>
      </c>
      <c r="AO56" s="159">
        <f>IF('Option Period 1'!$AM$66="",0,'Option Period 1'!$AM$66)</f>
        <v>0</v>
      </c>
      <c r="AP56" s="160">
        <f t="shared" si="1"/>
        <v>0</v>
      </c>
    </row>
    <row r="57" spans="2:42" x14ac:dyDescent="0.25">
      <c r="B57" t="str">
        <f>'Option Period 1'!$B$4:$D$4</f>
        <v>Option Period 1</v>
      </c>
      <c r="C57" t="str">
        <f>'Option Period 1'!$AO$29</f>
        <v>Enter Task # Here</v>
      </c>
      <c r="D57" t="str">
        <f>'Option Period 1'!$AO$30</f>
        <v>Enter Subtask # Here</v>
      </c>
      <c r="E57" s="14">
        <f>'Option Period 1'!$AP$154</f>
        <v>0</v>
      </c>
      <c r="F57">
        <f>'Option Period 1'!$AO$33</f>
        <v>0</v>
      </c>
      <c r="G57">
        <f>'Option Period 1'!$AO$34</f>
        <v>0</v>
      </c>
      <c r="H57">
        <f>'Option Period 1'!$AO$35</f>
        <v>0</v>
      </c>
      <c r="I57">
        <f>'Option Period 1'!$AO$36</f>
        <v>0</v>
      </c>
      <c r="J57">
        <f>'Option Period 1'!$AO$37</f>
        <v>0</v>
      </c>
      <c r="K57">
        <f>'Option Period 1'!$AO$38</f>
        <v>0</v>
      </c>
      <c r="L57">
        <f>'Option Period 1'!$AO$39</f>
        <v>0</v>
      </c>
      <c r="M57">
        <f>'Option Period 1'!$AO$40</f>
        <v>0</v>
      </c>
      <c r="N57">
        <f>'Option Period 1'!$AO$41</f>
        <v>0</v>
      </c>
      <c r="O57">
        <f>'Option Period 1'!$AO$42</f>
        <v>0</v>
      </c>
      <c r="P57">
        <f>'Option Period 1'!$AO$43</f>
        <v>0</v>
      </c>
      <c r="Q57">
        <f>'Option Period 1'!$AO$44</f>
        <v>0</v>
      </c>
      <c r="R57">
        <f>'Option Period 1'!$AO$45</f>
        <v>0</v>
      </c>
      <c r="S57">
        <f>'Option Period 1'!$AO$46</f>
        <v>0</v>
      </c>
      <c r="T57">
        <f>'Option Period 1'!$AO$47</f>
        <v>0</v>
      </c>
      <c r="U57">
        <f>'Option Period 1'!$AO$48</f>
        <v>0</v>
      </c>
      <c r="V57">
        <f>'Option Period 1'!$AO$49</f>
        <v>0</v>
      </c>
      <c r="W57">
        <f>'Option Period 1'!$AO$50</f>
        <v>0</v>
      </c>
      <c r="X57">
        <f>'Option Period 1'!$AO$51</f>
        <v>0</v>
      </c>
      <c r="Y57">
        <f>'Option Period 1'!$AO$52</f>
        <v>0</v>
      </c>
      <c r="Z57">
        <f>'Option Period 1'!$AO$53</f>
        <v>0</v>
      </c>
      <c r="AA57">
        <f>'Option Period 1'!$AO$54</f>
        <v>0</v>
      </c>
      <c r="AB57">
        <f>'Option Period 1'!$AO$55</f>
        <v>0</v>
      </c>
      <c r="AC57">
        <f>'Option Period 1'!$AO$56</f>
        <v>0</v>
      </c>
      <c r="AD57">
        <f>'Option Period 1'!$AO$57</f>
        <v>0</v>
      </c>
      <c r="AE57">
        <f>'Option Period 1'!$AO$58</f>
        <v>0</v>
      </c>
      <c r="AF57">
        <f>'Option Period 1'!$AO$59</f>
        <v>0</v>
      </c>
      <c r="AG57">
        <f>'Option Period 1'!$AO$60</f>
        <v>0</v>
      </c>
      <c r="AH57">
        <f>'Option Period 1'!$AO$61</f>
        <v>0</v>
      </c>
      <c r="AI57">
        <f>'Option Period 1'!$AO$62</f>
        <v>0</v>
      </c>
      <c r="AO57" s="159">
        <f>IF('Option Period 1'!$AO$66="",0,'Option Period 1'!$AO$66)</f>
        <v>0</v>
      </c>
      <c r="AP57" s="160">
        <f t="shared" si="1"/>
        <v>0</v>
      </c>
    </row>
    <row r="58" spans="2:42" x14ac:dyDescent="0.25">
      <c r="B58" t="str">
        <f>'Option Period 1'!$B$4:$D$4</f>
        <v>Option Period 1</v>
      </c>
      <c r="C58" t="str">
        <f>'Option Period 1'!$AQ$29</f>
        <v>Enter Task # Here</v>
      </c>
      <c r="D58" t="str">
        <f>'Option Period 1'!$AQ$30</f>
        <v>Enter Subtask # Here</v>
      </c>
      <c r="E58" s="14">
        <f>'Option Period 1'!$AR$154</f>
        <v>0</v>
      </c>
      <c r="F58">
        <f>'Option Period 1'!$AQ$33</f>
        <v>0</v>
      </c>
      <c r="G58">
        <f>'Option Period 1'!$AQ$34</f>
        <v>0</v>
      </c>
      <c r="H58">
        <f>'Option Period 1'!$AQ$35</f>
        <v>0</v>
      </c>
      <c r="I58">
        <f>'Option Period 1'!$AQ$36</f>
        <v>0</v>
      </c>
      <c r="J58">
        <f>'Option Period 1'!$AQ$37</f>
        <v>0</v>
      </c>
      <c r="K58">
        <f>'Option Period 1'!$AQ$38</f>
        <v>0</v>
      </c>
      <c r="L58">
        <f>'Option Period 1'!$AQ$39</f>
        <v>0</v>
      </c>
      <c r="M58">
        <f>'Option Period 1'!$AQ$40</f>
        <v>0</v>
      </c>
      <c r="N58">
        <f>'Option Period 1'!$AQ$41</f>
        <v>0</v>
      </c>
      <c r="O58">
        <f>'Option Period 1'!$AQ$42</f>
        <v>0</v>
      </c>
      <c r="P58">
        <f>'Option Period 1'!$AQ$43</f>
        <v>0</v>
      </c>
      <c r="Q58">
        <f>'Option Period 1'!$AQ$44</f>
        <v>0</v>
      </c>
      <c r="R58">
        <f>'Option Period 1'!$AQ$45</f>
        <v>0</v>
      </c>
      <c r="S58">
        <f>'Option Period 1'!$AQ$46</f>
        <v>0</v>
      </c>
      <c r="T58">
        <f>'Option Period 1'!$AQ$47</f>
        <v>0</v>
      </c>
      <c r="U58">
        <f>'Option Period 1'!$AQ$48</f>
        <v>0</v>
      </c>
      <c r="V58">
        <f>'Option Period 1'!$AQ$49</f>
        <v>0</v>
      </c>
      <c r="W58">
        <f>'Option Period 1'!$AQ$50</f>
        <v>0</v>
      </c>
      <c r="X58">
        <f>'Option Period 1'!$AQ$51</f>
        <v>0</v>
      </c>
      <c r="Y58">
        <f>'Option Period 1'!$AQ$52</f>
        <v>0</v>
      </c>
      <c r="Z58">
        <f>'Option Period 1'!$AQ$53</f>
        <v>0</v>
      </c>
      <c r="AA58">
        <f>'Option Period 1'!$AQ$54</f>
        <v>0</v>
      </c>
      <c r="AB58">
        <f>'Option Period 1'!$AQ$55</f>
        <v>0</v>
      </c>
      <c r="AC58">
        <f>'Option Period 1'!$AQ$56</f>
        <v>0</v>
      </c>
      <c r="AD58">
        <f>'Option Period 1'!$AQ$57</f>
        <v>0</v>
      </c>
      <c r="AE58">
        <f>'Option Period 1'!$AQ$58</f>
        <v>0</v>
      </c>
      <c r="AF58">
        <f>'Option Period 1'!$AQ$59</f>
        <v>0</v>
      </c>
      <c r="AG58">
        <f>'Option Period 1'!$AQ$60</f>
        <v>0</v>
      </c>
      <c r="AH58">
        <f>'Option Period 1'!$AQ$61</f>
        <v>0</v>
      </c>
      <c r="AI58">
        <f>'Option Period 1'!$AQ$62</f>
        <v>0</v>
      </c>
      <c r="AO58" s="159">
        <f>IF('Option Period 1'!$AQ$66="",0,'Option Period 1'!$AQ$66)</f>
        <v>0</v>
      </c>
      <c r="AP58" s="160">
        <f t="shared" si="1"/>
        <v>0</v>
      </c>
    </row>
    <row r="59" spans="2:42" x14ac:dyDescent="0.25">
      <c r="B59" t="str">
        <f>'Option Period 1'!$B$4:$D$4</f>
        <v>Option Period 1</v>
      </c>
      <c r="C59" t="str">
        <f>'Option Period 1'!$AS$29</f>
        <v>Enter Task # Here</v>
      </c>
      <c r="D59" t="str">
        <f>'Option Period 1'!$AS$30</f>
        <v>Enter Subtask # Here</v>
      </c>
      <c r="E59" s="14">
        <f>'Option Period 1'!$AT$154</f>
        <v>0</v>
      </c>
      <c r="F59">
        <f>'Option Period 1'!$AS$33</f>
        <v>0</v>
      </c>
      <c r="G59">
        <f>'Option Period 1'!$AS$34</f>
        <v>0</v>
      </c>
      <c r="H59">
        <f>'Option Period 1'!$AS$35</f>
        <v>0</v>
      </c>
      <c r="I59">
        <f>'Option Period 1'!$AS$36</f>
        <v>0</v>
      </c>
      <c r="J59">
        <f>'Option Period 1'!$AS$37</f>
        <v>0</v>
      </c>
      <c r="K59">
        <f>'Option Period 1'!$AS$38</f>
        <v>0</v>
      </c>
      <c r="L59">
        <f>'Option Period 1'!$AS$39</f>
        <v>0</v>
      </c>
      <c r="M59">
        <f>'Option Period 1'!$AS$40</f>
        <v>0</v>
      </c>
      <c r="N59">
        <f>'Option Period 1'!$AS$41</f>
        <v>0</v>
      </c>
      <c r="O59">
        <f>'Option Period 1'!$AS$42</f>
        <v>0</v>
      </c>
      <c r="P59">
        <f>'Option Period 1'!$AS$43</f>
        <v>0</v>
      </c>
      <c r="Q59">
        <f>'Option Period 1'!$AS$44</f>
        <v>0</v>
      </c>
      <c r="R59">
        <f>'Option Period 1'!$AS$45</f>
        <v>0</v>
      </c>
      <c r="S59">
        <f>'Option Period 1'!$AS$46</f>
        <v>0</v>
      </c>
      <c r="T59">
        <f>'Option Period 1'!$AS$47</f>
        <v>0</v>
      </c>
      <c r="U59">
        <f>'Option Period 1'!$AS$48</f>
        <v>0</v>
      </c>
      <c r="V59">
        <f>'Option Period 1'!$AS$49</f>
        <v>0</v>
      </c>
      <c r="W59">
        <f>'Option Period 1'!$AS$50</f>
        <v>0</v>
      </c>
      <c r="X59">
        <f>'Option Period 1'!$AS$51</f>
        <v>0</v>
      </c>
      <c r="Y59">
        <f>'Option Period 1'!$AS$52</f>
        <v>0</v>
      </c>
      <c r="Z59">
        <f>'Option Period 1'!$AS$53</f>
        <v>0</v>
      </c>
      <c r="AA59">
        <f>'Option Period 1'!$AS$54</f>
        <v>0</v>
      </c>
      <c r="AB59">
        <f>'Option Period 1'!$AS$55</f>
        <v>0</v>
      </c>
      <c r="AC59">
        <f>'Option Period 1'!$AS$56</f>
        <v>0</v>
      </c>
      <c r="AD59">
        <f>'Option Period 1'!$AS$57</f>
        <v>0</v>
      </c>
      <c r="AE59">
        <f>'Option Period 1'!$AS$58</f>
        <v>0</v>
      </c>
      <c r="AF59">
        <f>'Option Period 1'!$AS$59</f>
        <v>0</v>
      </c>
      <c r="AG59">
        <f>'Option Period 1'!$AS$60</f>
        <v>0</v>
      </c>
      <c r="AH59">
        <f>'Option Period 1'!$AS$61</f>
        <v>0</v>
      </c>
      <c r="AI59">
        <f>'Option Period 1'!$AS$62</f>
        <v>0</v>
      </c>
      <c r="AO59" s="159">
        <f>IF('Option Period 1'!$AS$66="",0,'Option Period 1'!$AS$66)</f>
        <v>0</v>
      </c>
      <c r="AP59" s="160">
        <f t="shared" si="1"/>
        <v>0</v>
      </c>
    </row>
    <row r="60" spans="2:42" x14ac:dyDescent="0.25">
      <c r="B60" t="str">
        <f>'Option Period 1'!$B$4:$D$4</f>
        <v>Option Period 1</v>
      </c>
      <c r="C60" t="str">
        <f>'Option Period 1'!$AU$29</f>
        <v>Enter Task # Here</v>
      </c>
      <c r="D60" t="str">
        <f>'Option Period 1'!$AU$30</f>
        <v>Enter Subtask # Here</v>
      </c>
      <c r="E60" s="14">
        <f>'Option Period 1'!$AV$154</f>
        <v>0</v>
      </c>
      <c r="F60">
        <f>'Option Period 1'!$AU$33</f>
        <v>0</v>
      </c>
      <c r="G60">
        <f>'Option Period 1'!$AU$34</f>
        <v>0</v>
      </c>
      <c r="H60">
        <f>'Option Period 1'!$AU$35</f>
        <v>0</v>
      </c>
      <c r="I60">
        <f>'Option Period 1'!$AU$36</f>
        <v>0</v>
      </c>
      <c r="J60">
        <f>'Option Period 1'!$AU$37</f>
        <v>0</v>
      </c>
      <c r="K60">
        <f>'Option Period 1'!$AU$38</f>
        <v>0</v>
      </c>
      <c r="L60">
        <f>'Option Period 1'!$AU$39</f>
        <v>0</v>
      </c>
      <c r="M60">
        <f>'Option Period 1'!$AU$40</f>
        <v>0</v>
      </c>
      <c r="N60">
        <f>'Option Period 1'!$AU$41</f>
        <v>0</v>
      </c>
      <c r="O60">
        <f>'Option Period 1'!$AU$42</f>
        <v>0</v>
      </c>
      <c r="P60">
        <f>'Option Period 1'!$AU$43</f>
        <v>0</v>
      </c>
      <c r="Q60">
        <f>'Option Period 1'!$AU$44</f>
        <v>0</v>
      </c>
      <c r="R60">
        <f>'Option Period 1'!$AU$45</f>
        <v>0</v>
      </c>
      <c r="S60">
        <f>'Option Period 1'!$AU$46</f>
        <v>0</v>
      </c>
      <c r="T60">
        <f>'Option Period 1'!$AU$47</f>
        <v>0</v>
      </c>
      <c r="U60">
        <f>'Option Period 1'!$AU$48</f>
        <v>0</v>
      </c>
      <c r="V60">
        <f>'Option Period 1'!$AU$49</f>
        <v>0</v>
      </c>
      <c r="W60">
        <f>'Option Period 1'!$AU$50</f>
        <v>0</v>
      </c>
      <c r="X60">
        <f>'Option Period 1'!$AU$51</f>
        <v>0</v>
      </c>
      <c r="Y60">
        <f>'Option Period 1'!$AU$52</f>
        <v>0</v>
      </c>
      <c r="Z60">
        <f>'Option Period 1'!$AU$53</f>
        <v>0</v>
      </c>
      <c r="AA60">
        <f>'Option Period 1'!$AU$54</f>
        <v>0</v>
      </c>
      <c r="AB60">
        <f>'Option Period 1'!$AU$55</f>
        <v>0</v>
      </c>
      <c r="AC60">
        <f>'Option Period 1'!$AU$56</f>
        <v>0</v>
      </c>
      <c r="AD60">
        <f>'Option Period 1'!$AU$57</f>
        <v>0</v>
      </c>
      <c r="AE60">
        <f>'Option Period 1'!$AU$58</f>
        <v>0</v>
      </c>
      <c r="AF60">
        <f>'Option Period 1'!$AU$59</f>
        <v>0</v>
      </c>
      <c r="AG60">
        <f>'Option Period 1'!$AU$60</f>
        <v>0</v>
      </c>
      <c r="AH60">
        <f>'Option Period 1'!$AU$61</f>
        <v>0</v>
      </c>
      <c r="AI60">
        <f>'Option Period 1'!$AU$62</f>
        <v>0</v>
      </c>
      <c r="AO60" s="159">
        <f>IF('Option Period 1'!$AU$66="",0,'Option Period 1'!$AU$66)</f>
        <v>0</v>
      </c>
      <c r="AP60" s="160">
        <f t="shared" si="1"/>
        <v>0</v>
      </c>
    </row>
    <row r="61" spans="2:42" x14ac:dyDescent="0.25">
      <c r="B61" t="str">
        <f>'Option Period 1'!$B$4:$D$4</f>
        <v>Option Period 1</v>
      </c>
      <c r="C61" t="str">
        <f>'Option Period 1'!$AW$29</f>
        <v>Enter Task # Here</v>
      </c>
      <c r="D61" t="str">
        <f>'Option Period 1'!$AW$30</f>
        <v>Enter Subtask # Here</v>
      </c>
      <c r="E61" s="14">
        <f>'Option Period 1'!$AX$154</f>
        <v>0</v>
      </c>
      <c r="F61">
        <f>'Option Period 1'!$AW$33</f>
        <v>0</v>
      </c>
      <c r="G61">
        <f>'Option Period 1'!$AW$34</f>
        <v>0</v>
      </c>
      <c r="H61">
        <f>'Option Period 1'!$AW$35</f>
        <v>0</v>
      </c>
      <c r="I61">
        <f>'Option Period 1'!$AW$36</f>
        <v>0</v>
      </c>
      <c r="J61">
        <f>'Option Period 1'!$AW$37</f>
        <v>0</v>
      </c>
      <c r="K61">
        <f>'Option Period 1'!$AW$38</f>
        <v>0</v>
      </c>
      <c r="L61">
        <f>'Option Period 1'!$AW$39</f>
        <v>0</v>
      </c>
      <c r="M61">
        <f>'Option Period 1'!$AW$40</f>
        <v>0</v>
      </c>
      <c r="N61">
        <f>'Option Period 1'!$AW$41</f>
        <v>0</v>
      </c>
      <c r="O61">
        <f>'Option Period 1'!$AW$42</f>
        <v>0</v>
      </c>
      <c r="P61">
        <f>'Option Period 1'!$AW$43</f>
        <v>0</v>
      </c>
      <c r="Q61">
        <f>'Option Period 1'!$AW$44</f>
        <v>0</v>
      </c>
      <c r="R61">
        <f>'Option Period 1'!$AW$45</f>
        <v>0</v>
      </c>
      <c r="S61">
        <f>'Option Period 1'!$AW$46</f>
        <v>0</v>
      </c>
      <c r="T61">
        <f>'Option Period 1'!$AW$47</f>
        <v>0</v>
      </c>
      <c r="U61">
        <f>'Option Period 1'!$AW$48</f>
        <v>0</v>
      </c>
      <c r="V61">
        <f>'Option Period 1'!$AW$49</f>
        <v>0</v>
      </c>
      <c r="W61">
        <f>'Option Period 1'!$AW$50</f>
        <v>0</v>
      </c>
      <c r="X61">
        <f>'Option Period 1'!$AW$51</f>
        <v>0</v>
      </c>
      <c r="Y61">
        <f>'Option Period 1'!$AW$52</f>
        <v>0</v>
      </c>
      <c r="Z61">
        <f>'Option Period 1'!$AW$53</f>
        <v>0</v>
      </c>
      <c r="AA61">
        <f>'Option Period 1'!$AW$54</f>
        <v>0</v>
      </c>
      <c r="AB61">
        <f>'Option Period 1'!$AW$55</f>
        <v>0</v>
      </c>
      <c r="AC61">
        <f>'Option Period 1'!$AW$56</f>
        <v>0</v>
      </c>
      <c r="AD61">
        <f>'Option Period 1'!$AW$57</f>
        <v>0</v>
      </c>
      <c r="AE61">
        <f>'Option Period 1'!$AW$58</f>
        <v>0</v>
      </c>
      <c r="AF61">
        <f>'Option Period 1'!$AW$59</f>
        <v>0</v>
      </c>
      <c r="AG61">
        <f>'Option Period 1'!$AW$60</f>
        <v>0</v>
      </c>
      <c r="AH61">
        <f>'Option Period 1'!$AW$61</f>
        <v>0</v>
      </c>
      <c r="AI61">
        <f>'Option Period 1'!$AW$62</f>
        <v>0</v>
      </c>
      <c r="AO61" s="159">
        <f>IF('Option Period 1'!$AW$66="",0,'Option Period 1'!$AW$66)</f>
        <v>0</v>
      </c>
      <c r="AP61" s="160">
        <f t="shared" si="1"/>
        <v>0</v>
      </c>
    </row>
    <row r="62" spans="2:42" x14ac:dyDescent="0.25">
      <c r="B62" t="str">
        <f>'Option Period 1'!$B$4:$D$4</f>
        <v>Option Period 1</v>
      </c>
      <c r="C62" t="str">
        <f>'Option Period 1'!$AY$29</f>
        <v>Enter Task # Here</v>
      </c>
      <c r="D62" t="str">
        <f>'Option Period 1'!$AY$30</f>
        <v>Enter Subtask # Here</v>
      </c>
      <c r="E62" s="14">
        <f>'Option Period 1'!$AZ$154</f>
        <v>0</v>
      </c>
      <c r="F62">
        <f>'Option Period 1'!$AY$33</f>
        <v>0</v>
      </c>
      <c r="G62">
        <f>'Option Period 1'!$AY$34</f>
        <v>0</v>
      </c>
      <c r="H62">
        <f>'Option Period 1'!$AY$35</f>
        <v>0</v>
      </c>
      <c r="I62">
        <f>'Option Period 1'!$AY$36</f>
        <v>0</v>
      </c>
      <c r="J62">
        <f>'Option Period 1'!$AY$37</f>
        <v>0</v>
      </c>
      <c r="K62">
        <f>'Option Period 1'!$AY$38</f>
        <v>0</v>
      </c>
      <c r="L62">
        <f>'Option Period 1'!$AY$39</f>
        <v>0</v>
      </c>
      <c r="M62">
        <f>'Option Period 1'!$AY$40</f>
        <v>0</v>
      </c>
      <c r="N62">
        <f>'Option Period 1'!$AY$41</f>
        <v>0</v>
      </c>
      <c r="O62">
        <f>'Option Period 1'!$AY$42</f>
        <v>0</v>
      </c>
      <c r="P62">
        <f>'Option Period 1'!$AY$43</f>
        <v>0</v>
      </c>
      <c r="Q62">
        <f>'Option Period 1'!$AY$44</f>
        <v>0</v>
      </c>
      <c r="R62">
        <f>'Option Period 1'!$AY$45</f>
        <v>0</v>
      </c>
      <c r="S62">
        <f>'Option Period 1'!$AY$46</f>
        <v>0</v>
      </c>
      <c r="T62">
        <f>'Option Period 1'!$AY$47</f>
        <v>0</v>
      </c>
      <c r="U62">
        <f>'Option Period 1'!$AY$48</f>
        <v>0</v>
      </c>
      <c r="V62">
        <f>'Option Period 1'!$AY$49</f>
        <v>0</v>
      </c>
      <c r="W62">
        <f>'Option Period 1'!$AY$50</f>
        <v>0</v>
      </c>
      <c r="X62">
        <f>'Option Period 1'!$AY$51</f>
        <v>0</v>
      </c>
      <c r="Y62">
        <f>'Option Period 1'!$AY$52</f>
        <v>0</v>
      </c>
      <c r="Z62">
        <f>'Option Period 1'!$AY$53</f>
        <v>0</v>
      </c>
      <c r="AA62">
        <f>'Option Period 1'!$AY$54</f>
        <v>0</v>
      </c>
      <c r="AB62">
        <f>'Option Period 1'!$AY$55</f>
        <v>0</v>
      </c>
      <c r="AC62">
        <f>'Option Period 1'!$AY$56</f>
        <v>0</v>
      </c>
      <c r="AD62">
        <f>'Option Period 1'!$AY$57</f>
        <v>0</v>
      </c>
      <c r="AE62">
        <f>'Option Period 1'!$AY$58</f>
        <v>0</v>
      </c>
      <c r="AF62">
        <f>'Option Period 1'!$AY$59</f>
        <v>0</v>
      </c>
      <c r="AG62">
        <f>'Option Period 1'!$AY$60</f>
        <v>0</v>
      </c>
      <c r="AH62">
        <f>'Option Period 1'!$AY$61</f>
        <v>0</v>
      </c>
      <c r="AI62">
        <f>'Option Period 1'!$AY$62</f>
        <v>0</v>
      </c>
      <c r="AO62" s="159">
        <f>IF('Option Period 1'!$AY$66="",0,'Option Period 1'!$AY$66)</f>
        <v>0</v>
      </c>
      <c r="AP62" s="160">
        <f t="shared" si="1"/>
        <v>0</v>
      </c>
    </row>
    <row r="63" spans="2:42" x14ac:dyDescent="0.25">
      <c r="B63" t="str">
        <f>'Option Period 1'!$B$4:$D$4</f>
        <v>Option Period 1</v>
      </c>
      <c r="C63" t="str">
        <f>'Option Period 1'!$BA$29</f>
        <v>Enter Task # Here</v>
      </c>
      <c r="D63" t="str">
        <f>'Option Period 1'!$BA$30</f>
        <v>Enter Subtask # Here</v>
      </c>
      <c r="E63" s="14">
        <f>'Option Period 1'!$BB$154</f>
        <v>0</v>
      </c>
      <c r="F63">
        <f>'Option Period 1'!$BA$33</f>
        <v>0</v>
      </c>
      <c r="G63">
        <f>'Option Period 1'!$BA$34</f>
        <v>0</v>
      </c>
      <c r="H63">
        <f>'Option Period 1'!$BA$35</f>
        <v>0</v>
      </c>
      <c r="I63">
        <f>'Option Period 1'!$BA$36</f>
        <v>0</v>
      </c>
      <c r="J63">
        <f>'Option Period 1'!$BA$37</f>
        <v>0</v>
      </c>
      <c r="K63">
        <f>'Option Period 1'!$BA$38</f>
        <v>0</v>
      </c>
      <c r="L63">
        <f>'Option Period 1'!$BA$39</f>
        <v>0</v>
      </c>
      <c r="M63">
        <f>'Option Period 1'!$BA$40</f>
        <v>0</v>
      </c>
      <c r="N63">
        <f>'Option Period 1'!$BA$41</f>
        <v>0</v>
      </c>
      <c r="O63">
        <f>'Option Period 1'!$BA$42</f>
        <v>0</v>
      </c>
      <c r="P63">
        <f>'Option Period 1'!$BA$43</f>
        <v>0</v>
      </c>
      <c r="Q63">
        <f>'Option Period 1'!$BA$44</f>
        <v>0</v>
      </c>
      <c r="R63">
        <f>'Option Period 1'!$BA$45</f>
        <v>0</v>
      </c>
      <c r="S63">
        <f>'Option Period 1'!$BA$46</f>
        <v>0</v>
      </c>
      <c r="T63">
        <f>'Option Period 1'!$BA$47</f>
        <v>0</v>
      </c>
      <c r="U63">
        <f>'Option Period 1'!$BA$48</f>
        <v>0</v>
      </c>
      <c r="V63">
        <f>'Option Period 1'!$BA$49</f>
        <v>0</v>
      </c>
      <c r="W63">
        <f>'Option Period 1'!$BA$50</f>
        <v>0</v>
      </c>
      <c r="X63">
        <f>'Option Period 1'!$BA$51</f>
        <v>0</v>
      </c>
      <c r="Y63">
        <f>'Option Period 1'!$BA$52</f>
        <v>0</v>
      </c>
      <c r="Z63">
        <f>'Option Period 1'!$BA$53</f>
        <v>0</v>
      </c>
      <c r="AA63">
        <f>'Option Period 1'!$BA$54</f>
        <v>0</v>
      </c>
      <c r="AB63">
        <f>'Option Period 1'!$BA$55</f>
        <v>0</v>
      </c>
      <c r="AC63">
        <f>'Option Period 1'!$BA$56</f>
        <v>0</v>
      </c>
      <c r="AD63">
        <f>'Option Period 1'!$BA$57</f>
        <v>0</v>
      </c>
      <c r="AE63">
        <f>'Option Period 1'!$BA$58</f>
        <v>0</v>
      </c>
      <c r="AF63">
        <f>'Option Period 1'!$BA$59</f>
        <v>0</v>
      </c>
      <c r="AG63">
        <f>'Option Period 1'!$BA$60</f>
        <v>0</v>
      </c>
      <c r="AH63">
        <f>'Option Period 1'!$BA$61</f>
        <v>0</v>
      </c>
      <c r="AI63">
        <f>'Option Period 1'!$BA$62</f>
        <v>0</v>
      </c>
      <c r="AO63" s="159">
        <f>IF('Option Period 1'!$BA$66="",0,'Option Period 1'!$BA$66)</f>
        <v>0</v>
      </c>
      <c r="AP63" s="160">
        <f t="shared" si="1"/>
        <v>0</v>
      </c>
    </row>
    <row r="64" spans="2:42" x14ac:dyDescent="0.25">
      <c r="B64" t="str">
        <f>'Option Period 1'!$B$4:$D$4</f>
        <v>Option Period 1</v>
      </c>
      <c r="C64" t="str">
        <f>'Option Period 1'!$BC$29</f>
        <v>Enter Task # Here</v>
      </c>
      <c r="D64" t="str">
        <f>'Option Period 1'!$BC$30</f>
        <v>Enter Subtask # Here</v>
      </c>
      <c r="E64" s="14">
        <f>'Option Period 1'!$BD$154</f>
        <v>0</v>
      </c>
      <c r="F64">
        <f>'Option Period 1'!$BC$33</f>
        <v>0</v>
      </c>
      <c r="G64">
        <f>'Option Period 1'!$BC$34</f>
        <v>0</v>
      </c>
      <c r="H64">
        <f>'Option Period 1'!$BC$35</f>
        <v>0</v>
      </c>
      <c r="I64">
        <f>'Option Period 1'!$BC$36</f>
        <v>0</v>
      </c>
      <c r="J64">
        <f>'Option Period 1'!$BC$37</f>
        <v>0</v>
      </c>
      <c r="K64">
        <f>'Option Period 1'!$BC$38</f>
        <v>0</v>
      </c>
      <c r="L64">
        <f>'Option Period 1'!$BC$39</f>
        <v>0</v>
      </c>
      <c r="M64">
        <f>'Option Period 1'!$BC$40</f>
        <v>0</v>
      </c>
      <c r="N64">
        <f>'Option Period 1'!$BC$41</f>
        <v>0</v>
      </c>
      <c r="O64">
        <f>'Option Period 1'!$BC$42</f>
        <v>0</v>
      </c>
      <c r="P64">
        <f>'Option Period 1'!$BC$43</f>
        <v>0</v>
      </c>
      <c r="Q64">
        <f>'Option Period 1'!$BC$44</f>
        <v>0</v>
      </c>
      <c r="R64">
        <f>'Option Period 1'!$BC$45</f>
        <v>0</v>
      </c>
      <c r="S64">
        <f>'Option Period 1'!$BC$46</f>
        <v>0</v>
      </c>
      <c r="T64">
        <f>'Option Period 1'!$BC$47</f>
        <v>0</v>
      </c>
      <c r="U64">
        <f>'Option Period 1'!$BC$48</f>
        <v>0</v>
      </c>
      <c r="V64">
        <f>'Option Period 1'!$BC$49</f>
        <v>0</v>
      </c>
      <c r="W64">
        <f>'Option Period 1'!$BC$50</f>
        <v>0</v>
      </c>
      <c r="X64">
        <f>'Option Period 1'!$BC$51</f>
        <v>0</v>
      </c>
      <c r="Y64">
        <f>'Option Period 1'!$BC$52</f>
        <v>0</v>
      </c>
      <c r="Z64">
        <f>'Option Period 1'!$BC$53</f>
        <v>0</v>
      </c>
      <c r="AA64">
        <f>'Option Period 1'!$BC$54</f>
        <v>0</v>
      </c>
      <c r="AB64">
        <f>'Option Period 1'!$BC$55</f>
        <v>0</v>
      </c>
      <c r="AC64">
        <f>'Option Period 1'!$BC$56</f>
        <v>0</v>
      </c>
      <c r="AD64">
        <f>'Option Period 1'!$BC$57</f>
        <v>0</v>
      </c>
      <c r="AE64">
        <f>'Option Period 1'!$BC$58</f>
        <v>0</v>
      </c>
      <c r="AF64">
        <f>'Option Period 1'!$BC$59</f>
        <v>0</v>
      </c>
      <c r="AG64">
        <f>'Option Period 1'!$BC$60</f>
        <v>0</v>
      </c>
      <c r="AH64">
        <f>'Option Period 1'!$BC$61</f>
        <v>0</v>
      </c>
      <c r="AI64">
        <f>'Option Period 1'!$BC$62</f>
        <v>0</v>
      </c>
      <c r="AO64" s="159">
        <f>IF('Option Period 1'!$BC$66="",0,'Option Period 1'!$BC$66)</f>
        <v>0</v>
      </c>
      <c r="AP64" s="160">
        <f t="shared" si="1"/>
        <v>0</v>
      </c>
    </row>
    <row r="65" spans="2:42" x14ac:dyDescent="0.25">
      <c r="B65" t="str">
        <f>'Option Period 1'!$B$4:$D$4</f>
        <v>Option Period 1</v>
      </c>
      <c r="C65" t="str">
        <f>'Option Period 1'!$BE$29</f>
        <v>Enter Task # Here</v>
      </c>
      <c r="D65" t="str">
        <f>'Option Period 1'!$BE$30</f>
        <v>Enter Subtask # Here</v>
      </c>
      <c r="E65" s="14">
        <f>'Option Period 1'!$BF$154</f>
        <v>0</v>
      </c>
      <c r="F65">
        <f>'Option Period 1'!$BE$33</f>
        <v>0</v>
      </c>
      <c r="G65">
        <f>'Option Period 1'!$BE$34</f>
        <v>0</v>
      </c>
      <c r="H65">
        <f>'Option Period 1'!$BE$35</f>
        <v>0</v>
      </c>
      <c r="I65">
        <f>'Option Period 1'!$BE$36</f>
        <v>0</v>
      </c>
      <c r="J65">
        <f>'Option Period 1'!$BE$37</f>
        <v>0</v>
      </c>
      <c r="K65">
        <f>'Option Period 1'!$BE$38</f>
        <v>0</v>
      </c>
      <c r="L65">
        <f>'Option Period 1'!$BE$39</f>
        <v>0</v>
      </c>
      <c r="M65">
        <f>'Option Period 1'!$BE$40</f>
        <v>0</v>
      </c>
      <c r="N65">
        <f>'Option Period 1'!$BE$41</f>
        <v>0</v>
      </c>
      <c r="O65">
        <f>'Option Period 1'!$BE$42</f>
        <v>0</v>
      </c>
      <c r="P65">
        <f>'Option Period 1'!$BE$43</f>
        <v>0</v>
      </c>
      <c r="Q65">
        <f>'Option Period 1'!$BE$44</f>
        <v>0</v>
      </c>
      <c r="R65">
        <f>'Option Period 1'!$BE$45</f>
        <v>0</v>
      </c>
      <c r="S65">
        <f>'Option Period 1'!$BE$46</f>
        <v>0</v>
      </c>
      <c r="T65">
        <f>'Option Period 1'!$BE$47</f>
        <v>0</v>
      </c>
      <c r="U65">
        <f>'Option Period 1'!$BE$48</f>
        <v>0</v>
      </c>
      <c r="V65">
        <f>'Option Period 1'!$BE$49</f>
        <v>0</v>
      </c>
      <c r="W65">
        <f>'Option Period 1'!$BE$50</f>
        <v>0</v>
      </c>
      <c r="X65">
        <f>'Option Period 1'!$BE$51</f>
        <v>0</v>
      </c>
      <c r="Y65">
        <f>'Option Period 1'!$BE$52</f>
        <v>0</v>
      </c>
      <c r="Z65">
        <f>'Option Period 1'!$BE$53</f>
        <v>0</v>
      </c>
      <c r="AA65">
        <f>'Option Period 1'!$BE$54</f>
        <v>0</v>
      </c>
      <c r="AB65">
        <f>'Option Period 1'!$BE$55</f>
        <v>0</v>
      </c>
      <c r="AC65">
        <f>'Option Period 1'!$BE$56</f>
        <v>0</v>
      </c>
      <c r="AD65">
        <f>'Option Period 1'!$BE$57</f>
        <v>0</v>
      </c>
      <c r="AE65">
        <f>'Option Period 1'!$BE$58</f>
        <v>0</v>
      </c>
      <c r="AF65">
        <f>'Option Period 1'!$BE$59</f>
        <v>0</v>
      </c>
      <c r="AG65">
        <f>'Option Period 1'!$BE$60</f>
        <v>0</v>
      </c>
      <c r="AH65">
        <f>'Option Period 1'!$BE$61</f>
        <v>0</v>
      </c>
      <c r="AI65">
        <f>'Option Period 1'!$BE$62</f>
        <v>0</v>
      </c>
      <c r="AO65" s="159">
        <f>IF('Option Period 1'!$BE$66="",0,'Option Period 1'!$BE$66)</f>
        <v>0</v>
      </c>
      <c r="AP65" s="160">
        <f t="shared" si="1"/>
        <v>0</v>
      </c>
    </row>
    <row r="66" spans="2:42" x14ac:dyDescent="0.25">
      <c r="B66" t="str">
        <f>'Option Period 1'!$B$4:$D$4</f>
        <v>Option Period 1</v>
      </c>
      <c r="C66" t="str">
        <f>'Option Period 1'!$BG$29</f>
        <v>Enter Task # Here</v>
      </c>
      <c r="D66" t="str">
        <f>'Option Period 1'!$BG$30</f>
        <v>Enter Subtask # Here</v>
      </c>
      <c r="E66" s="14">
        <f>'Option Period 1'!$BH$154</f>
        <v>0</v>
      </c>
      <c r="F66">
        <f>'Option Period 1'!$BG$33</f>
        <v>0</v>
      </c>
      <c r="G66">
        <f>'Option Period 1'!$BG$34</f>
        <v>0</v>
      </c>
      <c r="H66">
        <f>'Option Period 1'!$BG$35</f>
        <v>0</v>
      </c>
      <c r="I66">
        <f>'Option Period 1'!$BG$36</f>
        <v>0</v>
      </c>
      <c r="J66">
        <f>'Option Period 1'!$BG$37</f>
        <v>0</v>
      </c>
      <c r="K66">
        <f>'Option Period 1'!$BG$38</f>
        <v>0</v>
      </c>
      <c r="L66">
        <f>'Option Period 1'!$BG$39</f>
        <v>0</v>
      </c>
      <c r="M66">
        <f>'Option Period 1'!$BG$40</f>
        <v>0</v>
      </c>
      <c r="N66">
        <f>'Option Period 1'!$BG$41</f>
        <v>0</v>
      </c>
      <c r="O66">
        <f>'Option Period 1'!$BG$42</f>
        <v>0</v>
      </c>
      <c r="P66">
        <f>'Option Period 1'!$BG$43</f>
        <v>0</v>
      </c>
      <c r="Q66">
        <f>'Option Period 1'!$BG$44</f>
        <v>0</v>
      </c>
      <c r="R66">
        <f>'Option Period 1'!$BG$45</f>
        <v>0</v>
      </c>
      <c r="S66">
        <f>'Option Period 1'!$BG$46</f>
        <v>0</v>
      </c>
      <c r="T66">
        <f>'Option Period 1'!$BG$47</f>
        <v>0</v>
      </c>
      <c r="U66">
        <f>'Option Period 1'!$BG$48</f>
        <v>0</v>
      </c>
      <c r="V66">
        <f>'Option Period 1'!$BG$49</f>
        <v>0</v>
      </c>
      <c r="W66">
        <f>'Option Period 1'!$BG$50</f>
        <v>0</v>
      </c>
      <c r="X66">
        <f>'Option Period 1'!$BG$51</f>
        <v>0</v>
      </c>
      <c r="Y66">
        <f>'Option Period 1'!$BG$52</f>
        <v>0</v>
      </c>
      <c r="Z66">
        <f>'Option Period 1'!$BG$53</f>
        <v>0</v>
      </c>
      <c r="AA66">
        <f>'Option Period 1'!$BG$54</f>
        <v>0</v>
      </c>
      <c r="AB66">
        <f>'Option Period 1'!$BG$55</f>
        <v>0</v>
      </c>
      <c r="AC66">
        <f>'Option Period 1'!$BG$56</f>
        <v>0</v>
      </c>
      <c r="AD66">
        <f>'Option Period 1'!$BG$57</f>
        <v>0</v>
      </c>
      <c r="AE66">
        <f>'Option Period 1'!$BG$58</f>
        <v>0</v>
      </c>
      <c r="AF66">
        <f>'Option Period 1'!$BG$59</f>
        <v>0</v>
      </c>
      <c r="AG66">
        <f>'Option Period 1'!$BG$60</f>
        <v>0</v>
      </c>
      <c r="AH66">
        <f>'Option Period 1'!$BG$61</f>
        <v>0</v>
      </c>
      <c r="AI66">
        <f>'Option Period 1'!$BG$62</f>
        <v>0</v>
      </c>
      <c r="AO66" s="159">
        <f>IF('Option Period 1'!$BG$66="",0,'Option Period 1'!$BG$66)</f>
        <v>0</v>
      </c>
      <c r="AP66" s="160">
        <f t="shared" si="1"/>
        <v>0</v>
      </c>
    </row>
    <row r="67" spans="2:42" x14ac:dyDescent="0.25">
      <c r="B67" t="str">
        <f>'Option Period 1'!$B$4:$D$4</f>
        <v>Option Period 1</v>
      </c>
      <c r="C67" t="str">
        <f>'Option Period 1'!$BI$29</f>
        <v>Enter Task # Here</v>
      </c>
      <c r="D67" t="str">
        <f>'Option Period 1'!$BI$30</f>
        <v>Enter Subtask # Here</v>
      </c>
      <c r="E67" s="14">
        <f>'Option Period 1'!$BJ$154</f>
        <v>0</v>
      </c>
      <c r="F67">
        <f>'Option Period 1'!$BI$33</f>
        <v>0</v>
      </c>
      <c r="G67">
        <f>'Option Period 1'!$BI$34</f>
        <v>0</v>
      </c>
      <c r="H67">
        <f>'Option Period 1'!$BI$35</f>
        <v>0</v>
      </c>
      <c r="I67">
        <f>'Option Period 1'!$BI$36</f>
        <v>0</v>
      </c>
      <c r="J67">
        <f>'Option Period 1'!$BI$37</f>
        <v>0</v>
      </c>
      <c r="K67">
        <f>'Option Period 1'!$BI$38</f>
        <v>0</v>
      </c>
      <c r="L67">
        <f>'Option Period 1'!$BI$39</f>
        <v>0</v>
      </c>
      <c r="M67">
        <f>'Option Period 1'!$BI$40</f>
        <v>0</v>
      </c>
      <c r="N67">
        <f>'Option Period 1'!$BI$41</f>
        <v>0</v>
      </c>
      <c r="O67">
        <f>'Option Period 1'!$BI$42</f>
        <v>0</v>
      </c>
      <c r="P67">
        <f>'Option Period 1'!$BI$43</f>
        <v>0</v>
      </c>
      <c r="Q67">
        <f>'Option Period 1'!$BI$44</f>
        <v>0</v>
      </c>
      <c r="R67">
        <f>'Option Period 1'!$BI$45</f>
        <v>0</v>
      </c>
      <c r="S67">
        <f>'Option Period 1'!$BI$46</f>
        <v>0</v>
      </c>
      <c r="T67">
        <f>'Option Period 1'!$BI$47</f>
        <v>0</v>
      </c>
      <c r="U67">
        <f>'Option Period 1'!$BI$48</f>
        <v>0</v>
      </c>
      <c r="V67">
        <f>'Option Period 1'!$BI$49</f>
        <v>0</v>
      </c>
      <c r="W67">
        <f>'Option Period 1'!$BI$50</f>
        <v>0</v>
      </c>
      <c r="X67">
        <f>'Option Period 1'!$BI$51</f>
        <v>0</v>
      </c>
      <c r="Y67">
        <f>'Option Period 1'!$BI$52</f>
        <v>0</v>
      </c>
      <c r="Z67">
        <f>'Option Period 1'!$BI$53</f>
        <v>0</v>
      </c>
      <c r="AA67">
        <f>'Option Period 1'!$BI$54</f>
        <v>0</v>
      </c>
      <c r="AB67">
        <f>'Option Period 1'!$BI$55</f>
        <v>0</v>
      </c>
      <c r="AC67">
        <f>'Option Period 1'!$BI$56</f>
        <v>0</v>
      </c>
      <c r="AD67">
        <f>'Option Period 1'!$BI$57</f>
        <v>0</v>
      </c>
      <c r="AE67">
        <f>'Option Period 1'!$BI$58</f>
        <v>0</v>
      </c>
      <c r="AF67">
        <f>'Option Period 1'!$BI$59</f>
        <v>0</v>
      </c>
      <c r="AG67">
        <f>'Option Period 1'!$BI$60</f>
        <v>0</v>
      </c>
      <c r="AH67">
        <f>'Option Period 1'!$BI$61</f>
        <v>0</v>
      </c>
      <c r="AI67">
        <f>'Option Period 1'!$BI$62</f>
        <v>0</v>
      </c>
      <c r="AO67" s="159">
        <f>IF('Option Period 1'!$BI$66="",0,'Option Period 1'!$BI$66)</f>
        <v>0</v>
      </c>
      <c r="AP67" s="160">
        <f t="shared" si="1"/>
        <v>0</v>
      </c>
    </row>
    <row r="68" spans="2:42" x14ac:dyDescent="0.25">
      <c r="B68" t="str">
        <f>'Option Period 1'!$B$4:$D$4</f>
        <v>Option Period 1</v>
      </c>
      <c r="C68" t="str">
        <f>'Option Period 1'!$BK$29</f>
        <v>Enter Task # Here</v>
      </c>
      <c r="D68" t="str">
        <f>'Option Period 1'!$BK$30</f>
        <v>Enter Subtask # Here</v>
      </c>
      <c r="E68" s="14">
        <f>'Option Period 1'!$BL$154</f>
        <v>0</v>
      </c>
      <c r="F68">
        <f>'Option Period 1'!$BK$33</f>
        <v>0</v>
      </c>
      <c r="G68">
        <f>'Option Period 1'!$BK$34</f>
        <v>0</v>
      </c>
      <c r="H68">
        <f>'Option Period 1'!$BK$35</f>
        <v>0</v>
      </c>
      <c r="I68">
        <f>'Option Period 1'!$BK$36</f>
        <v>0</v>
      </c>
      <c r="J68">
        <f>'Option Period 1'!$BK$37</f>
        <v>0</v>
      </c>
      <c r="K68">
        <f>'Option Period 1'!$BK$38</f>
        <v>0</v>
      </c>
      <c r="L68">
        <f>'Option Period 1'!$BK$39</f>
        <v>0</v>
      </c>
      <c r="M68">
        <f>'Option Period 1'!$BK$40</f>
        <v>0</v>
      </c>
      <c r="N68">
        <f>'Option Period 1'!$BK$41</f>
        <v>0</v>
      </c>
      <c r="O68">
        <f>'Option Period 1'!$BK$42</f>
        <v>0</v>
      </c>
      <c r="P68">
        <f>'Option Period 1'!$BK$43</f>
        <v>0</v>
      </c>
      <c r="Q68">
        <f>'Option Period 1'!$BK$44</f>
        <v>0</v>
      </c>
      <c r="R68">
        <f>'Option Period 1'!$BK$45</f>
        <v>0</v>
      </c>
      <c r="S68">
        <f>'Option Period 1'!$BK$46</f>
        <v>0</v>
      </c>
      <c r="T68">
        <f>'Option Period 1'!$BK$47</f>
        <v>0</v>
      </c>
      <c r="U68">
        <f>'Option Period 1'!$BK$48</f>
        <v>0</v>
      </c>
      <c r="V68">
        <f>'Option Period 1'!$BK$49</f>
        <v>0</v>
      </c>
      <c r="W68">
        <f>'Option Period 1'!$BK$50</f>
        <v>0</v>
      </c>
      <c r="X68">
        <f>'Option Period 1'!$BK$51</f>
        <v>0</v>
      </c>
      <c r="Y68">
        <f>'Option Period 1'!$BK$52</f>
        <v>0</v>
      </c>
      <c r="Z68">
        <f>'Option Period 1'!$BK$53</f>
        <v>0</v>
      </c>
      <c r="AA68">
        <f>'Option Period 1'!$BK$54</f>
        <v>0</v>
      </c>
      <c r="AB68">
        <f>'Option Period 1'!$BK$55</f>
        <v>0</v>
      </c>
      <c r="AC68">
        <f>'Option Period 1'!$BK$56</f>
        <v>0</v>
      </c>
      <c r="AD68">
        <f>'Option Period 1'!$BK$57</f>
        <v>0</v>
      </c>
      <c r="AE68">
        <f>'Option Period 1'!$BK$58</f>
        <v>0</v>
      </c>
      <c r="AF68">
        <f>'Option Period 1'!$BK$59</f>
        <v>0</v>
      </c>
      <c r="AG68">
        <f>'Option Period 1'!$BK$60</f>
        <v>0</v>
      </c>
      <c r="AH68">
        <f>'Option Period 1'!$BK$61</f>
        <v>0</v>
      </c>
      <c r="AI68">
        <f>'Option Period 1'!$BK$62</f>
        <v>0</v>
      </c>
      <c r="AO68" s="159">
        <f>IF('Option Period 1'!$BK$66="",0,'Option Period 1'!$BK$66)</f>
        <v>0</v>
      </c>
      <c r="AP68" s="160">
        <f t="shared" si="1"/>
        <v>0</v>
      </c>
    </row>
    <row r="69" spans="2:42" x14ac:dyDescent="0.25">
      <c r="AP69" s="160"/>
    </row>
    <row r="70" spans="2:42" x14ac:dyDescent="0.25">
      <c r="AP70" s="160"/>
    </row>
    <row r="71" spans="2:42" x14ac:dyDescent="0.25">
      <c r="AP71" s="161"/>
    </row>
    <row r="72" spans="2:42" x14ac:dyDescent="0.25">
      <c r="AP72" s="161"/>
    </row>
    <row r="73" spans="2:42" x14ac:dyDescent="0.25">
      <c r="B73" t="e">
        <f>#REF!</f>
        <v>#REF!</v>
      </c>
      <c r="C73" t="e">
        <f>#REF!</f>
        <v>#REF!</v>
      </c>
      <c r="D73" t="e">
        <f>#REF!</f>
        <v>#REF!</v>
      </c>
      <c r="E73" s="14" t="e">
        <f>#REF!</f>
        <v>#REF!</v>
      </c>
      <c r="F73" t="e">
        <f>#REF!</f>
        <v>#REF!</v>
      </c>
      <c r="G73" t="e">
        <f>#REF!</f>
        <v>#REF!</v>
      </c>
      <c r="H73" t="e">
        <f>#REF!</f>
        <v>#REF!</v>
      </c>
      <c r="I73" t="e">
        <f>#REF!</f>
        <v>#REF!</v>
      </c>
      <c r="J73" t="e">
        <f>#REF!</f>
        <v>#REF!</v>
      </c>
      <c r="K73" t="e">
        <f>#REF!</f>
        <v>#REF!</v>
      </c>
      <c r="L73" t="e">
        <f>#REF!</f>
        <v>#REF!</v>
      </c>
      <c r="M73" t="e">
        <f>#REF!</f>
        <v>#REF!</v>
      </c>
      <c r="N73" t="e">
        <f>#REF!</f>
        <v>#REF!</v>
      </c>
      <c r="O73" t="e">
        <f>#REF!</f>
        <v>#REF!</v>
      </c>
      <c r="P73" t="e">
        <f>#REF!</f>
        <v>#REF!</v>
      </c>
      <c r="Q73" t="e">
        <f>#REF!</f>
        <v>#REF!</v>
      </c>
      <c r="R73" t="e">
        <f>#REF!</f>
        <v>#REF!</v>
      </c>
      <c r="S73" t="e">
        <f>#REF!</f>
        <v>#REF!</v>
      </c>
      <c r="T73" t="e">
        <f>#REF!</f>
        <v>#REF!</v>
      </c>
      <c r="U73" t="e">
        <f>#REF!</f>
        <v>#REF!</v>
      </c>
      <c r="V73" t="e">
        <f>#REF!</f>
        <v>#REF!</v>
      </c>
      <c r="W73" t="e">
        <f>#REF!</f>
        <v>#REF!</v>
      </c>
      <c r="X73" t="e">
        <f>#REF!</f>
        <v>#REF!</v>
      </c>
      <c r="Y73" t="e">
        <f>#REF!</f>
        <v>#REF!</v>
      </c>
      <c r="Z73" t="e">
        <f>#REF!</f>
        <v>#REF!</v>
      </c>
      <c r="AA73" t="e">
        <f>#REF!</f>
        <v>#REF!</v>
      </c>
      <c r="AB73" t="e">
        <f>#REF!</f>
        <v>#REF!</v>
      </c>
      <c r="AC73" t="e">
        <f>#REF!</f>
        <v>#REF!</v>
      </c>
      <c r="AD73" t="e">
        <f>#REF!</f>
        <v>#REF!</v>
      </c>
      <c r="AE73" t="e">
        <f>#REF!</f>
        <v>#REF!</v>
      </c>
      <c r="AF73" t="e">
        <f>#REF!</f>
        <v>#REF!</v>
      </c>
      <c r="AG73" t="e">
        <f>#REF!</f>
        <v>#REF!</v>
      </c>
      <c r="AH73" t="e">
        <f>#REF!</f>
        <v>#REF!</v>
      </c>
      <c r="AI73" t="e">
        <f>#REF!</f>
        <v>#REF!</v>
      </c>
      <c r="AO73" s="159" t="e">
        <f>IF(#REF!="",0,#REF!)</f>
        <v>#REF!</v>
      </c>
      <c r="AP73" s="160" t="e">
        <f t="shared" ref="AP73:AP102" si="2">SUM(F73:AI73)-AO73</f>
        <v>#REF!</v>
      </c>
    </row>
    <row r="74" spans="2:42" x14ac:dyDescent="0.25">
      <c r="B74" t="e">
        <f>#REF!</f>
        <v>#REF!</v>
      </c>
      <c r="C74" t="e">
        <f>#REF!</f>
        <v>#REF!</v>
      </c>
      <c r="D74" t="e">
        <f>#REF!</f>
        <v>#REF!</v>
      </c>
      <c r="E74" s="14" t="e">
        <f>#REF!</f>
        <v>#REF!</v>
      </c>
      <c r="F74" t="e">
        <f>#REF!</f>
        <v>#REF!</v>
      </c>
      <c r="G74" t="e">
        <f>#REF!</f>
        <v>#REF!</v>
      </c>
      <c r="H74" t="e">
        <f>#REF!</f>
        <v>#REF!</v>
      </c>
      <c r="I74" t="e">
        <f>#REF!</f>
        <v>#REF!</v>
      </c>
      <c r="J74" t="e">
        <f>#REF!</f>
        <v>#REF!</v>
      </c>
      <c r="K74" t="e">
        <f>#REF!</f>
        <v>#REF!</v>
      </c>
      <c r="L74" t="e">
        <f>#REF!</f>
        <v>#REF!</v>
      </c>
      <c r="M74" t="e">
        <f>#REF!</f>
        <v>#REF!</v>
      </c>
      <c r="N74" t="e">
        <f>#REF!</f>
        <v>#REF!</v>
      </c>
      <c r="O74" t="e">
        <f>#REF!</f>
        <v>#REF!</v>
      </c>
      <c r="P74" t="e">
        <f>#REF!</f>
        <v>#REF!</v>
      </c>
      <c r="Q74" t="e">
        <f>#REF!</f>
        <v>#REF!</v>
      </c>
      <c r="R74" t="e">
        <f>#REF!</f>
        <v>#REF!</v>
      </c>
      <c r="S74" t="e">
        <f>#REF!</f>
        <v>#REF!</v>
      </c>
      <c r="T74" t="e">
        <f>#REF!</f>
        <v>#REF!</v>
      </c>
      <c r="U74" t="e">
        <f>#REF!</f>
        <v>#REF!</v>
      </c>
      <c r="V74" t="e">
        <f>#REF!</f>
        <v>#REF!</v>
      </c>
      <c r="W74" t="e">
        <f>#REF!</f>
        <v>#REF!</v>
      </c>
      <c r="X74" t="e">
        <f>#REF!</f>
        <v>#REF!</v>
      </c>
      <c r="Y74" t="e">
        <f>#REF!</f>
        <v>#REF!</v>
      </c>
      <c r="Z74" t="e">
        <f>#REF!</f>
        <v>#REF!</v>
      </c>
      <c r="AA74" t="e">
        <f>#REF!</f>
        <v>#REF!</v>
      </c>
      <c r="AB74" t="e">
        <f>#REF!</f>
        <v>#REF!</v>
      </c>
      <c r="AC74" t="e">
        <f>#REF!</f>
        <v>#REF!</v>
      </c>
      <c r="AD74" t="e">
        <f>#REF!</f>
        <v>#REF!</v>
      </c>
      <c r="AE74" t="e">
        <f>#REF!</f>
        <v>#REF!</v>
      </c>
      <c r="AF74" t="e">
        <f>#REF!</f>
        <v>#REF!</v>
      </c>
      <c r="AG74" t="e">
        <f>#REF!</f>
        <v>#REF!</v>
      </c>
      <c r="AH74" t="e">
        <f>#REF!</f>
        <v>#REF!</v>
      </c>
      <c r="AI74" t="e">
        <f>#REF!</f>
        <v>#REF!</v>
      </c>
      <c r="AO74" s="159" t="e">
        <f>IF(#REF!="",0,#REF!)</f>
        <v>#REF!</v>
      </c>
      <c r="AP74" s="160" t="e">
        <f t="shared" si="2"/>
        <v>#REF!</v>
      </c>
    </row>
    <row r="75" spans="2:42" x14ac:dyDescent="0.25">
      <c r="B75" t="e">
        <f>#REF!</f>
        <v>#REF!</v>
      </c>
      <c r="C75" t="e">
        <f>#REF!</f>
        <v>#REF!</v>
      </c>
      <c r="D75" t="e">
        <f>#REF!</f>
        <v>#REF!</v>
      </c>
      <c r="E75" s="14" t="e">
        <f>#REF!</f>
        <v>#REF!</v>
      </c>
      <c r="F75" t="e">
        <f>#REF!</f>
        <v>#REF!</v>
      </c>
      <c r="G75" t="e">
        <f>#REF!</f>
        <v>#REF!</v>
      </c>
      <c r="H75" t="e">
        <f>#REF!</f>
        <v>#REF!</v>
      </c>
      <c r="I75" t="e">
        <f>#REF!</f>
        <v>#REF!</v>
      </c>
      <c r="J75" t="e">
        <f>#REF!</f>
        <v>#REF!</v>
      </c>
      <c r="K75" t="e">
        <f>#REF!</f>
        <v>#REF!</v>
      </c>
      <c r="L75" t="e">
        <f>#REF!</f>
        <v>#REF!</v>
      </c>
      <c r="M75" t="e">
        <f>#REF!</f>
        <v>#REF!</v>
      </c>
      <c r="N75" t="e">
        <f>#REF!</f>
        <v>#REF!</v>
      </c>
      <c r="O75" t="e">
        <f>#REF!</f>
        <v>#REF!</v>
      </c>
      <c r="P75" t="e">
        <f>#REF!</f>
        <v>#REF!</v>
      </c>
      <c r="Q75" t="e">
        <f>#REF!</f>
        <v>#REF!</v>
      </c>
      <c r="R75" t="e">
        <f>#REF!</f>
        <v>#REF!</v>
      </c>
      <c r="S75" t="e">
        <f>#REF!</f>
        <v>#REF!</v>
      </c>
      <c r="T75" t="e">
        <f>#REF!</f>
        <v>#REF!</v>
      </c>
      <c r="U75" t="e">
        <f>#REF!</f>
        <v>#REF!</v>
      </c>
      <c r="V75" t="e">
        <f>#REF!</f>
        <v>#REF!</v>
      </c>
      <c r="W75" t="e">
        <f>#REF!</f>
        <v>#REF!</v>
      </c>
      <c r="X75" t="e">
        <f>#REF!</f>
        <v>#REF!</v>
      </c>
      <c r="Y75" t="e">
        <f>#REF!</f>
        <v>#REF!</v>
      </c>
      <c r="Z75" t="e">
        <f>#REF!</f>
        <v>#REF!</v>
      </c>
      <c r="AA75" t="e">
        <f>#REF!</f>
        <v>#REF!</v>
      </c>
      <c r="AB75" t="e">
        <f>#REF!</f>
        <v>#REF!</v>
      </c>
      <c r="AC75" t="e">
        <f>#REF!</f>
        <v>#REF!</v>
      </c>
      <c r="AD75" t="e">
        <f>#REF!</f>
        <v>#REF!</v>
      </c>
      <c r="AE75" t="e">
        <f>#REF!</f>
        <v>#REF!</v>
      </c>
      <c r="AF75" t="e">
        <f>#REF!</f>
        <v>#REF!</v>
      </c>
      <c r="AG75" t="e">
        <f>#REF!</f>
        <v>#REF!</v>
      </c>
      <c r="AH75" t="e">
        <f>#REF!</f>
        <v>#REF!</v>
      </c>
      <c r="AI75" t="e">
        <f>#REF!</f>
        <v>#REF!</v>
      </c>
      <c r="AO75" s="159" t="e">
        <f>IF(#REF!="",0,#REF!)</f>
        <v>#REF!</v>
      </c>
      <c r="AP75" s="160" t="e">
        <f t="shared" si="2"/>
        <v>#REF!</v>
      </c>
    </row>
    <row r="76" spans="2:42" x14ac:dyDescent="0.25">
      <c r="B76" t="e">
        <f>#REF!</f>
        <v>#REF!</v>
      </c>
      <c r="C76" t="e">
        <f>#REF!</f>
        <v>#REF!</v>
      </c>
      <c r="D76" t="e">
        <f>#REF!</f>
        <v>#REF!</v>
      </c>
      <c r="E76" s="14" t="e">
        <f>#REF!</f>
        <v>#REF!</v>
      </c>
      <c r="F76" t="e">
        <f>#REF!</f>
        <v>#REF!</v>
      </c>
      <c r="G76" t="e">
        <f>#REF!</f>
        <v>#REF!</v>
      </c>
      <c r="H76" t="e">
        <f>#REF!</f>
        <v>#REF!</v>
      </c>
      <c r="I76" t="e">
        <f>#REF!</f>
        <v>#REF!</v>
      </c>
      <c r="J76" t="e">
        <f>#REF!</f>
        <v>#REF!</v>
      </c>
      <c r="K76" t="e">
        <f>#REF!</f>
        <v>#REF!</v>
      </c>
      <c r="L76" t="e">
        <f>#REF!</f>
        <v>#REF!</v>
      </c>
      <c r="M76" t="e">
        <f>#REF!</f>
        <v>#REF!</v>
      </c>
      <c r="N76" t="e">
        <f>#REF!</f>
        <v>#REF!</v>
      </c>
      <c r="O76" t="e">
        <f>#REF!</f>
        <v>#REF!</v>
      </c>
      <c r="P76" t="e">
        <f>#REF!</f>
        <v>#REF!</v>
      </c>
      <c r="Q76" t="e">
        <f>#REF!</f>
        <v>#REF!</v>
      </c>
      <c r="R76" t="e">
        <f>#REF!</f>
        <v>#REF!</v>
      </c>
      <c r="S76" t="e">
        <f>#REF!</f>
        <v>#REF!</v>
      </c>
      <c r="T76" t="e">
        <f>#REF!</f>
        <v>#REF!</v>
      </c>
      <c r="U76" t="e">
        <f>#REF!</f>
        <v>#REF!</v>
      </c>
      <c r="V76" t="e">
        <f>#REF!</f>
        <v>#REF!</v>
      </c>
      <c r="W76" t="e">
        <f>#REF!</f>
        <v>#REF!</v>
      </c>
      <c r="X76" t="e">
        <f>#REF!</f>
        <v>#REF!</v>
      </c>
      <c r="Y76" t="e">
        <f>#REF!</f>
        <v>#REF!</v>
      </c>
      <c r="Z76" t="e">
        <f>#REF!</f>
        <v>#REF!</v>
      </c>
      <c r="AA76" t="e">
        <f>#REF!</f>
        <v>#REF!</v>
      </c>
      <c r="AB76" t="e">
        <f>#REF!</f>
        <v>#REF!</v>
      </c>
      <c r="AC76" t="e">
        <f>#REF!</f>
        <v>#REF!</v>
      </c>
      <c r="AD76" t="e">
        <f>#REF!</f>
        <v>#REF!</v>
      </c>
      <c r="AE76" t="e">
        <f>#REF!</f>
        <v>#REF!</v>
      </c>
      <c r="AF76" t="e">
        <f>#REF!</f>
        <v>#REF!</v>
      </c>
      <c r="AG76" t="e">
        <f>#REF!</f>
        <v>#REF!</v>
      </c>
      <c r="AH76" t="e">
        <f>#REF!</f>
        <v>#REF!</v>
      </c>
      <c r="AI76" t="e">
        <f>#REF!</f>
        <v>#REF!</v>
      </c>
      <c r="AO76" s="159" t="e">
        <f>IF(#REF!="",0,#REF!)</f>
        <v>#REF!</v>
      </c>
      <c r="AP76" s="160" t="e">
        <f t="shared" si="2"/>
        <v>#REF!</v>
      </c>
    </row>
    <row r="77" spans="2:42" x14ac:dyDescent="0.25">
      <c r="B77" t="e">
        <f>#REF!</f>
        <v>#REF!</v>
      </c>
      <c r="C77" t="e">
        <f>#REF!</f>
        <v>#REF!</v>
      </c>
      <c r="D77" t="e">
        <f>#REF!</f>
        <v>#REF!</v>
      </c>
      <c r="E77" s="14" t="e">
        <f>#REF!</f>
        <v>#REF!</v>
      </c>
      <c r="F77" t="e">
        <f>#REF!</f>
        <v>#REF!</v>
      </c>
      <c r="G77" t="e">
        <f>#REF!</f>
        <v>#REF!</v>
      </c>
      <c r="H77" t="e">
        <f>#REF!</f>
        <v>#REF!</v>
      </c>
      <c r="I77" t="e">
        <f>#REF!</f>
        <v>#REF!</v>
      </c>
      <c r="J77" t="e">
        <f>#REF!</f>
        <v>#REF!</v>
      </c>
      <c r="K77" t="e">
        <f>#REF!</f>
        <v>#REF!</v>
      </c>
      <c r="L77" t="e">
        <f>#REF!</f>
        <v>#REF!</v>
      </c>
      <c r="M77" t="e">
        <f>#REF!</f>
        <v>#REF!</v>
      </c>
      <c r="N77" t="e">
        <f>#REF!</f>
        <v>#REF!</v>
      </c>
      <c r="O77" t="e">
        <f>#REF!</f>
        <v>#REF!</v>
      </c>
      <c r="P77" t="e">
        <f>#REF!</f>
        <v>#REF!</v>
      </c>
      <c r="Q77" t="e">
        <f>#REF!</f>
        <v>#REF!</v>
      </c>
      <c r="R77" t="e">
        <f>#REF!</f>
        <v>#REF!</v>
      </c>
      <c r="S77" t="e">
        <f>#REF!</f>
        <v>#REF!</v>
      </c>
      <c r="T77" t="e">
        <f>#REF!</f>
        <v>#REF!</v>
      </c>
      <c r="U77" t="e">
        <f>#REF!</f>
        <v>#REF!</v>
      </c>
      <c r="V77" t="e">
        <f>#REF!</f>
        <v>#REF!</v>
      </c>
      <c r="W77" t="e">
        <f>#REF!</f>
        <v>#REF!</v>
      </c>
      <c r="X77" t="e">
        <f>#REF!</f>
        <v>#REF!</v>
      </c>
      <c r="Y77" t="e">
        <f>#REF!</f>
        <v>#REF!</v>
      </c>
      <c r="Z77" t="e">
        <f>#REF!</f>
        <v>#REF!</v>
      </c>
      <c r="AA77" t="e">
        <f>#REF!</f>
        <v>#REF!</v>
      </c>
      <c r="AB77" t="e">
        <f>#REF!</f>
        <v>#REF!</v>
      </c>
      <c r="AC77" t="e">
        <f>#REF!</f>
        <v>#REF!</v>
      </c>
      <c r="AD77" t="e">
        <f>#REF!</f>
        <v>#REF!</v>
      </c>
      <c r="AE77" t="e">
        <f>#REF!</f>
        <v>#REF!</v>
      </c>
      <c r="AF77" t="e">
        <f>#REF!</f>
        <v>#REF!</v>
      </c>
      <c r="AG77" t="e">
        <f>#REF!</f>
        <v>#REF!</v>
      </c>
      <c r="AH77" t="e">
        <f>#REF!</f>
        <v>#REF!</v>
      </c>
      <c r="AI77" t="e">
        <f>#REF!</f>
        <v>#REF!</v>
      </c>
      <c r="AO77" s="159" t="e">
        <f>IF(#REF!="",0,#REF!)</f>
        <v>#REF!</v>
      </c>
      <c r="AP77" s="160" t="e">
        <f t="shared" si="2"/>
        <v>#REF!</v>
      </c>
    </row>
    <row r="78" spans="2:42" x14ac:dyDescent="0.25">
      <c r="B78" t="e">
        <f>#REF!</f>
        <v>#REF!</v>
      </c>
      <c r="C78" t="e">
        <f>#REF!</f>
        <v>#REF!</v>
      </c>
      <c r="D78" t="e">
        <f>#REF!</f>
        <v>#REF!</v>
      </c>
      <c r="E78" s="14" t="e">
        <f>#REF!</f>
        <v>#REF!</v>
      </c>
      <c r="F78" t="e">
        <f>#REF!</f>
        <v>#REF!</v>
      </c>
      <c r="G78" t="e">
        <f>#REF!</f>
        <v>#REF!</v>
      </c>
      <c r="H78" t="e">
        <f>#REF!</f>
        <v>#REF!</v>
      </c>
      <c r="I78" t="e">
        <f>#REF!</f>
        <v>#REF!</v>
      </c>
      <c r="J78" t="e">
        <f>#REF!</f>
        <v>#REF!</v>
      </c>
      <c r="K78" t="e">
        <f>#REF!</f>
        <v>#REF!</v>
      </c>
      <c r="L78" t="e">
        <f>#REF!</f>
        <v>#REF!</v>
      </c>
      <c r="M78" t="e">
        <f>#REF!</f>
        <v>#REF!</v>
      </c>
      <c r="N78" t="e">
        <f>#REF!</f>
        <v>#REF!</v>
      </c>
      <c r="O78" t="e">
        <f>#REF!</f>
        <v>#REF!</v>
      </c>
      <c r="P78" t="e">
        <f>#REF!</f>
        <v>#REF!</v>
      </c>
      <c r="Q78" t="e">
        <f>#REF!</f>
        <v>#REF!</v>
      </c>
      <c r="R78" t="e">
        <f>#REF!</f>
        <v>#REF!</v>
      </c>
      <c r="S78" t="e">
        <f>#REF!</f>
        <v>#REF!</v>
      </c>
      <c r="T78" t="e">
        <f>#REF!</f>
        <v>#REF!</v>
      </c>
      <c r="U78" t="e">
        <f>#REF!</f>
        <v>#REF!</v>
      </c>
      <c r="V78" t="e">
        <f>#REF!</f>
        <v>#REF!</v>
      </c>
      <c r="W78" t="e">
        <f>#REF!</f>
        <v>#REF!</v>
      </c>
      <c r="X78" t="e">
        <f>#REF!</f>
        <v>#REF!</v>
      </c>
      <c r="Y78" t="e">
        <f>#REF!</f>
        <v>#REF!</v>
      </c>
      <c r="Z78" t="e">
        <f>#REF!</f>
        <v>#REF!</v>
      </c>
      <c r="AA78" t="e">
        <f>#REF!</f>
        <v>#REF!</v>
      </c>
      <c r="AB78" t="e">
        <f>#REF!</f>
        <v>#REF!</v>
      </c>
      <c r="AC78" t="e">
        <f>#REF!</f>
        <v>#REF!</v>
      </c>
      <c r="AD78" t="e">
        <f>#REF!</f>
        <v>#REF!</v>
      </c>
      <c r="AE78" t="e">
        <f>#REF!</f>
        <v>#REF!</v>
      </c>
      <c r="AF78" t="e">
        <f>#REF!</f>
        <v>#REF!</v>
      </c>
      <c r="AG78" t="e">
        <f>#REF!</f>
        <v>#REF!</v>
      </c>
      <c r="AH78" t="e">
        <f>#REF!</f>
        <v>#REF!</v>
      </c>
      <c r="AI78" t="e">
        <f>#REF!</f>
        <v>#REF!</v>
      </c>
      <c r="AO78" s="159" t="e">
        <f>IF(#REF!="",0,#REF!)</f>
        <v>#REF!</v>
      </c>
      <c r="AP78" s="160" t="e">
        <f t="shared" si="2"/>
        <v>#REF!</v>
      </c>
    </row>
    <row r="79" spans="2:42" x14ac:dyDescent="0.25">
      <c r="B79" t="e">
        <f>#REF!</f>
        <v>#REF!</v>
      </c>
      <c r="C79" t="e">
        <f>#REF!</f>
        <v>#REF!</v>
      </c>
      <c r="D79" t="e">
        <f>#REF!</f>
        <v>#REF!</v>
      </c>
      <c r="E79" s="14" t="e">
        <f>#REF!</f>
        <v>#REF!</v>
      </c>
      <c r="F79" t="e">
        <f>#REF!</f>
        <v>#REF!</v>
      </c>
      <c r="G79" t="e">
        <f>#REF!</f>
        <v>#REF!</v>
      </c>
      <c r="H79" t="e">
        <f>#REF!</f>
        <v>#REF!</v>
      </c>
      <c r="I79" t="e">
        <f>#REF!</f>
        <v>#REF!</v>
      </c>
      <c r="J79" t="e">
        <f>#REF!</f>
        <v>#REF!</v>
      </c>
      <c r="K79" t="e">
        <f>#REF!</f>
        <v>#REF!</v>
      </c>
      <c r="L79" t="e">
        <f>#REF!</f>
        <v>#REF!</v>
      </c>
      <c r="M79" t="e">
        <f>#REF!</f>
        <v>#REF!</v>
      </c>
      <c r="N79" t="e">
        <f>#REF!</f>
        <v>#REF!</v>
      </c>
      <c r="O79" t="e">
        <f>#REF!</f>
        <v>#REF!</v>
      </c>
      <c r="P79" t="e">
        <f>#REF!</f>
        <v>#REF!</v>
      </c>
      <c r="Q79" t="e">
        <f>#REF!</f>
        <v>#REF!</v>
      </c>
      <c r="R79" t="e">
        <f>#REF!</f>
        <v>#REF!</v>
      </c>
      <c r="S79" t="e">
        <f>#REF!</f>
        <v>#REF!</v>
      </c>
      <c r="T79" t="e">
        <f>#REF!</f>
        <v>#REF!</v>
      </c>
      <c r="U79" t="e">
        <f>#REF!</f>
        <v>#REF!</v>
      </c>
      <c r="V79" t="e">
        <f>#REF!</f>
        <v>#REF!</v>
      </c>
      <c r="W79" t="e">
        <f>#REF!</f>
        <v>#REF!</v>
      </c>
      <c r="X79" t="e">
        <f>#REF!</f>
        <v>#REF!</v>
      </c>
      <c r="Y79" t="e">
        <f>#REF!</f>
        <v>#REF!</v>
      </c>
      <c r="Z79" t="e">
        <f>#REF!</f>
        <v>#REF!</v>
      </c>
      <c r="AA79" t="e">
        <f>#REF!</f>
        <v>#REF!</v>
      </c>
      <c r="AB79" t="e">
        <f>#REF!</f>
        <v>#REF!</v>
      </c>
      <c r="AC79" t="e">
        <f>#REF!</f>
        <v>#REF!</v>
      </c>
      <c r="AD79" t="e">
        <f>#REF!</f>
        <v>#REF!</v>
      </c>
      <c r="AE79" t="e">
        <f>#REF!</f>
        <v>#REF!</v>
      </c>
      <c r="AF79" t="e">
        <f>#REF!</f>
        <v>#REF!</v>
      </c>
      <c r="AG79" t="e">
        <f>#REF!</f>
        <v>#REF!</v>
      </c>
      <c r="AH79" t="e">
        <f>#REF!</f>
        <v>#REF!</v>
      </c>
      <c r="AI79" t="e">
        <f>#REF!</f>
        <v>#REF!</v>
      </c>
      <c r="AO79" s="159" t="e">
        <f>IF(#REF!="",0,#REF!)</f>
        <v>#REF!</v>
      </c>
      <c r="AP79" s="160" t="e">
        <f t="shared" si="2"/>
        <v>#REF!</v>
      </c>
    </row>
    <row r="80" spans="2:42" x14ac:dyDescent="0.25">
      <c r="B80" t="e">
        <f>#REF!</f>
        <v>#REF!</v>
      </c>
      <c r="C80" t="e">
        <f>#REF!</f>
        <v>#REF!</v>
      </c>
      <c r="D80" t="e">
        <f>#REF!</f>
        <v>#REF!</v>
      </c>
      <c r="E80" s="14" t="e">
        <f>#REF!</f>
        <v>#REF!</v>
      </c>
      <c r="F80" t="e">
        <f>#REF!</f>
        <v>#REF!</v>
      </c>
      <c r="G80" t="e">
        <f>#REF!</f>
        <v>#REF!</v>
      </c>
      <c r="H80" t="e">
        <f>#REF!</f>
        <v>#REF!</v>
      </c>
      <c r="I80" t="e">
        <f>#REF!</f>
        <v>#REF!</v>
      </c>
      <c r="J80" t="e">
        <f>#REF!</f>
        <v>#REF!</v>
      </c>
      <c r="K80" t="e">
        <f>#REF!</f>
        <v>#REF!</v>
      </c>
      <c r="L80" t="e">
        <f>#REF!</f>
        <v>#REF!</v>
      </c>
      <c r="M80" t="e">
        <f>#REF!</f>
        <v>#REF!</v>
      </c>
      <c r="N80" t="e">
        <f>#REF!</f>
        <v>#REF!</v>
      </c>
      <c r="O80" t="e">
        <f>#REF!</f>
        <v>#REF!</v>
      </c>
      <c r="P80" t="e">
        <f>#REF!</f>
        <v>#REF!</v>
      </c>
      <c r="Q80" t="e">
        <f>#REF!</f>
        <v>#REF!</v>
      </c>
      <c r="R80" t="e">
        <f>#REF!</f>
        <v>#REF!</v>
      </c>
      <c r="S80" t="e">
        <f>#REF!</f>
        <v>#REF!</v>
      </c>
      <c r="T80" t="e">
        <f>#REF!</f>
        <v>#REF!</v>
      </c>
      <c r="U80" t="e">
        <f>#REF!</f>
        <v>#REF!</v>
      </c>
      <c r="V80" t="e">
        <f>#REF!</f>
        <v>#REF!</v>
      </c>
      <c r="W80" t="e">
        <f>#REF!</f>
        <v>#REF!</v>
      </c>
      <c r="X80" t="e">
        <f>#REF!</f>
        <v>#REF!</v>
      </c>
      <c r="Y80" t="e">
        <f>#REF!</f>
        <v>#REF!</v>
      </c>
      <c r="Z80" t="e">
        <f>#REF!</f>
        <v>#REF!</v>
      </c>
      <c r="AA80" t="e">
        <f>#REF!</f>
        <v>#REF!</v>
      </c>
      <c r="AB80" t="e">
        <f>#REF!</f>
        <v>#REF!</v>
      </c>
      <c r="AC80" t="e">
        <f>#REF!</f>
        <v>#REF!</v>
      </c>
      <c r="AD80" t="e">
        <f>#REF!</f>
        <v>#REF!</v>
      </c>
      <c r="AE80" t="e">
        <f>#REF!</f>
        <v>#REF!</v>
      </c>
      <c r="AF80" t="e">
        <f>#REF!</f>
        <v>#REF!</v>
      </c>
      <c r="AG80" t="e">
        <f>#REF!</f>
        <v>#REF!</v>
      </c>
      <c r="AH80" t="e">
        <f>#REF!</f>
        <v>#REF!</v>
      </c>
      <c r="AI80" t="e">
        <f>#REF!</f>
        <v>#REF!</v>
      </c>
      <c r="AO80" s="159" t="e">
        <f>IF(#REF!="",0,#REF!)</f>
        <v>#REF!</v>
      </c>
      <c r="AP80" s="160" t="e">
        <f t="shared" si="2"/>
        <v>#REF!</v>
      </c>
    </row>
    <row r="81" spans="2:42" x14ac:dyDescent="0.25">
      <c r="B81" t="e">
        <f>#REF!</f>
        <v>#REF!</v>
      </c>
      <c r="C81" t="e">
        <f>#REF!</f>
        <v>#REF!</v>
      </c>
      <c r="D81" t="e">
        <f>#REF!</f>
        <v>#REF!</v>
      </c>
      <c r="E81" s="14" t="e">
        <f>#REF!</f>
        <v>#REF!</v>
      </c>
      <c r="F81" t="e">
        <f>#REF!</f>
        <v>#REF!</v>
      </c>
      <c r="G81" t="e">
        <f>#REF!</f>
        <v>#REF!</v>
      </c>
      <c r="H81" t="e">
        <f>#REF!</f>
        <v>#REF!</v>
      </c>
      <c r="I81" t="e">
        <f>#REF!</f>
        <v>#REF!</v>
      </c>
      <c r="J81" t="e">
        <f>#REF!</f>
        <v>#REF!</v>
      </c>
      <c r="K81" t="e">
        <f>#REF!</f>
        <v>#REF!</v>
      </c>
      <c r="L81" t="e">
        <f>#REF!</f>
        <v>#REF!</v>
      </c>
      <c r="M81" t="e">
        <f>#REF!</f>
        <v>#REF!</v>
      </c>
      <c r="N81" t="e">
        <f>#REF!</f>
        <v>#REF!</v>
      </c>
      <c r="O81" t="e">
        <f>#REF!</f>
        <v>#REF!</v>
      </c>
      <c r="P81" t="e">
        <f>#REF!</f>
        <v>#REF!</v>
      </c>
      <c r="Q81" t="e">
        <f>#REF!</f>
        <v>#REF!</v>
      </c>
      <c r="R81" t="e">
        <f>#REF!</f>
        <v>#REF!</v>
      </c>
      <c r="S81" t="e">
        <f>#REF!</f>
        <v>#REF!</v>
      </c>
      <c r="T81" t="e">
        <f>#REF!</f>
        <v>#REF!</v>
      </c>
      <c r="U81" t="e">
        <f>#REF!</f>
        <v>#REF!</v>
      </c>
      <c r="V81" t="e">
        <f>#REF!</f>
        <v>#REF!</v>
      </c>
      <c r="W81" t="e">
        <f>#REF!</f>
        <v>#REF!</v>
      </c>
      <c r="X81" t="e">
        <f>#REF!</f>
        <v>#REF!</v>
      </c>
      <c r="Y81" t="e">
        <f>#REF!</f>
        <v>#REF!</v>
      </c>
      <c r="Z81" t="e">
        <f>#REF!</f>
        <v>#REF!</v>
      </c>
      <c r="AA81" t="e">
        <f>#REF!</f>
        <v>#REF!</v>
      </c>
      <c r="AB81" t="e">
        <f>#REF!</f>
        <v>#REF!</v>
      </c>
      <c r="AC81" t="e">
        <f>#REF!</f>
        <v>#REF!</v>
      </c>
      <c r="AD81" t="e">
        <f>#REF!</f>
        <v>#REF!</v>
      </c>
      <c r="AE81" t="e">
        <f>#REF!</f>
        <v>#REF!</v>
      </c>
      <c r="AF81" t="e">
        <f>#REF!</f>
        <v>#REF!</v>
      </c>
      <c r="AG81" t="e">
        <f>#REF!</f>
        <v>#REF!</v>
      </c>
      <c r="AH81" t="e">
        <f>#REF!</f>
        <v>#REF!</v>
      </c>
      <c r="AI81" t="e">
        <f>#REF!</f>
        <v>#REF!</v>
      </c>
      <c r="AO81" s="159" t="e">
        <f>IF(#REF!="",0,#REF!)</f>
        <v>#REF!</v>
      </c>
      <c r="AP81" s="160" t="e">
        <f t="shared" si="2"/>
        <v>#REF!</v>
      </c>
    </row>
    <row r="82" spans="2:42" x14ac:dyDescent="0.25">
      <c r="B82" t="e">
        <f>#REF!</f>
        <v>#REF!</v>
      </c>
      <c r="C82" t="e">
        <f>#REF!</f>
        <v>#REF!</v>
      </c>
      <c r="D82" t="e">
        <f>#REF!</f>
        <v>#REF!</v>
      </c>
      <c r="E82" s="14" t="e">
        <f>#REF!</f>
        <v>#REF!</v>
      </c>
      <c r="F82" t="e">
        <f>#REF!</f>
        <v>#REF!</v>
      </c>
      <c r="G82" t="e">
        <f>#REF!</f>
        <v>#REF!</v>
      </c>
      <c r="H82" t="e">
        <f>#REF!</f>
        <v>#REF!</v>
      </c>
      <c r="I82" t="e">
        <f>#REF!</f>
        <v>#REF!</v>
      </c>
      <c r="J82" t="e">
        <f>#REF!</f>
        <v>#REF!</v>
      </c>
      <c r="K82" t="e">
        <f>#REF!</f>
        <v>#REF!</v>
      </c>
      <c r="L82" t="e">
        <f>#REF!</f>
        <v>#REF!</v>
      </c>
      <c r="M82" t="e">
        <f>#REF!</f>
        <v>#REF!</v>
      </c>
      <c r="N82" t="e">
        <f>#REF!</f>
        <v>#REF!</v>
      </c>
      <c r="O82" t="e">
        <f>#REF!</f>
        <v>#REF!</v>
      </c>
      <c r="P82" t="e">
        <f>#REF!</f>
        <v>#REF!</v>
      </c>
      <c r="Q82" t="e">
        <f>#REF!</f>
        <v>#REF!</v>
      </c>
      <c r="R82" t="e">
        <f>#REF!</f>
        <v>#REF!</v>
      </c>
      <c r="S82" t="e">
        <f>#REF!</f>
        <v>#REF!</v>
      </c>
      <c r="T82" t="e">
        <f>#REF!</f>
        <v>#REF!</v>
      </c>
      <c r="U82" t="e">
        <f>#REF!</f>
        <v>#REF!</v>
      </c>
      <c r="V82" t="e">
        <f>#REF!</f>
        <v>#REF!</v>
      </c>
      <c r="W82" t="e">
        <f>#REF!</f>
        <v>#REF!</v>
      </c>
      <c r="X82" t="e">
        <f>#REF!</f>
        <v>#REF!</v>
      </c>
      <c r="Y82" t="e">
        <f>#REF!</f>
        <v>#REF!</v>
      </c>
      <c r="Z82" t="e">
        <f>#REF!</f>
        <v>#REF!</v>
      </c>
      <c r="AA82" t="e">
        <f>#REF!</f>
        <v>#REF!</v>
      </c>
      <c r="AB82" t="e">
        <f>#REF!</f>
        <v>#REF!</v>
      </c>
      <c r="AC82" t="e">
        <f>#REF!</f>
        <v>#REF!</v>
      </c>
      <c r="AD82" t="e">
        <f>#REF!</f>
        <v>#REF!</v>
      </c>
      <c r="AE82" t="e">
        <f>#REF!</f>
        <v>#REF!</v>
      </c>
      <c r="AF82" t="e">
        <f>#REF!</f>
        <v>#REF!</v>
      </c>
      <c r="AG82" t="e">
        <f>#REF!</f>
        <v>#REF!</v>
      </c>
      <c r="AH82" t="e">
        <f>#REF!</f>
        <v>#REF!</v>
      </c>
      <c r="AI82" t="e">
        <f>#REF!</f>
        <v>#REF!</v>
      </c>
      <c r="AO82" s="159" t="e">
        <f>IF(#REF!="",0,#REF!)</f>
        <v>#REF!</v>
      </c>
      <c r="AP82" s="160" t="e">
        <f t="shared" si="2"/>
        <v>#REF!</v>
      </c>
    </row>
    <row r="83" spans="2:42" x14ac:dyDescent="0.25">
      <c r="B83" t="e">
        <f>#REF!</f>
        <v>#REF!</v>
      </c>
      <c r="C83" t="e">
        <f>#REF!</f>
        <v>#REF!</v>
      </c>
      <c r="D83" t="e">
        <f>#REF!</f>
        <v>#REF!</v>
      </c>
      <c r="E83" s="14" t="e">
        <f>#REF!</f>
        <v>#REF!</v>
      </c>
      <c r="F83" t="e">
        <f>#REF!</f>
        <v>#REF!</v>
      </c>
      <c r="G83" t="e">
        <f>#REF!</f>
        <v>#REF!</v>
      </c>
      <c r="H83" t="e">
        <f>#REF!</f>
        <v>#REF!</v>
      </c>
      <c r="I83" t="e">
        <f>#REF!</f>
        <v>#REF!</v>
      </c>
      <c r="J83" t="e">
        <f>#REF!</f>
        <v>#REF!</v>
      </c>
      <c r="K83" t="e">
        <f>#REF!</f>
        <v>#REF!</v>
      </c>
      <c r="L83" t="e">
        <f>#REF!</f>
        <v>#REF!</v>
      </c>
      <c r="M83" t="e">
        <f>#REF!</f>
        <v>#REF!</v>
      </c>
      <c r="N83" t="e">
        <f>#REF!</f>
        <v>#REF!</v>
      </c>
      <c r="O83" t="e">
        <f>#REF!</f>
        <v>#REF!</v>
      </c>
      <c r="P83" t="e">
        <f>#REF!</f>
        <v>#REF!</v>
      </c>
      <c r="Q83" t="e">
        <f>#REF!</f>
        <v>#REF!</v>
      </c>
      <c r="R83" t="e">
        <f>#REF!</f>
        <v>#REF!</v>
      </c>
      <c r="S83" t="e">
        <f>#REF!</f>
        <v>#REF!</v>
      </c>
      <c r="T83" t="e">
        <f>#REF!</f>
        <v>#REF!</v>
      </c>
      <c r="U83" t="e">
        <f>#REF!</f>
        <v>#REF!</v>
      </c>
      <c r="V83" t="e">
        <f>#REF!</f>
        <v>#REF!</v>
      </c>
      <c r="W83" t="e">
        <f>#REF!</f>
        <v>#REF!</v>
      </c>
      <c r="X83" t="e">
        <f>#REF!</f>
        <v>#REF!</v>
      </c>
      <c r="Y83" t="e">
        <f>#REF!</f>
        <v>#REF!</v>
      </c>
      <c r="Z83" t="e">
        <f>#REF!</f>
        <v>#REF!</v>
      </c>
      <c r="AA83" t="e">
        <f>#REF!</f>
        <v>#REF!</v>
      </c>
      <c r="AB83" t="e">
        <f>#REF!</f>
        <v>#REF!</v>
      </c>
      <c r="AC83" t="e">
        <f>#REF!</f>
        <v>#REF!</v>
      </c>
      <c r="AD83" t="e">
        <f>#REF!</f>
        <v>#REF!</v>
      </c>
      <c r="AE83" t="e">
        <f>#REF!</f>
        <v>#REF!</v>
      </c>
      <c r="AF83" t="e">
        <f>#REF!</f>
        <v>#REF!</v>
      </c>
      <c r="AG83" t="e">
        <f>#REF!</f>
        <v>#REF!</v>
      </c>
      <c r="AH83" t="e">
        <f>#REF!</f>
        <v>#REF!</v>
      </c>
      <c r="AI83" t="e">
        <f>#REF!</f>
        <v>#REF!</v>
      </c>
      <c r="AO83" s="159" t="e">
        <f>IF(#REF!="",0,#REF!)</f>
        <v>#REF!</v>
      </c>
      <c r="AP83" s="160" t="e">
        <f t="shared" si="2"/>
        <v>#REF!</v>
      </c>
    </row>
    <row r="84" spans="2:42" x14ac:dyDescent="0.25">
      <c r="B84" t="e">
        <f>#REF!</f>
        <v>#REF!</v>
      </c>
      <c r="C84" t="e">
        <f>#REF!</f>
        <v>#REF!</v>
      </c>
      <c r="D84" t="e">
        <f>#REF!</f>
        <v>#REF!</v>
      </c>
      <c r="E84" s="14" t="e">
        <f>#REF!</f>
        <v>#REF!</v>
      </c>
      <c r="F84" t="e">
        <f>#REF!</f>
        <v>#REF!</v>
      </c>
      <c r="G84" t="e">
        <f>#REF!</f>
        <v>#REF!</v>
      </c>
      <c r="H84" t="e">
        <f>#REF!</f>
        <v>#REF!</v>
      </c>
      <c r="I84" t="e">
        <f>#REF!</f>
        <v>#REF!</v>
      </c>
      <c r="J84" t="e">
        <f>#REF!</f>
        <v>#REF!</v>
      </c>
      <c r="K84" t="e">
        <f>#REF!</f>
        <v>#REF!</v>
      </c>
      <c r="L84" t="e">
        <f>#REF!</f>
        <v>#REF!</v>
      </c>
      <c r="M84" t="e">
        <f>#REF!</f>
        <v>#REF!</v>
      </c>
      <c r="N84" t="e">
        <f>#REF!</f>
        <v>#REF!</v>
      </c>
      <c r="O84" t="e">
        <f>#REF!</f>
        <v>#REF!</v>
      </c>
      <c r="P84" t="e">
        <f>#REF!</f>
        <v>#REF!</v>
      </c>
      <c r="Q84" t="e">
        <f>#REF!</f>
        <v>#REF!</v>
      </c>
      <c r="R84" t="e">
        <f>#REF!</f>
        <v>#REF!</v>
      </c>
      <c r="S84" t="e">
        <f>#REF!</f>
        <v>#REF!</v>
      </c>
      <c r="T84" t="e">
        <f>#REF!</f>
        <v>#REF!</v>
      </c>
      <c r="U84" t="e">
        <f>#REF!</f>
        <v>#REF!</v>
      </c>
      <c r="V84" t="e">
        <f>#REF!</f>
        <v>#REF!</v>
      </c>
      <c r="W84" t="e">
        <f>#REF!</f>
        <v>#REF!</v>
      </c>
      <c r="X84" t="e">
        <f>#REF!</f>
        <v>#REF!</v>
      </c>
      <c r="Y84" t="e">
        <f>#REF!</f>
        <v>#REF!</v>
      </c>
      <c r="Z84" t="e">
        <f>#REF!</f>
        <v>#REF!</v>
      </c>
      <c r="AA84" t="e">
        <f>#REF!</f>
        <v>#REF!</v>
      </c>
      <c r="AB84" t="e">
        <f>#REF!</f>
        <v>#REF!</v>
      </c>
      <c r="AC84" t="e">
        <f>#REF!</f>
        <v>#REF!</v>
      </c>
      <c r="AD84" t="e">
        <f>#REF!</f>
        <v>#REF!</v>
      </c>
      <c r="AE84" t="e">
        <f>#REF!</f>
        <v>#REF!</v>
      </c>
      <c r="AF84" t="e">
        <f>#REF!</f>
        <v>#REF!</v>
      </c>
      <c r="AG84" t="e">
        <f>#REF!</f>
        <v>#REF!</v>
      </c>
      <c r="AH84" t="e">
        <f>#REF!</f>
        <v>#REF!</v>
      </c>
      <c r="AI84" t="e">
        <f>#REF!</f>
        <v>#REF!</v>
      </c>
      <c r="AO84" s="159" t="e">
        <f>IF(#REF!="",0,#REF!)</f>
        <v>#REF!</v>
      </c>
      <c r="AP84" s="160" t="e">
        <f t="shared" si="2"/>
        <v>#REF!</v>
      </c>
    </row>
    <row r="85" spans="2:42" x14ac:dyDescent="0.25">
      <c r="B85" t="e">
        <f>#REF!</f>
        <v>#REF!</v>
      </c>
      <c r="C85" t="e">
        <f>#REF!</f>
        <v>#REF!</v>
      </c>
      <c r="D85" t="e">
        <f>#REF!</f>
        <v>#REF!</v>
      </c>
      <c r="E85" s="14" t="e">
        <f>#REF!</f>
        <v>#REF!</v>
      </c>
      <c r="F85" t="e">
        <f>#REF!</f>
        <v>#REF!</v>
      </c>
      <c r="G85" t="e">
        <f>#REF!</f>
        <v>#REF!</v>
      </c>
      <c r="H85" t="e">
        <f>#REF!</f>
        <v>#REF!</v>
      </c>
      <c r="I85" t="e">
        <f>#REF!</f>
        <v>#REF!</v>
      </c>
      <c r="J85" t="e">
        <f>#REF!</f>
        <v>#REF!</v>
      </c>
      <c r="K85" t="e">
        <f>#REF!</f>
        <v>#REF!</v>
      </c>
      <c r="L85" t="e">
        <f>#REF!</f>
        <v>#REF!</v>
      </c>
      <c r="M85" t="e">
        <f>#REF!</f>
        <v>#REF!</v>
      </c>
      <c r="N85" t="e">
        <f>#REF!</f>
        <v>#REF!</v>
      </c>
      <c r="O85" t="e">
        <f>#REF!</f>
        <v>#REF!</v>
      </c>
      <c r="P85" t="e">
        <f>#REF!</f>
        <v>#REF!</v>
      </c>
      <c r="Q85" t="e">
        <f>#REF!</f>
        <v>#REF!</v>
      </c>
      <c r="R85" t="e">
        <f>#REF!</f>
        <v>#REF!</v>
      </c>
      <c r="S85" t="e">
        <f>#REF!</f>
        <v>#REF!</v>
      </c>
      <c r="T85" t="e">
        <f>#REF!</f>
        <v>#REF!</v>
      </c>
      <c r="U85" t="e">
        <f>#REF!</f>
        <v>#REF!</v>
      </c>
      <c r="V85" t="e">
        <f>#REF!</f>
        <v>#REF!</v>
      </c>
      <c r="W85" t="e">
        <f>#REF!</f>
        <v>#REF!</v>
      </c>
      <c r="X85" t="e">
        <f>#REF!</f>
        <v>#REF!</v>
      </c>
      <c r="Y85" t="e">
        <f>#REF!</f>
        <v>#REF!</v>
      </c>
      <c r="Z85" t="e">
        <f>#REF!</f>
        <v>#REF!</v>
      </c>
      <c r="AA85" t="e">
        <f>#REF!</f>
        <v>#REF!</v>
      </c>
      <c r="AB85" t="e">
        <f>#REF!</f>
        <v>#REF!</v>
      </c>
      <c r="AC85" t="e">
        <f>#REF!</f>
        <v>#REF!</v>
      </c>
      <c r="AD85" t="e">
        <f>#REF!</f>
        <v>#REF!</v>
      </c>
      <c r="AE85" t="e">
        <f>#REF!</f>
        <v>#REF!</v>
      </c>
      <c r="AF85" t="e">
        <f>#REF!</f>
        <v>#REF!</v>
      </c>
      <c r="AG85" t="e">
        <f>#REF!</f>
        <v>#REF!</v>
      </c>
      <c r="AH85" t="e">
        <f>#REF!</f>
        <v>#REF!</v>
      </c>
      <c r="AI85" t="e">
        <f>#REF!</f>
        <v>#REF!</v>
      </c>
      <c r="AO85" s="159" t="e">
        <f>IF(#REF!="",0,#REF!)</f>
        <v>#REF!</v>
      </c>
      <c r="AP85" s="160" t="e">
        <f t="shared" si="2"/>
        <v>#REF!</v>
      </c>
    </row>
    <row r="86" spans="2:42" x14ac:dyDescent="0.25">
      <c r="B86" t="e">
        <f>#REF!</f>
        <v>#REF!</v>
      </c>
      <c r="C86" t="e">
        <f>#REF!</f>
        <v>#REF!</v>
      </c>
      <c r="D86" t="e">
        <f>#REF!</f>
        <v>#REF!</v>
      </c>
      <c r="E86" s="14" t="e">
        <f>#REF!</f>
        <v>#REF!</v>
      </c>
      <c r="F86" t="e">
        <f>#REF!</f>
        <v>#REF!</v>
      </c>
      <c r="G86" t="e">
        <f>#REF!</f>
        <v>#REF!</v>
      </c>
      <c r="H86" t="e">
        <f>#REF!</f>
        <v>#REF!</v>
      </c>
      <c r="I86" t="e">
        <f>#REF!</f>
        <v>#REF!</v>
      </c>
      <c r="J86" t="e">
        <f>#REF!</f>
        <v>#REF!</v>
      </c>
      <c r="K86" t="e">
        <f>#REF!</f>
        <v>#REF!</v>
      </c>
      <c r="L86" t="e">
        <f>#REF!</f>
        <v>#REF!</v>
      </c>
      <c r="M86" t="e">
        <f>#REF!</f>
        <v>#REF!</v>
      </c>
      <c r="N86" t="e">
        <f>#REF!</f>
        <v>#REF!</v>
      </c>
      <c r="O86" t="e">
        <f>#REF!</f>
        <v>#REF!</v>
      </c>
      <c r="P86" t="e">
        <f>#REF!</f>
        <v>#REF!</v>
      </c>
      <c r="Q86" t="e">
        <f>#REF!</f>
        <v>#REF!</v>
      </c>
      <c r="R86" t="e">
        <f>#REF!</f>
        <v>#REF!</v>
      </c>
      <c r="S86" t="e">
        <f>#REF!</f>
        <v>#REF!</v>
      </c>
      <c r="T86" t="e">
        <f>#REF!</f>
        <v>#REF!</v>
      </c>
      <c r="U86" t="e">
        <f>#REF!</f>
        <v>#REF!</v>
      </c>
      <c r="V86" t="e">
        <f>#REF!</f>
        <v>#REF!</v>
      </c>
      <c r="W86" t="e">
        <f>#REF!</f>
        <v>#REF!</v>
      </c>
      <c r="X86" t="e">
        <f>#REF!</f>
        <v>#REF!</v>
      </c>
      <c r="Y86" t="e">
        <f>#REF!</f>
        <v>#REF!</v>
      </c>
      <c r="Z86" t="e">
        <f>#REF!</f>
        <v>#REF!</v>
      </c>
      <c r="AA86" t="e">
        <f>#REF!</f>
        <v>#REF!</v>
      </c>
      <c r="AB86" t="e">
        <f>#REF!</f>
        <v>#REF!</v>
      </c>
      <c r="AC86" t="e">
        <f>#REF!</f>
        <v>#REF!</v>
      </c>
      <c r="AD86" t="e">
        <f>#REF!</f>
        <v>#REF!</v>
      </c>
      <c r="AE86" t="e">
        <f>#REF!</f>
        <v>#REF!</v>
      </c>
      <c r="AF86" t="e">
        <f>#REF!</f>
        <v>#REF!</v>
      </c>
      <c r="AG86" t="e">
        <f>#REF!</f>
        <v>#REF!</v>
      </c>
      <c r="AH86" t="e">
        <f>#REF!</f>
        <v>#REF!</v>
      </c>
      <c r="AI86" t="e">
        <f>#REF!</f>
        <v>#REF!</v>
      </c>
      <c r="AO86" s="159" t="e">
        <f>IF(#REF!="",0,#REF!)</f>
        <v>#REF!</v>
      </c>
      <c r="AP86" s="160" t="e">
        <f t="shared" si="2"/>
        <v>#REF!</v>
      </c>
    </row>
    <row r="87" spans="2:42" x14ac:dyDescent="0.25">
      <c r="B87" t="e">
        <f>#REF!</f>
        <v>#REF!</v>
      </c>
      <c r="C87" t="e">
        <f>#REF!</f>
        <v>#REF!</v>
      </c>
      <c r="D87" t="e">
        <f>#REF!</f>
        <v>#REF!</v>
      </c>
      <c r="E87" s="14" t="e">
        <f>#REF!</f>
        <v>#REF!</v>
      </c>
      <c r="F87" t="e">
        <f>#REF!</f>
        <v>#REF!</v>
      </c>
      <c r="G87" t="e">
        <f>#REF!</f>
        <v>#REF!</v>
      </c>
      <c r="H87" t="e">
        <f>#REF!</f>
        <v>#REF!</v>
      </c>
      <c r="I87" t="e">
        <f>#REF!</f>
        <v>#REF!</v>
      </c>
      <c r="J87" t="e">
        <f>#REF!</f>
        <v>#REF!</v>
      </c>
      <c r="K87" t="e">
        <f>#REF!</f>
        <v>#REF!</v>
      </c>
      <c r="L87" t="e">
        <f>#REF!</f>
        <v>#REF!</v>
      </c>
      <c r="M87" t="e">
        <f>#REF!</f>
        <v>#REF!</v>
      </c>
      <c r="N87" t="e">
        <f>#REF!</f>
        <v>#REF!</v>
      </c>
      <c r="O87" t="e">
        <f>#REF!</f>
        <v>#REF!</v>
      </c>
      <c r="P87" t="e">
        <f>#REF!</f>
        <v>#REF!</v>
      </c>
      <c r="Q87" t="e">
        <f>#REF!</f>
        <v>#REF!</v>
      </c>
      <c r="R87" t="e">
        <f>#REF!</f>
        <v>#REF!</v>
      </c>
      <c r="S87" t="e">
        <f>#REF!</f>
        <v>#REF!</v>
      </c>
      <c r="T87" t="e">
        <f>#REF!</f>
        <v>#REF!</v>
      </c>
      <c r="U87" t="e">
        <f>#REF!</f>
        <v>#REF!</v>
      </c>
      <c r="V87" t="e">
        <f>#REF!</f>
        <v>#REF!</v>
      </c>
      <c r="W87" t="e">
        <f>#REF!</f>
        <v>#REF!</v>
      </c>
      <c r="X87" t="e">
        <f>#REF!</f>
        <v>#REF!</v>
      </c>
      <c r="Y87" t="e">
        <f>#REF!</f>
        <v>#REF!</v>
      </c>
      <c r="Z87" t="e">
        <f>#REF!</f>
        <v>#REF!</v>
      </c>
      <c r="AA87" t="e">
        <f>#REF!</f>
        <v>#REF!</v>
      </c>
      <c r="AB87" t="e">
        <f>#REF!</f>
        <v>#REF!</v>
      </c>
      <c r="AC87" t="e">
        <f>#REF!</f>
        <v>#REF!</v>
      </c>
      <c r="AD87" t="e">
        <f>#REF!</f>
        <v>#REF!</v>
      </c>
      <c r="AE87" t="e">
        <f>#REF!</f>
        <v>#REF!</v>
      </c>
      <c r="AF87" t="e">
        <f>#REF!</f>
        <v>#REF!</v>
      </c>
      <c r="AG87" t="e">
        <f>#REF!</f>
        <v>#REF!</v>
      </c>
      <c r="AH87" t="e">
        <f>#REF!</f>
        <v>#REF!</v>
      </c>
      <c r="AI87" t="e">
        <f>#REF!</f>
        <v>#REF!</v>
      </c>
      <c r="AO87" s="159" t="e">
        <f>IF(#REF!="",0,#REF!)</f>
        <v>#REF!</v>
      </c>
      <c r="AP87" s="160" t="e">
        <f t="shared" si="2"/>
        <v>#REF!</v>
      </c>
    </row>
    <row r="88" spans="2:42" x14ac:dyDescent="0.25">
      <c r="B88" t="e">
        <f>#REF!</f>
        <v>#REF!</v>
      </c>
      <c r="C88" t="e">
        <f>#REF!</f>
        <v>#REF!</v>
      </c>
      <c r="D88" t="e">
        <f>#REF!</f>
        <v>#REF!</v>
      </c>
      <c r="E88" s="14" t="e">
        <f>#REF!</f>
        <v>#REF!</v>
      </c>
      <c r="F88" t="e">
        <f>#REF!</f>
        <v>#REF!</v>
      </c>
      <c r="G88" t="e">
        <f>#REF!</f>
        <v>#REF!</v>
      </c>
      <c r="H88" t="e">
        <f>#REF!</f>
        <v>#REF!</v>
      </c>
      <c r="I88" t="e">
        <f>#REF!</f>
        <v>#REF!</v>
      </c>
      <c r="J88" t="e">
        <f>#REF!</f>
        <v>#REF!</v>
      </c>
      <c r="K88" t="e">
        <f>#REF!</f>
        <v>#REF!</v>
      </c>
      <c r="L88" t="e">
        <f>#REF!</f>
        <v>#REF!</v>
      </c>
      <c r="M88" t="e">
        <f>#REF!</f>
        <v>#REF!</v>
      </c>
      <c r="N88" t="e">
        <f>#REF!</f>
        <v>#REF!</v>
      </c>
      <c r="O88" t="e">
        <f>#REF!</f>
        <v>#REF!</v>
      </c>
      <c r="P88" t="e">
        <f>#REF!</f>
        <v>#REF!</v>
      </c>
      <c r="Q88" t="e">
        <f>#REF!</f>
        <v>#REF!</v>
      </c>
      <c r="R88" t="e">
        <f>#REF!</f>
        <v>#REF!</v>
      </c>
      <c r="S88" t="e">
        <f>#REF!</f>
        <v>#REF!</v>
      </c>
      <c r="T88" t="e">
        <f>#REF!</f>
        <v>#REF!</v>
      </c>
      <c r="U88" t="e">
        <f>#REF!</f>
        <v>#REF!</v>
      </c>
      <c r="V88" t="e">
        <f>#REF!</f>
        <v>#REF!</v>
      </c>
      <c r="W88" t="e">
        <f>#REF!</f>
        <v>#REF!</v>
      </c>
      <c r="X88" t="e">
        <f>#REF!</f>
        <v>#REF!</v>
      </c>
      <c r="Y88" t="e">
        <f>#REF!</f>
        <v>#REF!</v>
      </c>
      <c r="Z88" t="e">
        <f>#REF!</f>
        <v>#REF!</v>
      </c>
      <c r="AA88" t="e">
        <f>#REF!</f>
        <v>#REF!</v>
      </c>
      <c r="AB88" t="e">
        <f>#REF!</f>
        <v>#REF!</v>
      </c>
      <c r="AC88" t="e">
        <f>#REF!</f>
        <v>#REF!</v>
      </c>
      <c r="AD88" t="e">
        <f>#REF!</f>
        <v>#REF!</v>
      </c>
      <c r="AE88" t="e">
        <f>#REF!</f>
        <v>#REF!</v>
      </c>
      <c r="AF88" t="e">
        <f>#REF!</f>
        <v>#REF!</v>
      </c>
      <c r="AG88" t="e">
        <f>#REF!</f>
        <v>#REF!</v>
      </c>
      <c r="AH88" t="e">
        <f>#REF!</f>
        <v>#REF!</v>
      </c>
      <c r="AI88" t="e">
        <f>#REF!</f>
        <v>#REF!</v>
      </c>
      <c r="AO88" s="159" t="e">
        <f>IF(#REF!="",0,#REF!)</f>
        <v>#REF!</v>
      </c>
      <c r="AP88" s="160" t="e">
        <f t="shared" si="2"/>
        <v>#REF!</v>
      </c>
    </row>
    <row r="89" spans="2:42" x14ac:dyDescent="0.25">
      <c r="B89" t="e">
        <f>#REF!</f>
        <v>#REF!</v>
      </c>
      <c r="C89" t="e">
        <f>#REF!</f>
        <v>#REF!</v>
      </c>
      <c r="D89" t="e">
        <f>#REF!</f>
        <v>#REF!</v>
      </c>
      <c r="E89" s="14" t="e">
        <f>#REF!</f>
        <v>#REF!</v>
      </c>
      <c r="F89" t="e">
        <f>#REF!</f>
        <v>#REF!</v>
      </c>
      <c r="G89" t="e">
        <f>#REF!</f>
        <v>#REF!</v>
      </c>
      <c r="H89" t="e">
        <f>#REF!</f>
        <v>#REF!</v>
      </c>
      <c r="I89" t="e">
        <f>#REF!</f>
        <v>#REF!</v>
      </c>
      <c r="J89" t="e">
        <f>#REF!</f>
        <v>#REF!</v>
      </c>
      <c r="K89" t="e">
        <f>#REF!</f>
        <v>#REF!</v>
      </c>
      <c r="L89" t="e">
        <f>#REF!</f>
        <v>#REF!</v>
      </c>
      <c r="M89" t="e">
        <f>#REF!</f>
        <v>#REF!</v>
      </c>
      <c r="N89" t="e">
        <f>#REF!</f>
        <v>#REF!</v>
      </c>
      <c r="O89" t="e">
        <f>#REF!</f>
        <v>#REF!</v>
      </c>
      <c r="P89" t="e">
        <f>#REF!</f>
        <v>#REF!</v>
      </c>
      <c r="Q89" t="e">
        <f>#REF!</f>
        <v>#REF!</v>
      </c>
      <c r="R89" t="e">
        <f>#REF!</f>
        <v>#REF!</v>
      </c>
      <c r="S89" t="e">
        <f>#REF!</f>
        <v>#REF!</v>
      </c>
      <c r="T89" t="e">
        <f>#REF!</f>
        <v>#REF!</v>
      </c>
      <c r="U89" t="e">
        <f>#REF!</f>
        <v>#REF!</v>
      </c>
      <c r="V89" t="e">
        <f>#REF!</f>
        <v>#REF!</v>
      </c>
      <c r="W89" t="e">
        <f>#REF!</f>
        <v>#REF!</v>
      </c>
      <c r="X89" t="e">
        <f>#REF!</f>
        <v>#REF!</v>
      </c>
      <c r="Y89" t="e">
        <f>#REF!</f>
        <v>#REF!</v>
      </c>
      <c r="Z89" t="e">
        <f>#REF!</f>
        <v>#REF!</v>
      </c>
      <c r="AA89" t="e">
        <f>#REF!</f>
        <v>#REF!</v>
      </c>
      <c r="AB89" t="e">
        <f>#REF!</f>
        <v>#REF!</v>
      </c>
      <c r="AC89" t="e">
        <f>#REF!</f>
        <v>#REF!</v>
      </c>
      <c r="AD89" t="e">
        <f>#REF!</f>
        <v>#REF!</v>
      </c>
      <c r="AE89" t="e">
        <f>#REF!</f>
        <v>#REF!</v>
      </c>
      <c r="AF89" t="e">
        <f>#REF!</f>
        <v>#REF!</v>
      </c>
      <c r="AG89" t="e">
        <f>#REF!</f>
        <v>#REF!</v>
      </c>
      <c r="AH89" t="e">
        <f>#REF!</f>
        <v>#REF!</v>
      </c>
      <c r="AI89" t="e">
        <f>#REF!</f>
        <v>#REF!</v>
      </c>
      <c r="AO89" s="159" t="e">
        <f>IF(#REF!="",0,#REF!)</f>
        <v>#REF!</v>
      </c>
      <c r="AP89" s="160" t="e">
        <f t="shared" si="2"/>
        <v>#REF!</v>
      </c>
    </row>
    <row r="90" spans="2:42" x14ac:dyDescent="0.25">
      <c r="B90" t="e">
        <f>#REF!</f>
        <v>#REF!</v>
      </c>
      <c r="C90" t="e">
        <f>#REF!</f>
        <v>#REF!</v>
      </c>
      <c r="D90" t="e">
        <f>#REF!</f>
        <v>#REF!</v>
      </c>
      <c r="E90" s="14" t="e">
        <f>#REF!</f>
        <v>#REF!</v>
      </c>
      <c r="F90" t="e">
        <f>#REF!</f>
        <v>#REF!</v>
      </c>
      <c r="G90" t="e">
        <f>#REF!</f>
        <v>#REF!</v>
      </c>
      <c r="H90" t="e">
        <f>#REF!</f>
        <v>#REF!</v>
      </c>
      <c r="I90" t="e">
        <f>#REF!</f>
        <v>#REF!</v>
      </c>
      <c r="J90" t="e">
        <f>#REF!</f>
        <v>#REF!</v>
      </c>
      <c r="K90" t="e">
        <f>#REF!</f>
        <v>#REF!</v>
      </c>
      <c r="L90" t="e">
        <f>#REF!</f>
        <v>#REF!</v>
      </c>
      <c r="M90" t="e">
        <f>#REF!</f>
        <v>#REF!</v>
      </c>
      <c r="N90" t="e">
        <f>#REF!</f>
        <v>#REF!</v>
      </c>
      <c r="O90" t="e">
        <f>#REF!</f>
        <v>#REF!</v>
      </c>
      <c r="P90" t="e">
        <f>#REF!</f>
        <v>#REF!</v>
      </c>
      <c r="Q90" t="e">
        <f>#REF!</f>
        <v>#REF!</v>
      </c>
      <c r="R90" t="e">
        <f>#REF!</f>
        <v>#REF!</v>
      </c>
      <c r="S90" t="e">
        <f>#REF!</f>
        <v>#REF!</v>
      </c>
      <c r="T90" t="e">
        <f>#REF!</f>
        <v>#REF!</v>
      </c>
      <c r="U90" t="e">
        <f>#REF!</f>
        <v>#REF!</v>
      </c>
      <c r="V90" t="e">
        <f>#REF!</f>
        <v>#REF!</v>
      </c>
      <c r="W90" t="e">
        <f>#REF!</f>
        <v>#REF!</v>
      </c>
      <c r="X90" t="e">
        <f>#REF!</f>
        <v>#REF!</v>
      </c>
      <c r="Y90" t="e">
        <f>#REF!</f>
        <v>#REF!</v>
      </c>
      <c r="Z90" t="e">
        <f>#REF!</f>
        <v>#REF!</v>
      </c>
      <c r="AA90" t="e">
        <f>#REF!</f>
        <v>#REF!</v>
      </c>
      <c r="AB90" t="e">
        <f>#REF!</f>
        <v>#REF!</v>
      </c>
      <c r="AC90" t="e">
        <f>#REF!</f>
        <v>#REF!</v>
      </c>
      <c r="AD90" t="e">
        <f>#REF!</f>
        <v>#REF!</v>
      </c>
      <c r="AE90" t="e">
        <f>#REF!</f>
        <v>#REF!</v>
      </c>
      <c r="AF90" t="e">
        <f>#REF!</f>
        <v>#REF!</v>
      </c>
      <c r="AG90" t="e">
        <f>#REF!</f>
        <v>#REF!</v>
      </c>
      <c r="AH90" t="e">
        <f>#REF!</f>
        <v>#REF!</v>
      </c>
      <c r="AI90" t="e">
        <f>#REF!</f>
        <v>#REF!</v>
      </c>
      <c r="AO90" s="159" t="e">
        <f>IF(#REF!="",0,#REF!)</f>
        <v>#REF!</v>
      </c>
      <c r="AP90" s="160" t="e">
        <f t="shared" si="2"/>
        <v>#REF!</v>
      </c>
    </row>
    <row r="91" spans="2:42" x14ac:dyDescent="0.25">
      <c r="B91" t="e">
        <f>#REF!</f>
        <v>#REF!</v>
      </c>
      <c r="C91" t="e">
        <f>#REF!</f>
        <v>#REF!</v>
      </c>
      <c r="D91" t="e">
        <f>#REF!</f>
        <v>#REF!</v>
      </c>
      <c r="E91" s="14" t="e">
        <f>#REF!</f>
        <v>#REF!</v>
      </c>
      <c r="F91" t="e">
        <f>#REF!</f>
        <v>#REF!</v>
      </c>
      <c r="G91" t="e">
        <f>#REF!</f>
        <v>#REF!</v>
      </c>
      <c r="H91" t="e">
        <f>#REF!</f>
        <v>#REF!</v>
      </c>
      <c r="I91" t="e">
        <f>#REF!</f>
        <v>#REF!</v>
      </c>
      <c r="J91" t="e">
        <f>#REF!</f>
        <v>#REF!</v>
      </c>
      <c r="K91" t="e">
        <f>#REF!</f>
        <v>#REF!</v>
      </c>
      <c r="L91" t="e">
        <f>#REF!</f>
        <v>#REF!</v>
      </c>
      <c r="M91" t="e">
        <f>#REF!</f>
        <v>#REF!</v>
      </c>
      <c r="N91" t="e">
        <f>#REF!</f>
        <v>#REF!</v>
      </c>
      <c r="O91" t="e">
        <f>#REF!</f>
        <v>#REF!</v>
      </c>
      <c r="P91" t="e">
        <f>#REF!</f>
        <v>#REF!</v>
      </c>
      <c r="Q91" t="e">
        <f>#REF!</f>
        <v>#REF!</v>
      </c>
      <c r="R91" t="e">
        <f>#REF!</f>
        <v>#REF!</v>
      </c>
      <c r="S91" t="e">
        <f>#REF!</f>
        <v>#REF!</v>
      </c>
      <c r="T91" t="e">
        <f>#REF!</f>
        <v>#REF!</v>
      </c>
      <c r="U91" t="e">
        <f>#REF!</f>
        <v>#REF!</v>
      </c>
      <c r="V91" t="e">
        <f>#REF!</f>
        <v>#REF!</v>
      </c>
      <c r="W91" t="e">
        <f>#REF!</f>
        <v>#REF!</v>
      </c>
      <c r="X91" t="e">
        <f>#REF!</f>
        <v>#REF!</v>
      </c>
      <c r="Y91" t="e">
        <f>#REF!</f>
        <v>#REF!</v>
      </c>
      <c r="Z91" t="e">
        <f>#REF!</f>
        <v>#REF!</v>
      </c>
      <c r="AA91" t="e">
        <f>#REF!</f>
        <v>#REF!</v>
      </c>
      <c r="AB91" t="e">
        <f>#REF!</f>
        <v>#REF!</v>
      </c>
      <c r="AC91" t="e">
        <f>#REF!</f>
        <v>#REF!</v>
      </c>
      <c r="AD91" t="e">
        <f>#REF!</f>
        <v>#REF!</v>
      </c>
      <c r="AE91" t="e">
        <f>#REF!</f>
        <v>#REF!</v>
      </c>
      <c r="AF91" t="e">
        <f>#REF!</f>
        <v>#REF!</v>
      </c>
      <c r="AG91" t="e">
        <f>#REF!</f>
        <v>#REF!</v>
      </c>
      <c r="AH91" t="e">
        <f>#REF!</f>
        <v>#REF!</v>
      </c>
      <c r="AI91" t="e">
        <f>#REF!</f>
        <v>#REF!</v>
      </c>
      <c r="AO91" s="159" t="e">
        <f>IF(#REF!="",0,#REF!)</f>
        <v>#REF!</v>
      </c>
      <c r="AP91" s="160" t="e">
        <f t="shared" si="2"/>
        <v>#REF!</v>
      </c>
    </row>
    <row r="92" spans="2:42" x14ac:dyDescent="0.25">
      <c r="B92" t="e">
        <f>#REF!</f>
        <v>#REF!</v>
      </c>
      <c r="C92" t="e">
        <f>#REF!</f>
        <v>#REF!</v>
      </c>
      <c r="D92" t="e">
        <f>#REF!</f>
        <v>#REF!</v>
      </c>
      <c r="E92" s="14" t="e">
        <f>#REF!</f>
        <v>#REF!</v>
      </c>
      <c r="F92" t="e">
        <f>#REF!</f>
        <v>#REF!</v>
      </c>
      <c r="G92" t="e">
        <f>#REF!</f>
        <v>#REF!</v>
      </c>
      <c r="H92" t="e">
        <f>#REF!</f>
        <v>#REF!</v>
      </c>
      <c r="I92" t="e">
        <f>#REF!</f>
        <v>#REF!</v>
      </c>
      <c r="J92" t="e">
        <f>#REF!</f>
        <v>#REF!</v>
      </c>
      <c r="K92" t="e">
        <f>#REF!</f>
        <v>#REF!</v>
      </c>
      <c r="L92" t="e">
        <f>#REF!</f>
        <v>#REF!</v>
      </c>
      <c r="M92" t="e">
        <f>#REF!</f>
        <v>#REF!</v>
      </c>
      <c r="N92" t="e">
        <f>#REF!</f>
        <v>#REF!</v>
      </c>
      <c r="O92" t="e">
        <f>#REF!</f>
        <v>#REF!</v>
      </c>
      <c r="P92" t="e">
        <f>#REF!</f>
        <v>#REF!</v>
      </c>
      <c r="Q92" t="e">
        <f>#REF!</f>
        <v>#REF!</v>
      </c>
      <c r="R92" t="e">
        <f>#REF!</f>
        <v>#REF!</v>
      </c>
      <c r="S92" t="e">
        <f>#REF!</f>
        <v>#REF!</v>
      </c>
      <c r="T92" t="e">
        <f>#REF!</f>
        <v>#REF!</v>
      </c>
      <c r="U92" t="e">
        <f>#REF!</f>
        <v>#REF!</v>
      </c>
      <c r="V92" t="e">
        <f>#REF!</f>
        <v>#REF!</v>
      </c>
      <c r="W92" t="e">
        <f>#REF!</f>
        <v>#REF!</v>
      </c>
      <c r="X92" t="e">
        <f>#REF!</f>
        <v>#REF!</v>
      </c>
      <c r="Y92" t="e">
        <f>#REF!</f>
        <v>#REF!</v>
      </c>
      <c r="Z92" t="e">
        <f>#REF!</f>
        <v>#REF!</v>
      </c>
      <c r="AA92" t="e">
        <f>#REF!</f>
        <v>#REF!</v>
      </c>
      <c r="AB92" t="e">
        <f>#REF!</f>
        <v>#REF!</v>
      </c>
      <c r="AC92" t="e">
        <f>#REF!</f>
        <v>#REF!</v>
      </c>
      <c r="AD92" t="e">
        <f>#REF!</f>
        <v>#REF!</v>
      </c>
      <c r="AE92" t="e">
        <f>#REF!</f>
        <v>#REF!</v>
      </c>
      <c r="AF92" t="e">
        <f>#REF!</f>
        <v>#REF!</v>
      </c>
      <c r="AG92" t="e">
        <f>#REF!</f>
        <v>#REF!</v>
      </c>
      <c r="AH92" t="e">
        <f>#REF!</f>
        <v>#REF!</v>
      </c>
      <c r="AI92" t="e">
        <f>#REF!</f>
        <v>#REF!</v>
      </c>
      <c r="AO92" s="159" t="e">
        <f>IF(#REF!="",0,#REF!)</f>
        <v>#REF!</v>
      </c>
      <c r="AP92" s="160" t="e">
        <f t="shared" si="2"/>
        <v>#REF!</v>
      </c>
    </row>
    <row r="93" spans="2:42" x14ac:dyDescent="0.25">
      <c r="B93" t="e">
        <f>#REF!</f>
        <v>#REF!</v>
      </c>
      <c r="C93" t="e">
        <f>#REF!</f>
        <v>#REF!</v>
      </c>
      <c r="D93" t="e">
        <f>#REF!</f>
        <v>#REF!</v>
      </c>
      <c r="E93" s="14" t="e">
        <f>#REF!</f>
        <v>#REF!</v>
      </c>
      <c r="F93" t="e">
        <f>#REF!</f>
        <v>#REF!</v>
      </c>
      <c r="G93" t="e">
        <f>#REF!</f>
        <v>#REF!</v>
      </c>
      <c r="H93" t="e">
        <f>#REF!</f>
        <v>#REF!</v>
      </c>
      <c r="I93" t="e">
        <f>#REF!</f>
        <v>#REF!</v>
      </c>
      <c r="J93" t="e">
        <f>#REF!</f>
        <v>#REF!</v>
      </c>
      <c r="K93" t="e">
        <f>#REF!</f>
        <v>#REF!</v>
      </c>
      <c r="L93" t="e">
        <f>#REF!</f>
        <v>#REF!</v>
      </c>
      <c r="M93" t="e">
        <f>#REF!</f>
        <v>#REF!</v>
      </c>
      <c r="N93" t="e">
        <f>#REF!</f>
        <v>#REF!</v>
      </c>
      <c r="O93" t="e">
        <f>#REF!</f>
        <v>#REF!</v>
      </c>
      <c r="P93" t="e">
        <f>#REF!</f>
        <v>#REF!</v>
      </c>
      <c r="Q93" t="e">
        <f>#REF!</f>
        <v>#REF!</v>
      </c>
      <c r="R93" t="e">
        <f>#REF!</f>
        <v>#REF!</v>
      </c>
      <c r="S93" t="e">
        <f>#REF!</f>
        <v>#REF!</v>
      </c>
      <c r="T93" t="e">
        <f>#REF!</f>
        <v>#REF!</v>
      </c>
      <c r="U93" t="e">
        <f>#REF!</f>
        <v>#REF!</v>
      </c>
      <c r="V93" t="e">
        <f>#REF!</f>
        <v>#REF!</v>
      </c>
      <c r="W93" t="e">
        <f>#REF!</f>
        <v>#REF!</v>
      </c>
      <c r="X93" t="e">
        <f>#REF!</f>
        <v>#REF!</v>
      </c>
      <c r="Y93" t="e">
        <f>#REF!</f>
        <v>#REF!</v>
      </c>
      <c r="Z93" t="e">
        <f>#REF!</f>
        <v>#REF!</v>
      </c>
      <c r="AA93" t="e">
        <f>#REF!</f>
        <v>#REF!</v>
      </c>
      <c r="AB93" t="e">
        <f>#REF!</f>
        <v>#REF!</v>
      </c>
      <c r="AC93" t="e">
        <f>#REF!</f>
        <v>#REF!</v>
      </c>
      <c r="AD93" t="e">
        <f>#REF!</f>
        <v>#REF!</v>
      </c>
      <c r="AE93" t="e">
        <f>#REF!</f>
        <v>#REF!</v>
      </c>
      <c r="AF93" t="e">
        <f>#REF!</f>
        <v>#REF!</v>
      </c>
      <c r="AG93" t="e">
        <f>#REF!</f>
        <v>#REF!</v>
      </c>
      <c r="AH93" t="e">
        <f>#REF!</f>
        <v>#REF!</v>
      </c>
      <c r="AI93" t="e">
        <f>#REF!</f>
        <v>#REF!</v>
      </c>
      <c r="AO93" s="159" t="e">
        <f>IF(#REF!="",0,#REF!)</f>
        <v>#REF!</v>
      </c>
      <c r="AP93" s="160" t="e">
        <f t="shared" si="2"/>
        <v>#REF!</v>
      </c>
    </row>
    <row r="94" spans="2:42" x14ac:dyDescent="0.25">
      <c r="B94" t="e">
        <f>#REF!</f>
        <v>#REF!</v>
      </c>
      <c r="C94" t="e">
        <f>#REF!</f>
        <v>#REF!</v>
      </c>
      <c r="D94" t="e">
        <f>#REF!</f>
        <v>#REF!</v>
      </c>
      <c r="E94" s="14" t="e">
        <f>#REF!</f>
        <v>#REF!</v>
      </c>
      <c r="F94" t="e">
        <f>#REF!</f>
        <v>#REF!</v>
      </c>
      <c r="G94" t="e">
        <f>#REF!</f>
        <v>#REF!</v>
      </c>
      <c r="H94" t="e">
        <f>#REF!</f>
        <v>#REF!</v>
      </c>
      <c r="I94" t="e">
        <f>#REF!</f>
        <v>#REF!</v>
      </c>
      <c r="J94" t="e">
        <f>#REF!</f>
        <v>#REF!</v>
      </c>
      <c r="K94" t="e">
        <f>#REF!</f>
        <v>#REF!</v>
      </c>
      <c r="L94" t="e">
        <f>#REF!</f>
        <v>#REF!</v>
      </c>
      <c r="M94" t="e">
        <f>#REF!</f>
        <v>#REF!</v>
      </c>
      <c r="N94" t="e">
        <f>#REF!</f>
        <v>#REF!</v>
      </c>
      <c r="O94" t="e">
        <f>#REF!</f>
        <v>#REF!</v>
      </c>
      <c r="P94" t="e">
        <f>#REF!</f>
        <v>#REF!</v>
      </c>
      <c r="Q94" t="e">
        <f>#REF!</f>
        <v>#REF!</v>
      </c>
      <c r="R94" t="e">
        <f>#REF!</f>
        <v>#REF!</v>
      </c>
      <c r="S94" t="e">
        <f>#REF!</f>
        <v>#REF!</v>
      </c>
      <c r="T94" t="e">
        <f>#REF!</f>
        <v>#REF!</v>
      </c>
      <c r="U94" t="e">
        <f>#REF!</f>
        <v>#REF!</v>
      </c>
      <c r="V94" t="e">
        <f>#REF!</f>
        <v>#REF!</v>
      </c>
      <c r="W94" t="e">
        <f>#REF!</f>
        <v>#REF!</v>
      </c>
      <c r="X94" t="e">
        <f>#REF!</f>
        <v>#REF!</v>
      </c>
      <c r="Y94" t="e">
        <f>#REF!</f>
        <v>#REF!</v>
      </c>
      <c r="Z94" t="e">
        <f>#REF!</f>
        <v>#REF!</v>
      </c>
      <c r="AA94" t="e">
        <f>#REF!</f>
        <v>#REF!</v>
      </c>
      <c r="AB94" t="e">
        <f>#REF!</f>
        <v>#REF!</v>
      </c>
      <c r="AC94" t="e">
        <f>#REF!</f>
        <v>#REF!</v>
      </c>
      <c r="AD94" t="e">
        <f>#REF!</f>
        <v>#REF!</v>
      </c>
      <c r="AE94" t="e">
        <f>#REF!</f>
        <v>#REF!</v>
      </c>
      <c r="AF94" t="e">
        <f>#REF!</f>
        <v>#REF!</v>
      </c>
      <c r="AG94" t="e">
        <f>#REF!</f>
        <v>#REF!</v>
      </c>
      <c r="AH94" t="e">
        <f>#REF!</f>
        <v>#REF!</v>
      </c>
      <c r="AI94" t="e">
        <f>#REF!</f>
        <v>#REF!</v>
      </c>
      <c r="AO94" s="159" t="e">
        <f>IF(#REF!="",0,#REF!)</f>
        <v>#REF!</v>
      </c>
      <c r="AP94" s="160" t="e">
        <f t="shared" si="2"/>
        <v>#REF!</v>
      </c>
    </row>
    <row r="95" spans="2:42" x14ac:dyDescent="0.25">
      <c r="B95" t="e">
        <f>#REF!</f>
        <v>#REF!</v>
      </c>
      <c r="C95" t="e">
        <f>#REF!</f>
        <v>#REF!</v>
      </c>
      <c r="D95" t="e">
        <f>#REF!</f>
        <v>#REF!</v>
      </c>
      <c r="E95" s="14" t="e">
        <f>#REF!</f>
        <v>#REF!</v>
      </c>
      <c r="F95" t="e">
        <f>#REF!</f>
        <v>#REF!</v>
      </c>
      <c r="G95" t="e">
        <f>#REF!</f>
        <v>#REF!</v>
      </c>
      <c r="H95" t="e">
        <f>#REF!</f>
        <v>#REF!</v>
      </c>
      <c r="I95" t="e">
        <f>#REF!</f>
        <v>#REF!</v>
      </c>
      <c r="J95" t="e">
        <f>#REF!</f>
        <v>#REF!</v>
      </c>
      <c r="K95" t="e">
        <f>#REF!</f>
        <v>#REF!</v>
      </c>
      <c r="L95" t="e">
        <f>#REF!</f>
        <v>#REF!</v>
      </c>
      <c r="M95" t="e">
        <f>#REF!</f>
        <v>#REF!</v>
      </c>
      <c r="N95" t="e">
        <f>#REF!</f>
        <v>#REF!</v>
      </c>
      <c r="O95" t="e">
        <f>#REF!</f>
        <v>#REF!</v>
      </c>
      <c r="P95" t="e">
        <f>#REF!</f>
        <v>#REF!</v>
      </c>
      <c r="Q95" t="e">
        <f>#REF!</f>
        <v>#REF!</v>
      </c>
      <c r="R95" t="e">
        <f>#REF!</f>
        <v>#REF!</v>
      </c>
      <c r="S95" t="e">
        <f>#REF!</f>
        <v>#REF!</v>
      </c>
      <c r="T95" t="e">
        <f>#REF!</f>
        <v>#REF!</v>
      </c>
      <c r="U95" t="e">
        <f>#REF!</f>
        <v>#REF!</v>
      </c>
      <c r="V95" t="e">
        <f>#REF!</f>
        <v>#REF!</v>
      </c>
      <c r="W95" t="e">
        <f>#REF!</f>
        <v>#REF!</v>
      </c>
      <c r="X95" t="e">
        <f>#REF!</f>
        <v>#REF!</v>
      </c>
      <c r="Y95" t="e">
        <f>#REF!</f>
        <v>#REF!</v>
      </c>
      <c r="Z95" t="e">
        <f>#REF!</f>
        <v>#REF!</v>
      </c>
      <c r="AA95" t="e">
        <f>#REF!</f>
        <v>#REF!</v>
      </c>
      <c r="AB95" t="e">
        <f>#REF!</f>
        <v>#REF!</v>
      </c>
      <c r="AC95" t="e">
        <f>#REF!</f>
        <v>#REF!</v>
      </c>
      <c r="AD95" t="e">
        <f>#REF!</f>
        <v>#REF!</v>
      </c>
      <c r="AE95" t="e">
        <f>#REF!</f>
        <v>#REF!</v>
      </c>
      <c r="AF95" t="e">
        <f>#REF!</f>
        <v>#REF!</v>
      </c>
      <c r="AG95" t="e">
        <f>#REF!</f>
        <v>#REF!</v>
      </c>
      <c r="AH95" t="e">
        <f>#REF!</f>
        <v>#REF!</v>
      </c>
      <c r="AI95" t="e">
        <f>#REF!</f>
        <v>#REF!</v>
      </c>
      <c r="AO95" s="159" t="e">
        <f>IF(#REF!="",0,#REF!)</f>
        <v>#REF!</v>
      </c>
      <c r="AP95" s="160" t="e">
        <f t="shared" si="2"/>
        <v>#REF!</v>
      </c>
    </row>
    <row r="96" spans="2:42" x14ac:dyDescent="0.25">
      <c r="B96" t="e">
        <f>#REF!</f>
        <v>#REF!</v>
      </c>
      <c r="C96" t="e">
        <f>#REF!</f>
        <v>#REF!</v>
      </c>
      <c r="D96" t="e">
        <f>#REF!</f>
        <v>#REF!</v>
      </c>
      <c r="E96" s="14" t="e">
        <f>#REF!</f>
        <v>#REF!</v>
      </c>
      <c r="F96" t="e">
        <f>#REF!</f>
        <v>#REF!</v>
      </c>
      <c r="G96" t="e">
        <f>#REF!</f>
        <v>#REF!</v>
      </c>
      <c r="H96" t="e">
        <f>#REF!</f>
        <v>#REF!</v>
      </c>
      <c r="I96" t="e">
        <f>#REF!</f>
        <v>#REF!</v>
      </c>
      <c r="J96" t="e">
        <f>#REF!</f>
        <v>#REF!</v>
      </c>
      <c r="K96" t="e">
        <f>#REF!</f>
        <v>#REF!</v>
      </c>
      <c r="L96" t="e">
        <f>#REF!</f>
        <v>#REF!</v>
      </c>
      <c r="M96" t="e">
        <f>#REF!</f>
        <v>#REF!</v>
      </c>
      <c r="N96" t="e">
        <f>#REF!</f>
        <v>#REF!</v>
      </c>
      <c r="O96" t="e">
        <f>#REF!</f>
        <v>#REF!</v>
      </c>
      <c r="P96" t="e">
        <f>#REF!</f>
        <v>#REF!</v>
      </c>
      <c r="Q96" t="e">
        <f>#REF!</f>
        <v>#REF!</v>
      </c>
      <c r="R96" t="e">
        <f>#REF!</f>
        <v>#REF!</v>
      </c>
      <c r="S96" t="e">
        <f>#REF!</f>
        <v>#REF!</v>
      </c>
      <c r="T96" t="e">
        <f>#REF!</f>
        <v>#REF!</v>
      </c>
      <c r="U96" t="e">
        <f>#REF!</f>
        <v>#REF!</v>
      </c>
      <c r="V96" t="e">
        <f>#REF!</f>
        <v>#REF!</v>
      </c>
      <c r="W96" t="e">
        <f>#REF!</f>
        <v>#REF!</v>
      </c>
      <c r="X96" t="e">
        <f>#REF!</f>
        <v>#REF!</v>
      </c>
      <c r="Y96" t="e">
        <f>#REF!</f>
        <v>#REF!</v>
      </c>
      <c r="Z96" t="e">
        <f>#REF!</f>
        <v>#REF!</v>
      </c>
      <c r="AA96" t="e">
        <f>#REF!</f>
        <v>#REF!</v>
      </c>
      <c r="AB96" t="e">
        <f>#REF!</f>
        <v>#REF!</v>
      </c>
      <c r="AC96" t="e">
        <f>#REF!</f>
        <v>#REF!</v>
      </c>
      <c r="AD96" t="e">
        <f>#REF!</f>
        <v>#REF!</v>
      </c>
      <c r="AE96" t="e">
        <f>#REF!</f>
        <v>#REF!</v>
      </c>
      <c r="AF96" t="e">
        <f>#REF!</f>
        <v>#REF!</v>
      </c>
      <c r="AG96" t="e">
        <f>#REF!</f>
        <v>#REF!</v>
      </c>
      <c r="AH96" t="e">
        <f>#REF!</f>
        <v>#REF!</v>
      </c>
      <c r="AI96" t="e">
        <f>#REF!</f>
        <v>#REF!</v>
      </c>
      <c r="AO96" s="159" t="e">
        <f>IF(#REF!="",0,#REF!)</f>
        <v>#REF!</v>
      </c>
      <c r="AP96" s="160" t="e">
        <f t="shared" si="2"/>
        <v>#REF!</v>
      </c>
    </row>
    <row r="97" spans="2:42" x14ac:dyDescent="0.25">
      <c r="B97" t="e">
        <f>#REF!</f>
        <v>#REF!</v>
      </c>
      <c r="C97" t="e">
        <f>#REF!</f>
        <v>#REF!</v>
      </c>
      <c r="D97" t="e">
        <f>#REF!</f>
        <v>#REF!</v>
      </c>
      <c r="E97" s="14" t="e">
        <f>#REF!</f>
        <v>#REF!</v>
      </c>
      <c r="F97" t="e">
        <f>#REF!</f>
        <v>#REF!</v>
      </c>
      <c r="G97" t="e">
        <f>#REF!</f>
        <v>#REF!</v>
      </c>
      <c r="H97" t="e">
        <f>#REF!</f>
        <v>#REF!</v>
      </c>
      <c r="I97" t="e">
        <f>#REF!</f>
        <v>#REF!</v>
      </c>
      <c r="J97" t="e">
        <f>#REF!</f>
        <v>#REF!</v>
      </c>
      <c r="K97" t="e">
        <f>#REF!</f>
        <v>#REF!</v>
      </c>
      <c r="L97" t="e">
        <f>#REF!</f>
        <v>#REF!</v>
      </c>
      <c r="M97" t="e">
        <f>#REF!</f>
        <v>#REF!</v>
      </c>
      <c r="N97" t="e">
        <f>#REF!</f>
        <v>#REF!</v>
      </c>
      <c r="O97" t="e">
        <f>#REF!</f>
        <v>#REF!</v>
      </c>
      <c r="P97" t="e">
        <f>#REF!</f>
        <v>#REF!</v>
      </c>
      <c r="Q97" t="e">
        <f>#REF!</f>
        <v>#REF!</v>
      </c>
      <c r="R97" t="e">
        <f>#REF!</f>
        <v>#REF!</v>
      </c>
      <c r="S97" t="e">
        <f>#REF!</f>
        <v>#REF!</v>
      </c>
      <c r="T97" t="e">
        <f>#REF!</f>
        <v>#REF!</v>
      </c>
      <c r="U97" t="e">
        <f>#REF!</f>
        <v>#REF!</v>
      </c>
      <c r="V97" t="e">
        <f>#REF!</f>
        <v>#REF!</v>
      </c>
      <c r="W97" t="e">
        <f>#REF!</f>
        <v>#REF!</v>
      </c>
      <c r="X97" t="e">
        <f>#REF!</f>
        <v>#REF!</v>
      </c>
      <c r="Y97" t="e">
        <f>#REF!</f>
        <v>#REF!</v>
      </c>
      <c r="Z97" t="e">
        <f>#REF!</f>
        <v>#REF!</v>
      </c>
      <c r="AA97" t="e">
        <f>#REF!</f>
        <v>#REF!</v>
      </c>
      <c r="AB97" t="e">
        <f>#REF!</f>
        <v>#REF!</v>
      </c>
      <c r="AC97" t="e">
        <f>#REF!</f>
        <v>#REF!</v>
      </c>
      <c r="AD97" t="e">
        <f>#REF!</f>
        <v>#REF!</v>
      </c>
      <c r="AE97" t="e">
        <f>#REF!</f>
        <v>#REF!</v>
      </c>
      <c r="AF97" t="e">
        <f>#REF!</f>
        <v>#REF!</v>
      </c>
      <c r="AG97" t="e">
        <f>#REF!</f>
        <v>#REF!</v>
      </c>
      <c r="AH97" t="e">
        <f>#REF!</f>
        <v>#REF!</v>
      </c>
      <c r="AI97" t="e">
        <f>#REF!</f>
        <v>#REF!</v>
      </c>
      <c r="AO97" s="159" t="e">
        <f>IF(#REF!="",0,#REF!)</f>
        <v>#REF!</v>
      </c>
      <c r="AP97" s="160" t="e">
        <f t="shared" si="2"/>
        <v>#REF!</v>
      </c>
    </row>
    <row r="98" spans="2:42" x14ac:dyDescent="0.25">
      <c r="B98" t="e">
        <f>#REF!</f>
        <v>#REF!</v>
      </c>
      <c r="C98" t="e">
        <f>#REF!</f>
        <v>#REF!</v>
      </c>
      <c r="D98" t="e">
        <f>#REF!</f>
        <v>#REF!</v>
      </c>
      <c r="E98" s="14" t="e">
        <f>#REF!</f>
        <v>#REF!</v>
      </c>
      <c r="F98" t="e">
        <f>#REF!</f>
        <v>#REF!</v>
      </c>
      <c r="G98" t="e">
        <f>#REF!</f>
        <v>#REF!</v>
      </c>
      <c r="H98" t="e">
        <f>#REF!</f>
        <v>#REF!</v>
      </c>
      <c r="I98" t="e">
        <f>#REF!</f>
        <v>#REF!</v>
      </c>
      <c r="J98" t="e">
        <f>#REF!</f>
        <v>#REF!</v>
      </c>
      <c r="K98" t="e">
        <f>#REF!</f>
        <v>#REF!</v>
      </c>
      <c r="L98" t="e">
        <f>#REF!</f>
        <v>#REF!</v>
      </c>
      <c r="M98" t="e">
        <f>#REF!</f>
        <v>#REF!</v>
      </c>
      <c r="N98" t="e">
        <f>#REF!</f>
        <v>#REF!</v>
      </c>
      <c r="O98" t="e">
        <f>#REF!</f>
        <v>#REF!</v>
      </c>
      <c r="P98" t="e">
        <f>#REF!</f>
        <v>#REF!</v>
      </c>
      <c r="Q98" t="e">
        <f>#REF!</f>
        <v>#REF!</v>
      </c>
      <c r="R98" t="e">
        <f>#REF!</f>
        <v>#REF!</v>
      </c>
      <c r="S98" t="e">
        <f>#REF!</f>
        <v>#REF!</v>
      </c>
      <c r="T98" t="e">
        <f>#REF!</f>
        <v>#REF!</v>
      </c>
      <c r="U98" t="e">
        <f>#REF!</f>
        <v>#REF!</v>
      </c>
      <c r="V98" t="e">
        <f>#REF!</f>
        <v>#REF!</v>
      </c>
      <c r="W98" t="e">
        <f>#REF!</f>
        <v>#REF!</v>
      </c>
      <c r="X98" t="e">
        <f>#REF!</f>
        <v>#REF!</v>
      </c>
      <c r="Y98" t="e">
        <f>#REF!</f>
        <v>#REF!</v>
      </c>
      <c r="Z98" t="e">
        <f>#REF!</f>
        <v>#REF!</v>
      </c>
      <c r="AA98" t="e">
        <f>#REF!</f>
        <v>#REF!</v>
      </c>
      <c r="AB98" t="e">
        <f>#REF!</f>
        <v>#REF!</v>
      </c>
      <c r="AC98" t="e">
        <f>#REF!</f>
        <v>#REF!</v>
      </c>
      <c r="AD98" t="e">
        <f>#REF!</f>
        <v>#REF!</v>
      </c>
      <c r="AE98" t="e">
        <f>#REF!</f>
        <v>#REF!</v>
      </c>
      <c r="AF98" t="e">
        <f>#REF!</f>
        <v>#REF!</v>
      </c>
      <c r="AG98" t="e">
        <f>#REF!</f>
        <v>#REF!</v>
      </c>
      <c r="AH98" t="e">
        <f>#REF!</f>
        <v>#REF!</v>
      </c>
      <c r="AI98" t="e">
        <f>#REF!</f>
        <v>#REF!</v>
      </c>
      <c r="AO98" s="159" t="e">
        <f>IF(#REF!="",0,#REF!)</f>
        <v>#REF!</v>
      </c>
      <c r="AP98" s="160" t="e">
        <f t="shared" si="2"/>
        <v>#REF!</v>
      </c>
    </row>
    <row r="99" spans="2:42" x14ac:dyDescent="0.25">
      <c r="B99" t="e">
        <f>#REF!</f>
        <v>#REF!</v>
      </c>
      <c r="C99" t="e">
        <f>#REF!</f>
        <v>#REF!</v>
      </c>
      <c r="D99" t="e">
        <f>#REF!</f>
        <v>#REF!</v>
      </c>
      <c r="E99" s="14" t="e">
        <f>#REF!</f>
        <v>#REF!</v>
      </c>
      <c r="F99" t="e">
        <f>#REF!</f>
        <v>#REF!</v>
      </c>
      <c r="G99" t="e">
        <f>#REF!</f>
        <v>#REF!</v>
      </c>
      <c r="H99" t="e">
        <f>#REF!</f>
        <v>#REF!</v>
      </c>
      <c r="I99" t="e">
        <f>#REF!</f>
        <v>#REF!</v>
      </c>
      <c r="J99" t="e">
        <f>#REF!</f>
        <v>#REF!</v>
      </c>
      <c r="K99" t="e">
        <f>#REF!</f>
        <v>#REF!</v>
      </c>
      <c r="L99" t="e">
        <f>#REF!</f>
        <v>#REF!</v>
      </c>
      <c r="M99" t="e">
        <f>#REF!</f>
        <v>#REF!</v>
      </c>
      <c r="N99" t="e">
        <f>#REF!</f>
        <v>#REF!</v>
      </c>
      <c r="O99" t="e">
        <f>#REF!</f>
        <v>#REF!</v>
      </c>
      <c r="P99" t="e">
        <f>#REF!</f>
        <v>#REF!</v>
      </c>
      <c r="Q99" t="e">
        <f>#REF!</f>
        <v>#REF!</v>
      </c>
      <c r="R99" t="e">
        <f>#REF!</f>
        <v>#REF!</v>
      </c>
      <c r="S99" t="e">
        <f>#REF!</f>
        <v>#REF!</v>
      </c>
      <c r="T99" t="e">
        <f>#REF!</f>
        <v>#REF!</v>
      </c>
      <c r="U99" t="e">
        <f>#REF!</f>
        <v>#REF!</v>
      </c>
      <c r="V99" t="e">
        <f>#REF!</f>
        <v>#REF!</v>
      </c>
      <c r="W99" t="e">
        <f>#REF!</f>
        <v>#REF!</v>
      </c>
      <c r="X99" t="e">
        <f>#REF!</f>
        <v>#REF!</v>
      </c>
      <c r="Y99" t="e">
        <f>#REF!</f>
        <v>#REF!</v>
      </c>
      <c r="Z99" t="e">
        <f>#REF!</f>
        <v>#REF!</v>
      </c>
      <c r="AA99" t="e">
        <f>#REF!</f>
        <v>#REF!</v>
      </c>
      <c r="AB99" t="e">
        <f>#REF!</f>
        <v>#REF!</v>
      </c>
      <c r="AC99" t="e">
        <f>#REF!</f>
        <v>#REF!</v>
      </c>
      <c r="AD99" t="e">
        <f>#REF!</f>
        <v>#REF!</v>
      </c>
      <c r="AE99" t="e">
        <f>#REF!</f>
        <v>#REF!</v>
      </c>
      <c r="AF99" t="e">
        <f>#REF!</f>
        <v>#REF!</v>
      </c>
      <c r="AG99" t="e">
        <f>#REF!</f>
        <v>#REF!</v>
      </c>
      <c r="AH99" t="e">
        <f>#REF!</f>
        <v>#REF!</v>
      </c>
      <c r="AI99" t="e">
        <f>#REF!</f>
        <v>#REF!</v>
      </c>
      <c r="AO99" s="159" t="e">
        <f>IF(#REF!="",0,#REF!)</f>
        <v>#REF!</v>
      </c>
      <c r="AP99" s="160" t="e">
        <f t="shared" si="2"/>
        <v>#REF!</v>
      </c>
    </row>
    <row r="100" spans="2:42" x14ac:dyDescent="0.25">
      <c r="B100" t="e">
        <f>#REF!</f>
        <v>#REF!</v>
      </c>
      <c r="C100" t="e">
        <f>#REF!</f>
        <v>#REF!</v>
      </c>
      <c r="D100" t="e">
        <f>#REF!</f>
        <v>#REF!</v>
      </c>
      <c r="E100" s="14" t="e">
        <f>#REF!</f>
        <v>#REF!</v>
      </c>
      <c r="F100" t="e">
        <f>#REF!</f>
        <v>#REF!</v>
      </c>
      <c r="G100" t="e">
        <f>#REF!</f>
        <v>#REF!</v>
      </c>
      <c r="H100" t="e">
        <f>#REF!</f>
        <v>#REF!</v>
      </c>
      <c r="I100" t="e">
        <f>#REF!</f>
        <v>#REF!</v>
      </c>
      <c r="J100" t="e">
        <f>#REF!</f>
        <v>#REF!</v>
      </c>
      <c r="K100" t="e">
        <f>#REF!</f>
        <v>#REF!</v>
      </c>
      <c r="L100" t="e">
        <f>#REF!</f>
        <v>#REF!</v>
      </c>
      <c r="M100" t="e">
        <f>#REF!</f>
        <v>#REF!</v>
      </c>
      <c r="N100" t="e">
        <f>#REF!</f>
        <v>#REF!</v>
      </c>
      <c r="O100" t="e">
        <f>#REF!</f>
        <v>#REF!</v>
      </c>
      <c r="P100" t="e">
        <f>#REF!</f>
        <v>#REF!</v>
      </c>
      <c r="Q100" t="e">
        <f>#REF!</f>
        <v>#REF!</v>
      </c>
      <c r="R100" t="e">
        <f>#REF!</f>
        <v>#REF!</v>
      </c>
      <c r="S100" t="e">
        <f>#REF!</f>
        <v>#REF!</v>
      </c>
      <c r="T100" t="e">
        <f>#REF!</f>
        <v>#REF!</v>
      </c>
      <c r="U100" t="e">
        <f>#REF!</f>
        <v>#REF!</v>
      </c>
      <c r="V100" t="e">
        <f>#REF!</f>
        <v>#REF!</v>
      </c>
      <c r="W100" t="e">
        <f>#REF!</f>
        <v>#REF!</v>
      </c>
      <c r="X100" t="e">
        <f>#REF!</f>
        <v>#REF!</v>
      </c>
      <c r="Y100" t="e">
        <f>#REF!</f>
        <v>#REF!</v>
      </c>
      <c r="Z100" t="e">
        <f>#REF!</f>
        <v>#REF!</v>
      </c>
      <c r="AA100" t="e">
        <f>#REF!</f>
        <v>#REF!</v>
      </c>
      <c r="AB100" t="e">
        <f>#REF!</f>
        <v>#REF!</v>
      </c>
      <c r="AC100" t="e">
        <f>#REF!</f>
        <v>#REF!</v>
      </c>
      <c r="AD100" t="e">
        <f>#REF!</f>
        <v>#REF!</v>
      </c>
      <c r="AE100" t="e">
        <f>#REF!</f>
        <v>#REF!</v>
      </c>
      <c r="AF100" t="e">
        <f>#REF!</f>
        <v>#REF!</v>
      </c>
      <c r="AG100" t="e">
        <f>#REF!</f>
        <v>#REF!</v>
      </c>
      <c r="AH100" t="e">
        <f>#REF!</f>
        <v>#REF!</v>
      </c>
      <c r="AI100" t="e">
        <f>#REF!</f>
        <v>#REF!</v>
      </c>
      <c r="AO100" s="159" t="e">
        <f>IF(#REF!="",0,#REF!)</f>
        <v>#REF!</v>
      </c>
      <c r="AP100" s="160" t="e">
        <f t="shared" si="2"/>
        <v>#REF!</v>
      </c>
    </row>
    <row r="101" spans="2:42" x14ac:dyDescent="0.25">
      <c r="B101" t="e">
        <f>#REF!</f>
        <v>#REF!</v>
      </c>
      <c r="C101" t="e">
        <f>#REF!</f>
        <v>#REF!</v>
      </c>
      <c r="D101" t="e">
        <f>#REF!</f>
        <v>#REF!</v>
      </c>
      <c r="E101" s="14" t="e">
        <f>#REF!</f>
        <v>#REF!</v>
      </c>
      <c r="F101" t="e">
        <f>#REF!</f>
        <v>#REF!</v>
      </c>
      <c r="G101" t="e">
        <f>#REF!</f>
        <v>#REF!</v>
      </c>
      <c r="H101" t="e">
        <f>#REF!</f>
        <v>#REF!</v>
      </c>
      <c r="I101" t="e">
        <f>#REF!</f>
        <v>#REF!</v>
      </c>
      <c r="J101" t="e">
        <f>#REF!</f>
        <v>#REF!</v>
      </c>
      <c r="K101" t="e">
        <f>#REF!</f>
        <v>#REF!</v>
      </c>
      <c r="L101" t="e">
        <f>#REF!</f>
        <v>#REF!</v>
      </c>
      <c r="M101" t="e">
        <f>#REF!</f>
        <v>#REF!</v>
      </c>
      <c r="N101" t="e">
        <f>#REF!</f>
        <v>#REF!</v>
      </c>
      <c r="O101" t="e">
        <f>#REF!</f>
        <v>#REF!</v>
      </c>
      <c r="P101" t="e">
        <f>#REF!</f>
        <v>#REF!</v>
      </c>
      <c r="Q101" t="e">
        <f>#REF!</f>
        <v>#REF!</v>
      </c>
      <c r="R101" t="e">
        <f>#REF!</f>
        <v>#REF!</v>
      </c>
      <c r="S101" t="e">
        <f>#REF!</f>
        <v>#REF!</v>
      </c>
      <c r="T101" t="e">
        <f>#REF!</f>
        <v>#REF!</v>
      </c>
      <c r="U101" t="e">
        <f>#REF!</f>
        <v>#REF!</v>
      </c>
      <c r="V101" t="e">
        <f>#REF!</f>
        <v>#REF!</v>
      </c>
      <c r="W101" t="e">
        <f>#REF!</f>
        <v>#REF!</v>
      </c>
      <c r="X101" t="e">
        <f>#REF!</f>
        <v>#REF!</v>
      </c>
      <c r="Y101" t="e">
        <f>#REF!</f>
        <v>#REF!</v>
      </c>
      <c r="Z101" t="e">
        <f>#REF!</f>
        <v>#REF!</v>
      </c>
      <c r="AA101" t="e">
        <f>#REF!</f>
        <v>#REF!</v>
      </c>
      <c r="AB101" t="e">
        <f>#REF!</f>
        <v>#REF!</v>
      </c>
      <c r="AC101" t="e">
        <f>#REF!</f>
        <v>#REF!</v>
      </c>
      <c r="AD101" t="e">
        <f>#REF!</f>
        <v>#REF!</v>
      </c>
      <c r="AE101" t="e">
        <f>#REF!</f>
        <v>#REF!</v>
      </c>
      <c r="AF101" t="e">
        <f>#REF!</f>
        <v>#REF!</v>
      </c>
      <c r="AG101" t="e">
        <f>#REF!</f>
        <v>#REF!</v>
      </c>
      <c r="AH101" t="e">
        <f>#REF!</f>
        <v>#REF!</v>
      </c>
      <c r="AI101" t="e">
        <f>#REF!</f>
        <v>#REF!</v>
      </c>
      <c r="AO101" s="159" t="e">
        <f>IF(#REF!="",0,#REF!)</f>
        <v>#REF!</v>
      </c>
      <c r="AP101" s="160" t="e">
        <f t="shared" si="2"/>
        <v>#REF!</v>
      </c>
    </row>
    <row r="102" spans="2:42" x14ac:dyDescent="0.25">
      <c r="B102" t="e">
        <f>#REF!</f>
        <v>#REF!</v>
      </c>
      <c r="C102" t="e">
        <f>#REF!</f>
        <v>#REF!</v>
      </c>
      <c r="D102" t="e">
        <f>#REF!</f>
        <v>#REF!</v>
      </c>
      <c r="E102" s="14" t="e">
        <f>#REF!</f>
        <v>#REF!</v>
      </c>
      <c r="F102" t="e">
        <f>#REF!</f>
        <v>#REF!</v>
      </c>
      <c r="G102" t="e">
        <f>#REF!</f>
        <v>#REF!</v>
      </c>
      <c r="H102" t="e">
        <f>#REF!</f>
        <v>#REF!</v>
      </c>
      <c r="I102" t="e">
        <f>#REF!</f>
        <v>#REF!</v>
      </c>
      <c r="J102" t="e">
        <f>#REF!</f>
        <v>#REF!</v>
      </c>
      <c r="K102" t="e">
        <f>#REF!</f>
        <v>#REF!</v>
      </c>
      <c r="L102" t="e">
        <f>#REF!</f>
        <v>#REF!</v>
      </c>
      <c r="M102" t="e">
        <f>#REF!</f>
        <v>#REF!</v>
      </c>
      <c r="N102" t="e">
        <f>#REF!</f>
        <v>#REF!</v>
      </c>
      <c r="O102" t="e">
        <f>#REF!</f>
        <v>#REF!</v>
      </c>
      <c r="P102" t="e">
        <f>#REF!</f>
        <v>#REF!</v>
      </c>
      <c r="Q102" t="e">
        <f>#REF!</f>
        <v>#REF!</v>
      </c>
      <c r="R102" t="e">
        <f>#REF!</f>
        <v>#REF!</v>
      </c>
      <c r="S102" t="e">
        <f>#REF!</f>
        <v>#REF!</v>
      </c>
      <c r="T102" t="e">
        <f>#REF!</f>
        <v>#REF!</v>
      </c>
      <c r="U102" t="e">
        <f>#REF!</f>
        <v>#REF!</v>
      </c>
      <c r="V102" t="e">
        <f>#REF!</f>
        <v>#REF!</v>
      </c>
      <c r="W102" t="e">
        <f>#REF!</f>
        <v>#REF!</v>
      </c>
      <c r="X102" t="e">
        <f>#REF!</f>
        <v>#REF!</v>
      </c>
      <c r="Y102" t="e">
        <f>#REF!</f>
        <v>#REF!</v>
      </c>
      <c r="Z102" t="e">
        <f>#REF!</f>
        <v>#REF!</v>
      </c>
      <c r="AA102" t="e">
        <f>#REF!</f>
        <v>#REF!</v>
      </c>
      <c r="AB102" t="e">
        <f>#REF!</f>
        <v>#REF!</v>
      </c>
      <c r="AC102" t="e">
        <f>#REF!</f>
        <v>#REF!</v>
      </c>
      <c r="AD102" t="e">
        <f>#REF!</f>
        <v>#REF!</v>
      </c>
      <c r="AE102" t="e">
        <f>#REF!</f>
        <v>#REF!</v>
      </c>
      <c r="AF102" t="e">
        <f>#REF!</f>
        <v>#REF!</v>
      </c>
      <c r="AG102" t="e">
        <f>#REF!</f>
        <v>#REF!</v>
      </c>
      <c r="AH102" t="e">
        <f>#REF!</f>
        <v>#REF!</v>
      </c>
      <c r="AI102" t="e">
        <f>#REF!</f>
        <v>#REF!</v>
      </c>
      <c r="AO102" s="159" t="e">
        <f>IF(#REF!="",0,#REF!)</f>
        <v>#REF!</v>
      </c>
      <c r="AP102" s="160" t="e">
        <f t="shared" si="2"/>
        <v>#REF!</v>
      </c>
    </row>
    <row r="103" spans="2:42" x14ac:dyDescent="0.25">
      <c r="AP103" s="161"/>
    </row>
    <row r="104" spans="2:42" x14ac:dyDescent="0.25">
      <c r="AP104" s="161"/>
    </row>
    <row r="105" spans="2:42" x14ac:dyDescent="0.25">
      <c r="AP105" s="161"/>
    </row>
    <row r="106" spans="2:42" x14ac:dyDescent="0.25">
      <c r="AP106" s="161"/>
    </row>
    <row r="107" spans="2:42" x14ac:dyDescent="0.25">
      <c r="B107" t="e">
        <f>#REF!</f>
        <v>#REF!</v>
      </c>
      <c r="C107" t="e">
        <f>#REF!</f>
        <v>#REF!</v>
      </c>
      <c r="D107" t="e">
        <f>#REF!</f>
        <v>#REF!</v>
      </c>
      <c r="E107" s="14" t="e">
        <f>#REF!</f>
        <v>#REF!</v>
      </c>
      <c r="F107" t="e">
        <f>#REF!</f>
        <v>#REF!</v>
      </c>
      <c r="G107" t="e">
        <f>#REF!</f>
        <v>#REF!</v>
      </c>
      <c r="H107" t="e">
        <f>#REF!</f>
        <v>#REF!</v>
      </c>
      <c r="I107" t="e">
        <f>#REF!</f>
        <v>#REF!</v>
      </c>
      <c r="J107" t="e">
        <f>#REF!</f>
        <v>#REF!</v>
      </c>
      <c r="K107" t="e">
        <f>#REF!</f>
        <v>#REF!</v>
      </c>
      <c r="L107" t="e">
        <f>#REF!</f>
        <v>#REF!</v>
      </c>
      <c r="M107" t="e">
        <f>#REF!</f>
        <v>#REF!</v>
      </c>
      <c r="N107" t="e">
        <f>#REF!</f>
        <v>#REF!</v>
      </c>
      <c r="O107" t="e">
        <f>#REF!</f>
        <v>#REF!</v>
      </c>
      <c r="P107" t="e">
        <f>#REF!</f>
        <v>#REF!</v>
      </c>
      <c r="Q107" t="e">
        <f>#REF!</f>
        <v>#REF!</v>
      </c>
      <c r="R107" t="e">
        <f>#REF!</f>
        <v>#REF!</v>
      </c>
      <c r="S107" t="e">
        <f>#REF!</f>
        <v>#REF!</v>
      </c>
      <c r="T107" t="e">
        <f>#REF!</f>
        <v>#REF!</v>
      </c>
      <c r="U107" t="e">
        <f>#REF!</f>
        <v>#REF!</v>
      </c>
      <c r="V107" t="e">
        <f>#REF!</f>
        <v>#REF!</v>
      </c>
      <c r="W107" t="e">
        <f>#REF!</f>
        <v>#REF!</v>
      </c>
      <c r="X107" t="e">
        <f>#REF!</f>
        <v>#REF!</v>
      </c>
      <c r="Y107" t="e">
        <f>#REF!</f>
        <v>#REF!</v>
      </c>
      <c r="Z107" t="e">
        <f>#REF!</f>
        <v>#REF!</v>
      </c>
      <c r="AA107" t="e">
        <f>#REF!</f>
        <v>#REF!</v>
      </c>
      <c r="AB107" t="e">
        <f>#REF!</f>
        <v>#REF!</v>
      </c>
      <c r="AC107" t="e">
        <f>#REF!</f>
        <v>#REF!</v>
      </c>
      <c r="AD107" t="e">
        <f>#REF!</f>
        <v>#REF!</v>
      </c>
      <c r="AE107" t="e">
        <f>#REF!</f>
        <v>#REF!</v>
      </c>
      <c r="AF107" t="e">
        <f>#REF!</f>
        <v>#REF!</v>
      </c>
      <c r="AG107" t="e">
        <f>#REF!</f>
        <v>#REF!</v>
      </c>
      <c r="AH107" t="e">
        <f>#REF!</f>
        <v>#REF!</v>
      </c>
      <c r="AI107" t="e">
        <f>#REF!</f>
        <v>#REF!</v>
      </c>
      <c r="AO107" s="159" t="e">
        <f>IF(#REF!="",0,#REF!)</f>
        <v>#REF!</v>
      </c>
      <c r="AP107" s="160" t="e">
        <f t="shared" ref="AP107:AP136" si="3">SUM(F107:AI107)-AO107</f>
        <v>#REF!</v>
      </c>
    </row>
    <row r="108" spans="2:42" x14ac:dyDescent="0.25">
      <c r="B108" t="e">
        <f>#REF!</f>
        <v>#REF!</v>
      </c>
      <c r="C108" t="e">
        <f>#REF!</f>
        <v>#REF!</v>
      </c>
      <c r="D108" t="e">
        <f>#REF!</f>
        <v>#REF!</v>
      </c>
      <c r="E108" s="14" t="e">
        <f>#REF!</f>
        <v>#REF!</v>
      </c>
      <c r="F108" t="e">
        <f>#REF!</f>
        <v>#REF!</v>
      </c>
      <c r="G108" t="e">
        <f>#REF!</f>
        <v>#REF!</v>
      </c>
      <c r="H108" t="e">
        <f>#REF!</f>
        <v>#REF!</v>
      </c>
      <c r="I108" t="e">
        <f>#REF!</f>
        <v>#REF!</v>
      </c>
      <c r="J108" t="e">
        <f>#REF!</f>
        <v>#REF!</v>
      </c>
      <c r="K108" t="e">
        <f>#REF!</f>
        <v>#REF!</v>
      </c>
      <c r="L108" t="e">
        <f>#REF!</f>
        <v>#REF!</v>
      </c>
      <c r="M108" t="e">
        <f>#REF!</f>
        <v>#REF!</v>
      </c>
      <c r="N108" t="e">
        <f>#REF!</f>
        <v>#REF!</v>
      </c>
      <c r="O108" t="e">
        <f>#REF!</f>
        <v>#REF!</v>
      </c>
      <c r="P108" t="e">
        <f>#REF!</f>
        <v>#REF!</v>
      </c>
      <c r="Q108" t="e">
        <f>#REF!</f>
        <v>#REF!</v>
      </c>
      <c r="R108" t="e">
        <f>#REF!</f>
        <v>#REF!</v>
      </c>
      <c r="S108" t="e">
        <f>#REF!</f>
        <v>#REF!</v>
      </c>
      <c r="T108" t="e">
        <f>#REF!</f>
        <v>#REF!</v>
      </c>
      <c r="U108" t="e">
        <f>#REF!</f>
        <v>#REF!</v>
      </c>
      <c r="V108" t="e">
        <f>#REF!</f>
        <v>#REF!</v>
      </c>
      <c r="W108" t="e">
        <f>#REF!</f>
        <v>#REF!</v>
      </c>
      <c r="X108" t="e">
        <f>#REF!</f>
        <v>#REF!</v>
      </c>
      <c r="Y108" t="e">
        <f>#REF!</f>
        <v>#REF!</v>
      </c>
      <c r="Z108" t="e">
        <f>#REF!</f>
        <v>#REF!</v>
      </c>
      <c r="AA108" t="e">
        <f>#REF!</f>
        <v>#REF!</v>
      </c>
      <c r="AB108" t="e">
        <f>#REF!</f>
        <v>#REF!</v>
      </c>
      <c r="AC108" t="e">
        <f>#REF!</f>
        <v>#REF!</v>
      </c>
      <c r="AD108" t="e">
        <f>#REF!</f>
        <v>#REF!</v>
      </c>
      <c r="AE108" t="e">
        <f>#REF!</f>
        <v>#REF!</v>
      </c>
      <c r="AF108" t="e">
        <f>#REF!</f>
        <v>#REF!</v>
      </c>
      <c r="AG108" t="e">
        <f>#REF!</f>
        <v>#REF!</v>
      </c>
      <c r="AH108" t="e">
        <f>#REF!</f>
        <v>#REF!</v>
      </c>
      <c r="AI108" t="e">
        <f>#REF!</f>
        <v>#REF!</v>
      </c>
      <c r="AO108" s="159" t="e">
        <f>IF(#REF!="",0,#REF!)</f>
        <v>#REF!</v>
      </c>
      <c r="AP108" s="160" t="e">
        <f t="shared" si="3"/>
        <v>#REF!</v>
      </c>
    </row>
    <row r="109" spans="2:42" x14ac:dyDescent="0.25">
      <c r="B109" t="e">
        <f>#REF!</f>
        <v>#REF!</v>
      </c>
      <c r="C109" t="e">
        <f>#REF!</f>
        <v>#REF!</v>
      </c>
      <c r="D109" t="e">
        <f>#REF!</f>
        <v>#REF!</v>
      </c>
      <c r="E109" s="14" t="e">
        <f>#REF!</f>
        <v>#REF!</v>
      </c>
      <c r="F109" t="e">
        <f>#REF!</f>
        <v>#REF!</v>
      </c>
      <c r="G109" t="e">
        <f>#REF!</f>
        <v>#REF!</v>
      </c>
      <c r="H109" t="e">
        <f>#REF!</f>
        <v>#REF!</v>
      </c>
      <c r="I109" t="e">
        <f>#REF!</f>
        <v>#REF!</v>
      </c>
      <c r="J109" t="e">
        <f>#REF!</f>
        <v>#REF!</v>
      </c>
      <c r="K109" t="e">
        <f>#REF!</f>
        <v>#REF!</v>
      </c>
      <c r="L109" t="e">
        <f>#REF!</f>
        <v>#REF!</v>
      </c>
      <c r="M109" t="e">
        <f>#REF!</f>
        <v>#REF!</v>
      </c>
      <c r="N109" t="e">
        <f>#REF!</f>
        <v>#REF!</v>
      </c>
      <c r="O109" t="e">
        <f>#REF!</f>
        <v>#REF!</v>
      </c>
      <c r="P109" t="e">
        <f>#REF!</f>
        <v>#REF!</v>
      </c>
      <c r="Q109" t="e">
        <f>#REF!</f>
        <v>#REF!</v>
      </c>
      <c r="R109" t="e">
        <f>#REF!</f>
        <v>#REF!</v>
      </c>
      <c r="S109" t="e">
        <f>#REF!</f>
        <v>#REF!</v>
      </c>
      <c r="T109" t="e">
        <f>#REF!</f>
        <v>#REF!</v>
      </c>
      <c r="U109" t="e">
        <f>#REF!</f>
        <v>#REF!</v>
      </c>
      <c r="V109" t="e">
        <f>#REF!</f>
        <v>#REF!</v>
      </c>
      <c r="W109" t="e">
        <f>#REF!</f>
        <v>#REF!</v>
      </c>
      <c r="X109" t="e">
        <f>#REF!</f>
        <v>#REF!</v>
      </c>
      <c r="Y109" t="e">
        <f>#REF!</f>
        <v>#REF!</v>
      </c>
      <c r="Z109" t="e">
        <f>#REF!</f>
        <v>#REF!</v>
      </c>
      <c r="AA109" t="e">
        <f>#REF!</f>
        <v>#REF!</v>
      </c>
      <c r="AB109" t="e">
        <f>#REF!</f>
        <v>#REF!</v>
      </c>
      <c r="AC109" t="e">
        <f>#REF!</f>
        <v>#REF!</v>
      </c>
      <c r="AD109" t="e">
        <f>#REF!</f>
        <v>#REF!</v>
      </c>
      <c r="AE109" t="e">
        <f>#REF!</f>
        <v>#REF!</v>
      </c>
      <c r="AF109" t="e">
        <f>#REF!</f>
        <v>#REF!</v>
      </c>
      <c r="AG109" t="e">
        <f>#REF!</f>
        <v>#REF!</v>
      </c>
      <c r="AH109" t="e">
        <f>#REF!</f>
        <v>#REF!</v>
      </c>
      <c r="AI109" t="e">
        <f>#REF!</f>
        <v>#REF!</v>
      </c>
      <c r="AO109" s="159" t="e">
        <f>IF(#REF!="",0,#REF!)</f>
        <v>#REF!</v>
      </c>
      <c r="AP109" s="160" t="e">
        <f t="shared" si="3"/>
        <v>#REF!</v>
      </c>
    </row>
    <row r="110" spans="2:42" x14ac:dyDescent="0.25">
      <c r="B110" t="e">
        <f>#REF!</f>
        <v>#REF!</v>
      </c>
      <c r="C110" t="e">
        <f>#REF!</f>
        <v>#REF!</v>
      </c>
      <c r="D110" t="e">
        <f>#REF!</f>
        <v>#REF!</v>
      </c>
      <c r="E110" s="14" t="e">
        <f>#REF!</f>
        <v>#REF!</v>
      </c>
      <c r="F110" t="e">
        <f>#REF!</f>
        <v>#REF!</v>
      </c>
      <c r="G110" t="e">
        <f>#REF!</f>
        <v>#REF!</v>
      </c>
      <c r="H110" t="e">
        <f>#REF!</f>
        <v>#REF!</v>
      </c>
      <c r="I110" t="e">
        <f>#REF!</f>
        <v>#REF!</v>
      </c>
      <c r="J110" t="e">
        <f>#REF!</f>
        <v>#REF!</v>
      </c>
      <c r="K110" t="e">
        <f>#REF!</f>
        <v>#REF!</v>
      </c>
      <c r="L110" t="e">
        <f>#REF!</f>
        <v>#REF!</v>
      </c>
      <c r="M110" t="e">
        <f>#REF!</f>
        <v>#REF!</v>
      </c>
      <c r="N110" t="e">
        <f>#REF!</f>
        <v>#REF!</v>
      </c>
      <c r="O110" t="e">
        <f>#REF!</f>
        <v>#REF!</v>
      </c>
      <c r="P110" t="e">
        <f>#REF!</f>
        <v>#REF!</v>
      </c>
      <c r="Q110" t="e">
        <f>#REF!</f>
        <v>#REF!</v>
      </c>
      <c r="R110" t="e">
        <f>#REF!</f>
        <v>#REF!</v>
      </c>
      <c r="S110" t="e">
        <f>#REF!</f>
        <v>#REF!</v>
      </c>
      <c r="T110" t="e">
        <f>#REF!</f>
        <v>#REF!</v>
      </c>
      <c r="U110" t="e">
        <f>#REF!</f>
        <v>#REF!</v>
      </c>
      <c r="V110" t="e">
        <f>#REF!</f>
        <v>#REF!</v>
      </c>
      <c r="W110" t="e">
        <f>#REF!</f>
        <v>#REF!</v>
      </c>
      <c r="X110" t="e">
        <f>#REF!</f>
        <v>#REF!</v>
      </c>
      <c r="Y110" t="e">
        <f>#REF!</f>
        <v>#REF!</v>
      </c>
      <c r="Z110" t="e">
        <f>#REF!</f>
        <v>#REF!</v>
      </c>
      <c r="AA110" t="e">
        <f>#REF!</f>
        <v>#REF!</v>
      </c>
      <c r="AB110" t="e">
        <f>#REF!</f>
        <v>#REF!</v>
      </c>
      <c r="AC110" t="e">
        <f>#REF!</f>
        <v>#REF!</v>
      </c>
      <c r="AD110" t="e">
        <f>#REF!</f>
        <v>#REF!</v>
      </c>
      <c r="AE110" t="e">
        <f>#REF!</f>
        <v>#REF!</v>
      </c>
      <c r="AF110" t="e">
        <f>#REF!</f>
        <v>#REF!</v>
      </c>
      <c r="AG110" t="e">
        <f>#REF!</f>
        <v>#REF!</v>
      </c>
      <c r="AH110" t="e">
        <f>#REF!</f>
        <v>#REF!</v>
      </c>
      <c r="AI110" t="e">
        <f>#REF!</f>
        <v>#REF!</v>
      </c>
      <c r="AO110" s="159" t="e">
        <f>IF(#REF!="",0,#REF!)</f>
        <v>#REF!</v>
      </c>
      <c r="AP110" s="160" t="e">
        <f t="shared" si="3"/>
        <v>#REF!</v>
      </c>
    </row>
    <row r="111" spans="2:42" x14ac:dyDescent="0.25">
      <c r="B111" t="e">
        <f>#REF!</f>
        <v>#REF!</v>
      </c>
      <c r="C111" t="e">
        <f>#REF!</f>
        <v>#REF!</v>
      </c>
      <c r="D111" t="e">
        <f>#REF!</f>
        <v>#REF!</v>
      </c>
      <c r="E111" s="14" t="e">
        <f>#REF!</f>
        <v>#REF!</v>
      </c>
      <c r="F111" t="e">
        <f>#REF!</f>
        <v>#REF!</v>
      </c>
      <c r="G111" t="e">
        <f>#REF!</f>
        <v>#REF!</v>
      </c>
      <c r="H111" t="e">
        <f>#REF!</f>
        <v>#REF!</v>
      </c>
      <c r="I111" t="e">
        <f>#REF!</f>
        <v>#REF!</v>
      </c>
      <c r="J111" t="e">
        <f>#REF!</f>
        <v>#REF!</v>
      </c>
      <c r="K111" t="e">
        <f>#REF!</f>
        <v>#REF!</v>
      </c>
      <c r="L111" t="e">
        <f>#REF!</f>
        <v>#REF!</v>
      </c>
      <c r="M111" t="e">
        <f>#REF!</f>
        <v>#REF!</v>
      </c>
      <c r="N111" t="e">
        <f>#REF!</f>
        <v>#REF!</v>
      </c>
      <c r="O111" t="e">
        <f>#REF!</f>
        <v>#REF!</v>
      </c>
      <c r="P111" t="e">
        <f>#REF!</f>
        <v>#REF!</v>
      </c>
      <c r="Q111" t="e">
        <f>#REF!</f>
        <v>#REF!</v>
      </c>
      <c r="R111" t="e">
        <f>#REF!</f>
        <v>#REF!</v>
      </c>
      <c r="S111" t="e">
        <f>#REF!</f>
        <v>#REF!</v>
      </c>
      <c r="T111" t="e">
        <f>#REF!</f>
        <v>#REF!</v>
      </c>
      <c r="U111" t="e">
        <f>#REF!</f>
        <v>#REF!</v>
      </c>
      <c r="V111" t="e">
        <f>#REF!</f>
        <v>#REF!</v>
      </c>
      <c r="W111" t="e">
        <f>#REF!</f>
        <v>#REF!</v>
      </c>
      <c r="X111" t="e">
        <f>#REF!</f>
        <v>#REF!</v>
      </c>
      <c r="Y111" t="e">
        <f>#REF!</f>
        <v>#REF!</v>
      </c>
      <c r="Z111" t="e">
        <f>#REF!</f>
        <v>#REF!</v>
      </c>
      <c r="AA111" t="e">
        <f>#REF!</f>
        <v>#REF!</v>
      </c>
      <c r="AB111" t="e">
        <f>#REF!</f>
        <v>#REF!</v>
      </c>
      <c r="AC111" t="e">
        <f>#REF!</f>
        <v>#REF!</v>
      </c>
      <c r="AD111" t="e">
        <f>#REF!</f>
        <v>#REF!</v>
      </c>
      <c r="AE111" t="e">
        <f>#REF!</f>
        <v>#REF!</v>
      </c>
      <c r="AF111" t="e">
        <f>#REF!</f>
        <v>#REF!</v>
      </c>
      <c r="AG111" t="e">
        <f>#REF!</f>
        <v>#REF!</v>
      </c>
      <c r="AH111" t="e">
        <f>#REF!</f>
        <v>#REF!</v>
      </c>
      <c r="AI111" t="e">
        <f>#REF!</f>
        <v>#REF!</v>
      </c>
      <c r="AO111" s="159" t="e">
        <f>IF(#REF!="",0,#REF!)</f>
        <v>#REF!</v>
      </c>
      <c r="AP111" s="160" t="e">
        <f t="shared" si="3"/>
        <v>#REF!</v>
      </c>
    </row>
    <row r="112" spans="2:42" x14ac:dyDescent="0.25">
      <c r="B112" t="e">
        <f>#REF!</f>
        <v>#REF!</v>
      </c>
      <c r="C112" t="e">
        <f>#REF!</f>
        <v>#REF!</v>
      </c>
      <c r="D112" t="e">
        <f>#REF!</f>
        <v>#REF!</v>
      </c>
      <c r="E112" s="14" t="e">
        <f>#REF!</f>
        <v>#REF!</v>
      </c>
      <c r="F112" t="e">
        <f>#REF!</f>
        <v>#REF!</v>
      </c>
      <c r="G112" t="e">
        <f>#REF!</f>
        <v>#REF!</v>
      </c>
      <c r="H112" t="e">
        <f>#REF!</f>
        <v>#REF!</v>
      </c>
      <c r="I112" t="e">
        <f>#REF!</f>
        <v>#REF!</v>
      </c>
      <c r="J112" t="e">
        <f>#REF!</f>
        <v>#REF!</v>
      </c>
      <c r="K112" t="e">
        <f>#REF!</f>
        <v>#REF!</v>
      </c>
      <c r="L112" t="e">
        <f>#REF!</f>
        <v>#REF!</v>
      </c>
      <c r="M112" t="e">
        <f>#REF!</f>
        <v>#REF!</v>
      </c>
      <c r="N112" t="e">
        <f>#REF!</f>
        <v>#REF!</v>
      </c>
      <c r="O112" t="e">
        <f>#REF!</f>
        <v>#REF!</v>
      </c>
      <c r="P112" t="e">
        <f>#REF!</f>
        <v>#REF!</v>
      </c>
      <c r="Q112" t="e">
        <f>#REF!</f>
        <v>#REF!</v>
      </c>
      <c r="R112" t="e">
        <f>#REF!</f>
        <v>#REF!</v>
      </c>
      <c r="S112" t="e">
        <f>#REF!</f>
        <v>#REF!</v>
      </c>
      <c r="T112" t="e">
        <f>#REF!</f>
        <v>#REF!</v>
      </c>
      <c r="U112" t="e">
        <f>#REF!</f>
        <v>#REF!</v>
      </c>
      <c r="V112" t="e">
        <f>#REF!</f>
        <v>#REF!</v>
      </c>
      <c r="W112" t="e">
        <f>#REF!</f>
        <v>#REF!</v>
      </c>
      <c r="X112" t="e">
        <f>#REF!</f>
        <v>#REF!</v>
      </c>
      <c r="Y112" t="e">
        <f>#REF!</f>
        <v>#REF!</v>
      </c>
      <c r="Z112" t="e">
        <f>#REF!</f>
        <v>#REF!</v>
      </c>
      <c r="AA112" t="e">
        <f>#REF!</f>
        <v>#REF!</v>
      </c>
      <c r="AB112" t="e">
        <f>#REF!</f>
        <v>#REF!</v>
      </c>
      <c r="AC112" t="e">
        <f>#REF!</f>
        <v>#REF!</v>
      </c>
      <c r="AD112" t="e">
        <f>#REF!</f>
        <v>#REF!</v>
      </c>
      <c r="AE112" t="e">
        <f>#REF!</f>
        <v>#REF!</v>
      </c>
      <c r="AF112" t="e">
        <f>#REF!</f>
        <v>#REF!</v>
      </c>
      <c r="AG112" t="e">
        <f>#REF!</f>
        <v>#REF!</v>
      </c>
      <c r="AH112" t="e">
        <f>#REF!</f>
        <v>#REF!</v>
      </c>
      <c r="AI112" t="e">
        <f>#REF!</f>
        <v>#REF!</v>
      </c>
      <c r="AO112" s="159" t="e">
        <f>IF(#REF!="",0,#REF!)</f>
        <v>#REF!</v>
      </c>
      <c r="AP112" s="160" t="e">
        <f t="shared" si="3"/>
        <v>#REF!</v>
      </c>
    </row>
    <row r="113" spans="2:42" x14ac:dyDescent="0.25">
      <c r="B113" t="e">
        <f>#REF!</f>
        <v>#REF!</v>
      </c>
      <c r="C113" t="e">
        <f>#REF!</f>
        <v>#REF!</v>
      </c>
      <c r="D113" t="e">
        <f>#REF!</f>
        <v>#REF!</v>
      </c>
      <c r="E113" s="14" t="e">
        <f>#REF!</f>
        <v>#REF!</v>
      </c>
      <c r="F113" t="e">
        <f>#REF!</f>
        <v>#REF!</v>
      </c>
      <c r="G113" t="e">
        <f>#REF!</f>
        <v>#REF!</v>
      </c>
      <c r="H113" t="e">
        <f>#REF!</f>
        <v>#REF!</v>
      </c>
      <c r="I113" t="e">
        <f>#REF!</f>
        <v>#REF!</v>
      </c>
      <c r="J113" t="e">
        <f>#REF!</f>
        <v>#REF!</v>
      </c>
      <c r="K113" t="e">
        <f>#REF!</f>
        <v>#REF!</v>
      </c>
      <c r="L113" t="e">
        <f>#REF!</f>
        <v>#REF!</v>
      </c>
      <c r="M113" t="e">
        <f>#REF!</f>
        <v>#REF!</v>
      </c>
      <c r="N113" t="e">
        <f>#REF!</f>
        <v>#REF!</v>
      </c>
      <c r="O113" t="e">
        <f>#REF!</f>
        <v>#REF!</v>
      </c>
      <c r="P113" t="e">
        <f>#REF!</f>
        <v>#REF!</v>
      </c>
      <c r="Q113" t="e">
        <f>#REF!</f>
        <v>#REF!</v>
      </c>
      <c r="R113" t="e">
        <f>#REF!</f>
        <v>#REF!</v>
      </c>
      <c r="S113" t="e">
        <f>#REF!</f>
        <v>#REF!</v>
      </c>
      <c r="T113" t="e">
        <f>#REF!</f>
        <v>#REF!</v>
      </c>
      <c r="U113" t="e">
        <f>#REF!</f>
        <v>#REF!</v>
      </c>
      <c r="V113" t="e">
        <f>#REF!</f>
        <v>#REF!</v>
      </c>
      <c r="W113" t="e">
        <f>#REF!</f>
        <v>#REF!</v>
      </c>
      <c r="X113" t="e">
        <f>#REF!</f>
        <v>#REF!</v>
      </c>
      <c r="Y113" t="e">
        <f>#REF!</f>
        <v>#REF!</v>
      </c>
      <c r="Z113" t="e">
        <f>#REF!</f>
        <v>#REF!</v>
      </c>
      <c r="AA113" t="e">
        <f>#REF!</f>
        <v>#REF!</v>
      </c>
      <c r="AB113" t="e">
        <f>#REF!</f>
        <v>#REF!</v>
      </c>
      <c r="AC113" t="e">
        <f>#REF!</f>
        <v>#REF!</v>
      </c>
      <c r="AD113" t="e">
        <f>#REF!</f>
        <v>#REF!</v>
      </c>
      <c r="AE113" t="e">
        <f>#REF!</f>
        <v>#REF!</v>
      </c>
      <c r="AF113" t="e">
        <f>#REF!</f>
        <v>#REF!</v>
      </c>
      <c r="AG113" t="e">
        <f>#REF!</f>
        <v>#REF!</v>
      </c>
      <c r="AH113" t="e">
        <f>#REF!</f>
        <v>#REF!</v>
      </c>
      <c r="AI113" t="e">
        <f>#REF!</f>
        <v>#REF!</v>
      </c>
      <c r="AO113" s="159" t="e">
        <f>IF(#REF!="",0,#REF!)</f>
        <v>#REF!</v>
      </c>
      <c r="AP113" s="160" t="e">
        <f t="shared" si="3"/>
        <v>#REF!</v>
      </c>
    </row>
    <row r="114" spans="2:42" x14ac:dyDescent="0.25">
      <c r="B114" t="e">
        <f>#REF!</f>
        <v>#REF!</v>
      </c>
      <c r="C114" t="e">
        <f>#REF!</f>
        <v>#REF!</v>
      </c>
      <c r="D114" t="e">
        <f>#REF!</f>
        <v>#REF!</v>
      </c>
      <c r="E114" s="14" t="e">
        <f>#REF!</f>
        <v>#REF!</v>
      </c>
      <c r="F114" t="e">
        <f>#REF!</f>
        <v>#REF!</v>
      </c>
      <c r="G114" t="e">
        <f>#REF!</f>
        <v>#REF!</v>
      </c>
      <c r="H114" t="e">
        <f>#REF!</f>
        <v>#REF!</v>
      </c>
      <c r="I114" t="e">
        <f>#REF!</f>
        <v>#REF!</v>
      </c>
      <c r="J114" t="e">
        <f>#REF!</f>
        <v>#REF!</v>
      </c>
      <c r="K114" t="e">
        <f>#REF!</f>
        <v>#REF!</v>
      </c>
      <c r="L114" t="e">
        <f>#REF!</f>
        <v>#REF!</v>
      </c>
      <c r="M114" t="e">
        <f>#REF!</f>
        <v>#REF!</v>
      </c>
      <c r="N114" t="e">
        <f>#REF!</f>
        <v>#REF!</v>
      </c>
      <c r="O114" t="e">
        <f>#REF!</f>
        <v>#REF!</v>
      </c>
      <c r="P114" t="e">
        <f>#REF!</f>
        <v>#REF!</v>
      </c>
      <c r="Q114" t="e">
        <f>#REF!</f>
        <v>#REF!</v>
      </c>
      <c r="R114" t="e">
        <f>#REF!</f>
        <v>#REF!</v>
      </c>
      <c r="S114" t="e">
        <f>#REF!</f>
        <v>#REF!</v>
      </c>
      <c r="T114" t="e">
        <f>#REF!</f>
        <v>#REF!</v>
      </c>
      <c r="U114" t="e">
        <f>#REF!</f>
        <v>#REF!</v>
      </c>
      <c r="V114" t="e">
        <f>#REF!</f>
        <v>#REF!</v>
      </c>
      <c r="W114" t="e">
        <f>#REF!</f>
        <v>#REF!</v>
      </c>
      <c r="X114" t="e">
        <f>#REF!</f>
        <v>#REF!</v>
      </c>
      <c r="Y114" t="e">
        <f>#REF!</f>
        <v>#REF!</v>
      </c>
      <c r="Z114" t="e">
        <f>#REF!</f>
        <v>#REF!</v>
      </c>
      <c r="AA114" t="e">
        <f>#REF!</f>
        <v>#REF!</v>
      </c>
      <c r="AB114" t="e">
        <f>#REF!</f>
        <v>#REF!</v>
      </c>
      <c r="AC114" t="e">
        <f>#REF!</f>
        <v>#REF!</v>
      </c>
      <c r="AD114" t="e">
        <f>#REF!</f>
        <v>#REF!</v>
      </c>
      <c r="AE114" t="e">
        <f>#REF!</f>
        <v>#REF!</v>
      </c>
      <c r="AF114" t="e">
        <f>#REF!</f>
        <v>#REF!</v>
      </c>
      <c r="AG114" t="e">
        <f>#REF!</f>
        <v>#REF!</v>
      </c>
      <c r="AH114" t="e">
        <f>#REF!</f>
        <v>#REF!</v>
      </c>
      <c r="AI114" t="e">
        <f>#REF!</f>
        <v>#REF!</v>
      </c>
      <c r="AO114" s="159" t="e">
        <f>IF(#REF!="",0,#REF!)</f>
        <v>#REF!</v>
      </c>
      <c r="AP114" s="160" t="e">
        <f t="shared" si="3"/>
        <v>#REF!</v>
      </c>
    </row>
    <row r="115" spans="2:42" x14ac:dyDescent="0.25">
      <c r="B115" t="e">
        <f>#REF!</f>
        <v>#REF!</v>
      </c>
      <c r="C115" t="e">
        <f>#REF!</f>
        <v>#REF!</v>
      </c>
      <c r="D115" t="e">
        <f>#REF!</f>
        <v>#REF!</v>
      </c>
      <c r="E115" s="14" t="e">
        <f>#REF!</f>
        <v>#REF!</v>
      </c>
      <c r="F115" t="e">
        <f>#REF!</f>
        <v>#REF!</v>
      </c>
      <c r="G115" t="e">
        <f>#REF!</f>
        <v>#REF!</v>
      </c>
      <c r="H115" t="e">
        <f>#REF!</f>
        <v>#REF!</v>
      </c>
      <c r="I115" t="e">
        <f>#REF!</f>
        <v>#REF!</v>
      </c>
      <c r="J115" t="e">
        <f>#REF!</f>
        <v>#REF!</v>
      </c>
      <c r="K115" t="e">
        <f>#REF!</f>
        <v>#REF!</v>
      </c>
      <c r="L115" t="e">
        <f>#REF!</f>
        <v>#REF!</v>
      </c>
      <c r="M115" t="e">
        <f>#REF!</f>
        <v>#REF!</v>
      </c>
      <c r="N115" t="e">
        <f>#REF!</f>
        <v>#REF!</v>
      </c>
      <c r="O115" t="e">
        <f>#REF!</f>
        <v>#REF!</v>
      </c>
      <c r="P115" t="e">
        <f>#REF!</f>
        <v>#REF!</v>
      </c>
      <c r="Q115" t="e">
        <f>#REF!</f>
        <v>#REF!</v>
      </c>
      <c r="R115" t="e">
        <f>#REF!</f>
        <v>#REF!</v>
      </c>
      <c r="S115" t="e">
        <f>#REF!</f>
        <v>#REF!</v>
      </c>
      <c r="T115" t="e">
        <f>#REF!</f>
        <v>#REF!</v>
      </c>
      <c r="U115" t="e">
        <f>#REF!</f>
        <v>#REF!</v>
      </c>
      <c r="V115" t="e">
        <f>#REF!</f>
        <v>#REF!</v>
      </c>
      <c r="W115" t="e">
        <f>#REF!</f>
        <v>#REF!</v>
      </c>
      <c r="X115" t="e">
        <f>#REF!</f>
        <v>#REF!</v>
      </c>
      <c r="Y115" t="e">
        <f>#REF!</f>
        <v>#REF!</v>
      </c>
      <c r="Z115" t="e">
        <f>#REF!</f>
        <v>#REF!</v>
      </c>
      <c r="AA115" t="e">
        <f>#REF!</f>
        <v>#REF!</v>
      </c>
      <c r="AB115" t="e">
        <f>#REF!</f>
        <v>#REF!</v>
      </c>
      <c r="AC115" t="e">
        <f>#REF!</f>
        <v>#REF!</v>
      </c>
      <c r="AD115" t="e">
        <f>#REF!</f>
        <v>#REF!</v>
      </c>
      <c r="AE115" t="e">
        <f>#REF!</f>
        <v>#REF!</v>
      </c>
      <c r="AF115" t="e">
        <f>#REF!</f>
        <v>#REF!</v>
      </c>
      <c r="AG115" t="e">
        <f>#REF!</f>
        <v>#REF!</v>
      </c>
      <c r="AH115" t="e">
        <f>#REF!</f>
        <v>#REF!</v>
      </c>
      <c r="AI115" t="e">
        <f>#REF!</f>
        <v>#REF!</v>
      </c>
      <c r="AO115" s="159" t="e">
        <f>IF(#REF!="",0,#REF!)</f>
        <v>#REF!</v>
      </c>
      <c r="AP115" s="160" t="e">
        <f t="shared" si="3"/>
        <v>#REF!</v>
      </c>
    </row>
    <row r="116" spans="2:42" x14ac:dyDescent="0.25">
      <c r="B116" t="e">
        <f>#REF!</f>
        <v>#REF!</v>
      </c>
      <c r="C116" t="e">
        <f>#REF!</f>
        <v>#REF!</v>
      </c>
      <c r="D116" t="e">
        <f>#REF!</f>
        <v>#REF!</v>
      </c>
      <c r="E116" s="14" t="e">
        <f>#REF!</f>
        <v>#REF!</v>
      </c>
      <c r="F116" t="e">
        <f>#REF!</f>
        <v>#REF!</v>
      </c>
      <c r="G116" t="e">
        <f>#REF!</f>
        <v>#REF!</v>
      </c>
      <c r="H116" t="e">
        <f>#REF!</f>
        <v>#REF!</v>
      </c>
      <c r="I116" t="e">
        <f>#REF!</f>
        <v>#REF!</v>
      </c>
      <c r="J116" t="e">
        <f>#REF!</f>
        <v>#REF!</v>
      </c>
      <c r="K116" t="e">
        <f>#REF!</f>
        <v>#REF!</v>
      </c>
      <c r="L116" t="e">
        <f>#REF!</f>
        <v>#REF!</v>
      </c>
      <c r="M116" t="e">
        <f>#REF!</f>
        <v>#REF!</v>
      </c>
      <c r="N116" t="e">
        <f>#REF!</f>
        <v>#REF!</v>
      </c>
      <c r="O116" t="e">
        <f>#REF!</f>
        <v>#REF!</v>
      </c>
      <c r="P116" t="e">
        <f>#REF!</f>
        <v>#REF!</v>
      </c>
      <c r="Q116" t="e">
        <f>#REF!</f>
        <v>#REF!</v>
      </c>
      <c r="R116" t="e">
        <f>#REF!</f>
        <v>#REF!</v>
      </c>
      <c r="S116" t="e">
        <f>#REF!</f>
        <v>#REF!</v>
      </c>
      <c r="T116" t="e">
        <f>#REF!</f>
        <v>#REF!</v>
      </c>
      <c r="U116" t="e">
        <f>#REF!</f>
        <v>#REF!</v>
      </c>
      <c r="V116" t="e">
        <f>#REF!</f>
        <v>#REF!</v>
      </c>
      <c r="W116" t="e">
        <f>#REF!</f>
        <v>#REF!</v>
      </c>
      <c r="X116" t="e">
        <f>#REF!</f>
        <v>#REF!</v>
      </c>
      <c r="Y116" t="e">
        <f>#REF!</f>
        <v>#REF!</v>
      </c>
      <c r="Z116" t="e">
        <f>#REF!</f>
        <v>#REF!</v>
      </c>
      <c r="AA116" t="e">
        <f>#REF!</f>
        <v>#REF!</v>
      </c>
      <c r="AB116" t="e">
        <f>#REF!</f>
        <v>#REF!</v>
      </c>
      <c r="AC116" t="e">
        <f>#REF!</f>
        <v>#REF!</v>
      </c>
      <c r="AD116" t="e">
        <f>#REF!</f>
        <v>#REF!</v>
      </c>
      <c r="AE116" t="e">
        <f>#REF!</f>
        <v>#REF!</v>
      </c>
      <c r="AF116" t="e">
        <f>#REF!</f>
        <v>#REF!</v>
      </c>
      <c r="AG116" t="e">
        <f>#REF!</f>
        <v>#REF!</v>
      </c>
      <c r="AH116" t="e">
        <f>#REF!</f>
        <v>#REF!</v>
      </c>
      <c r="AI116" t="e">
        <f>#REF!</f>
        <v>#REF!</v>
      </c>
      <c r="AO116" s="159" t="e">
        <f>IF(#REF!="",0,#REF!)</f>
        <v>#REF!</v>
      </c>
      <c r="AP116" s="160" t="e">
        <f t="shared" si="3"/>
        <v>#REF!</v>
      </c>
    </row>
    <row r="117" spans="2:42" x14ac:dyDescent="0.25">
      <c r="B117" t="e">
        <f>#REF!</f>
        <v>#REF!</v>
      </c>
      <c r="C117" t="e">
        <f>#REF!</f>
        <v>#REF!</v>
      </c>
      <c r="D117" t="e">
        <f>#REF!</f>
        <v>#REF!</v>
      </c>
      <c r="E117" s="14" t="e">
        <f>#REF!</f>
        <v>#REF!</v>
      </c>
      <c r="F117" t="e">
        <f>#REF!</f>
        <v>#REF!</v>
      </c>
      <c r="G117" t="e">
        <f>#REF!</f>
        <v>#REF!</v>
      </c>
      <c r="H117" t="e">
        <f>#REF!</f>
        <v>#REF!</v>
      </c>
      <c r="I117" t="e">
        <f>#REF!</f>
        <v>#REF!</v>
      </c>
      <c r="J117" t="e">
        <f>#REF!</f>
        <v>#REF!</v>
      </c>
      <c r="K117" t="e">
        <f>#REF!</f>
        <v>#REF!</v>
      </c>
      <c r="L117" t="e">
        <f>#REF!</f>
        <v>#REF!</v>
      </c>
      <c r="M117" t="e">
        <f>#REF!</f>
        <v>#REF!</v>
      </c>
      <c r="N117" t="e">
        <f>#REF!</f>
        <v>#REF!</v>
      </c>
      <c r="O117" t="e">
        <f>#REF!</f>
        <v>#REF!</v>
      </c>
      <c r="P117" t="e">
        <f>#REF!</f>
        <v>#REF!</v>
      </c>
      <c r="Q117" t="e">
        <f>#REF!</f>
        <v>#REF!</v>
      </c>
      <c r="R117" t="e">
        <f>#REF!</f>
        <v>#REF!</v>
      </c>
      <c r="S117" t="e">
        <f>#REF!</f>
        <v>#REF!</v>
      </c>
      <c r="T117" t="e">
        <f>#REF!</f>
        <v>#REF!</v>
      </c>
      <c r="U117" t="e">
        <f>#REF!</f>
        <v>#REF!</v>
      </c>
      <c r="V117" t="e">
        <f>#REF!</f>
        <v>#REF!</v>
      </c>
      <c r="W117" t="e">
        <f>#REF!</f>
        <v>#REF!</v>
      </c>
      <c r="X117" t="e">
        <f>#REF!</f>
        <v>#REF!</v>
      </c>
      <c r="Y117" t="e">
        <f>#REF!</f>
        <v>#REF!</v>
      </c>
      <c r="Z117" t="e">
        <f>#REF!</f>
        <v>#REF!</v>
      </c>
      <c r="AA117" t="e">
        <f>#REF!</f>
        <v>#REF!</v>
      </c>
      <c r="AB117" t="e">
        <f>#REF!</f>
        <v>#REF!</v>
      </c>
      <c r="AC117" t="e">
        <f>#REF!</f>
        <v>#REF!</v>
      </c>
      <c r="AD117" t="e">
        <f>#REF!</f>
        <v>#REF!</v>
      </c>
      <c r="AE117" t="e">
        <f>#REF!</f>
        <v>#REF!</v>
      </c>
      <c r="AF117" t="e">
        <f>#REF!</f>
        <v>#REF!</v>
      </c>
      <c r="AG117" t="e">
        <f>#REF!</f>
        <v>#REF!</v>
      </c>
      <c r="AH117" t="e">
        <f>#REF!</f>
        <v>#REF!</v>
      </c>
      <c r="AI117" t="e">
        <f>#REF!</f>
        <v>#REF!</v>
      </c>
      <c r="AO117" s="159" t="e">
        <f>IF(#REF!="",0,#REF!)</f>
        <v>#REF!</v>
      </c>
      <c r="AP117" s="160" t="e">
        <f t="shared" si="3"/>
        <v>#REF!</v>
      </c>
    </row>
    <row r="118" spans="2:42" x14ac:dyDescent="0.25">
      <c r="B118" t="e">
        <f>#REF!</f>
        <v>#REF!</v>
      </c>
      <c r="C118" t="e">
        <f>#REF!</f>
        <v>#REF!</v>
      </c>
      <c r="D118" t="e">
        <f>#REF!</f>
        <v>#REF!</v>
      </c>
      <c r="E118" s="14" t="e">
        <f>#REF!</f>
        <v>#REF!</v>
      </c>
      <c r="F118" t="e">
        <f>#REF!</f>
        <v>#REF!</v>
      </c>
      <c r="G118" t="e">
        <f>#REF!</f>
        <v>#REF!</v>
      </c>
      <c r="H118" t="e">
        <f>#REF!</f>
        <v>#REF!</v>
      </c>
      <c r="I118" t="e">
        <f>#REF!</f>
        <v>#REF!</v>
      </c>
      <c r="J118" t="e">
        <f>#REF!</f>
        <v>#REF!</v>
      </c>
      <c r="K118" t="e">
        <f>#REF!</f>
        <v>#REF!</v>
      </c>
      <c r="L118" t="e">
        <f>#REF!</f>
        <v>#REF!</v>
      </c>
      <c r="M118" t="e">
        <f>#REF!</f>
        <v>#REF!</v>
      </c>
      <c r="N118" t="e">
        <f>#REF!</f>
        <v>#REF!</v>
      </c>
      <c r="O118" t="e">
        <f>#REF!</f>
        <v>#REF!</v>
      </c>
      <c r="P118" t="e">
        <f>#REF!</f>
        <v>#REF!</v>
      </c>
      <c r="Q118" t="e">
        <f>#REF!</f>
        <v>#REF!</v>
      </c>
      <c r="R118" t="e">
        <f>#REF!</f>
        <v>#REF!</v>
      </c>
      <c r="S118" t="e">
        <f>#REF!</f>
        <v>#REF!</v>
      </c>
      <c r="T118" t="e">
        <f>#REF!</f>
        <v>#REF!</v>
      </c>
      <c r="U118" t="e">
        <f>#REF!</f>
        <v>#REF!</v>
      </c>
      <c r="V118" t="e">
        <f>#REF!</f>
        <v>#REF!</v>
      </c>
      <c r="W118" t="e">
        <f>#REF!</f>
        <v>#REF!</v>
      </c>
      <c r="X118" t="e">
        <f>#REF!</f>
        <v>#REF!</v>
      </c>
      <c r="Y118" t="e">
        <f>#REF!</f>
        <v>#REF!</v>
      </c>
      <c r="Z118" t="e">
        <f>#REF!</f>
        <v>#REF!</v>
      </c>
      <c r="AA118" t="e">
        <f>#REF!</f>
        <v>#REF!</v>
      </c>
      <c r="AB118" t="e">
        <f>#REF!</f>
        <v>#REF!</v>
      </c>
      <c r="AC118" t="e">
        <f>#REF!</f>
        <v>#REF!</v>
      </c>
      <c r="AD118" t="e">
        <f>#REF!</f>
        <v>#REF!</v>
      </c>
      <c r="AE118" t="e">
        <f>#REF!</f>
        <v>#REF!</v>
      </c>
      <c r="AF118" t="e">
        <f>#REF!</f>
        <v>#REF!</v>
      </c>
      <c r="AG118" t="e">
        <f>#REF!</f>
        <v>#REF!</v>
      </c>
      <c r="AH118" t="e">
        <f>#REF!</f>
        <v>#REF!</v>
      </c>
      <c r="AI118" t="e">
        <f>#REF!</f>
        <v>#REF!</v>
      </c>
      <c r="AO118" s="159" t="e">
        <f>IF(#REF!="",0,#REF!)</f>
        <v>#REF!</v>
      </c>
      <c r="AP118" s="160" t="e">
        <f t="shared" si="3"/>
        <v>#REF!</v>
      </c>
    </row>
    <row r="119" spans="2:42" x14ac:dyDescent="0.25">
      <c r="B119" t="e">
        <f>#REF!</f>
        <v>#REF!</v>
      </c>
      <c r="C119" t="e">
        <f>#REF!</f>
        <v>#REF!</v>
      </c>
      <c r="D119" t="e">
        <f>#REF!</f>
        <v>#REF!</v>
      </c>
      <c r="E119" s="14" t="e">
        <f>#REF!</f>
        <v>#REF!</v>
      </c>
      <c r="F119" t="e">
        <f>#REF!</f>
        <v>#REF!</v>
      </c>
      <c r="G119" t="e">
        <f>#REF!</f>
        <v>#REF!</v>
      </c>
      <c r="H119" t="e">
        <f>#REF!</f>
        <v>#REF!</v>
      </c>
      <c r="I119" t="e">
        <f>#REF!</f>
        <v>#REF!</v>
      </c>
      <c r="J119" t="e">
        <f>#REF!</f>
        <v>#REF!</v>
      </c>
      <c r="K119" t="e">
        <f>#REF!</f>
        <v>#REF!</v>
      </c>
      <c r="L119" t="e">
        <f>#REF!</f>
        <v>#REF!</v>
      </c>
      <c r="M119" t="e">
        <f>#REF!</f>
        <v>#REF!</v>
      </c>
      <c r="N119" t="e">
        <f>#REF!</f>
        <v>#REF!</v>
      </c>
      <c r="O119" t="e">
        <f>#REF!</f>
        <v>#REF!</v>
      </c>
      <c r="P119" t="e">
        <f>#REF!</f>
        <v>#REF!</v>
      </c>
      <c r="Q119" t="e">
        <f>#REF!</f>
        <v>#REF!</v>
      </c>
      <c r="R119" t="e">
        <f>#REF!</f>
        <v>#REF!</v>
      </c>
      <c r="S119" t="e">
        <f>#REF!</f>
        <v>#REF!</v>
      </c>
      <c r="T119" t="e">
        <f>#REF!</f>
        <v>#REF!</v>
      </c>
      <c r="U119" t="e">
        <f>#REF!</f>
        <v>#REF!</v>
      </c>
      <c r="V119" t="e">
        <f>#REF!</f>
        <v>#REF!</v>
      </c>
      <c r="W119" t="e">
        <f>#REF!</f>
        <v>#REF!</v>
      </c>
      <c r="X119" t="e">
        <f>#REF!</f>
        <v>#REF!</v>
      </c>
      <c r="Y119" t="e">
        <f>#REF!</f>
        <v>#REF!</v>
      </c>
      <c r="Z119" t="e">
        <f>#REF!</f>
        <v>#REF!</v>
      </c>
      <c r="AA119" t="e">
        <f>#REF!</f>
        <v>#REF!</v>
      </c>
      <c r="AB119" t="e">
        <f>#REF!</f>
        <v>#REF!</v>
      </c>
      <c r="AC119" t="e">
        <f>#REF!</f>
        <v>#REF!</v>
      </c>
      <c r="AD119" t="e">
        <f>#REF!</f>
        <v>#REF!</v>
      </c>
      <c r="AE119" t="e">
        <f>#REF!</f>
        <v>#REF!</v>
      </c>
      <c r="AF119" t="e">
        <f>#REF!</f>
        <v>#REF!</v>
      </c>
      <c r="AG119" t="e">
        <f>#REF!</f>
        <v>#REF!</v>
      </c>
      <c r="AH119" t="e">
        <f>#REF!</f>
        <v>#REF!</v>
      </c>
      <c r="AI119" t="e">
        <f>#REF!</f>
        <v>#REF!</v>
      </c>
      <c r="AO119" s="159" t="e">
        <f>IF(#REF!="",0,#REF!)</f>
        <v>#REF!</v>
      </c>
      <c r="AP119" s="160" t="e">
        <f t="shared" si="3"/>
        <v>#REF!</v>
      </c>
    </row>
    <row r="120" spans="2:42" x14ac:dyDescent="0.25">
      <c r="B120" t="e">
        <f>#REF!</f>
        <v>#REF!</v>
      </c>
      <c r="C120" t="e">
        <f>#REF!</f>
        <v>#REF!</v>
      </c>
      <c r="D120" t="e">
        <f>#REF!</f>
        <v>#REF!</v>
      </c>
      <c r="E120" s="14" t="e">
        <f>#REF!</f>
        <v>#REF!</v>
      </c>
      <c r="F120" t="e">
        <f>#REF!</f>
        <v>#REF!</v>
      </c>
      <c r="G120" t="e">
        <f>#REF!</f>
        <v>#REF!</v>
      </c>
      <c r="H120" t="e">
        <f>#REF!</f>
        <v>#REF!</v>
      </c>
      <c r="I120" t="e">
        <f>#REF!</f>
        <v>#REF!</v>
      </c>
      <c r="J120" t="e">
        <f>#REF!</f>
        <v>#REF!</v>
      </c>
      <c r="K120" t="e">
        <f>#REF!</f>
        <v>#REF!</v>
      </c>
      <c r="L120" t="e">
        <f>#REF!</f>
        <v>#REF!</v>
      </c>
      <c r="M120" t="e">
        <f>#REF!</f>
        <v>#REF!</v>
      </c>
      <c r="N120" t="e">
        <f>#REF!</f>
        <v>#REF!</v>
      </c>
      <c r="O120" t="e">
        <f>#REF!</f>
        <v>#REF!</v>
      </c>
      <c r="P120" t="e">
        <f>#REF!</f>
        <v>#REF!</v>
      </c>
      <c r="Q120" t="e">
        <f>#REF!</f>
        <v>#REF!</v>
      </c>
      <c r="R120" t="e">
        <f>#REF!</f>
        <v>#REF!</v>
      </c>
      <c r="S120" t="e">
        <f>#REF!</f>
        <v>#REF!</v>
      </c>
      <c r="T120" t="e">
        <f>#REF!</f>
        <v>#REF!</v>
      </c>
      <c r="U120" t="e">
        <f>#REF!</f>
        <v>#REF!</v>
      </c>
      <c r="V120" t="e">
        <f>#REF!</f>
        <v>#REF!</v>
      </c>
      <c r="W120" t="e">
        <f>#REF!</f>
        <v>#REF!</v>
      </c>
      <c r="X120" t="e">
        <f>#REF!</f>
        <v>#REF!</v>
      </c>
      <c r="Y120" t="e">
        <f>#REF!</f>
        <v>#REF!</v>
      </c>
      <c r="Z120" t="e">
        <f>#REF!</f>
        <v>#REF!</v>
      </c>
      <c r="AA120" t="e">
        <f>#REF!</f>
        <v>#REF!</v>
      </c>
      <c r="AB120" t="e">
        <f>#REF!</f>
        <v>#REF!</v>
      </c>
      <c r="AC120" t="e">
        <f>#REF!</f>
        <v>#REF!</v>
      </c>
      <c r="AD120" t="e">
        <f>#REF!</f>
        <v>#REF!</v>
      </c>
      <c r="AE120" t="e">
        <f>#REF!</f>
        <v>#REF!</v>
      </c>
      <c r="AF120" t="e">
        <f>#REF!</f>
        <v>#REF!</v>
      </c>
      <c r="AG120" t="e">
        <f>#REF!</f>
        <v>#REF!</v>
      </c>
      <c r="AH120" t="e">
        <f>#REF!</f>
        <v>#REF!</v>
      </c>
      <c r="AI120" t="e">
        <f>#REF!</f>
        <v>#REF!</v>
      </c>
      <c r="AO120" s="159" t="e">
        <f>IF(#REF!="",0,#REF!)</f>
        <v>#REF!</v>
      </c>
      <c r="AP120" s="160" t="e">
        <f t="shared" si="3"/>
        <v>#REF!</v>
      </c>
    </row>
    <row r="121" spans="2:42" x14ac:dyDescent="0.25">
      <c r="B121" t="e">
        <f>#REF!</f>
        <v>#REF!</v>
      </c>
      <c r="C121" t="e">
        <f>#REF!</f>
        <v>#REF!</v>
      </c>
      <c r="D121" t="e">
        <f>#REF!</f>
        <v>#REF!</v>
      </c>
      <c r="E121" s="14" t="e">
        <f>#REF!</f>
        <v>#REF!</v>
      </c>
      <c r="F121" t="e">
        <f>#REF!</f>
        <v>#REF!</v>
      </c>
      <c r="G121" t="e">
        <f>#REF!</f>
        <v>#REF!</v>
      </c>
      <c r="H121" t="e">
        <f>#REF!</f>
        <v>#REF!</v>
      </c>
      <c r="I121" t="e">
        <f>#REF!</f>
        <v>#REF!</v>
      </c>
      <c r="J121" t="e">
        <f>#REF!</f>
        <v>#REF!</v>
      </c>
      <c r="K121" t="e">
        <f>#REF!</f>
        <v>#REF!</v>
      </c>
      <c r="L121" t="e">
        <f>#REF!</f>
        <v>#REF!</v>
      </c>
      <c r="M121" t="e">
        <f>#REF!</f>
        <v>#REF!</v>
      </c>
      <c r="N121" t="e">
        <f>#REF!</f>
        <v>#REF!</v>
      </c>
      <c r="O121" t="e">
        <f>#REF!</f>
        <v>#REF!</v>
      </c>
      <c r="P121" t="e">
        <f>#REF!</f>
        <v>#REF!</v>
      </c>
      <c r="Q121" t="e">
        <f>#REF!</f>
        <v>#REF!</v>
      </c>
      <c r="R121" t="e">
        <f>#REF!</f>
        <v>#REF!</v>
      </c>
      <c r="S121" t="e">
        <f>#REF!</f>
        <v>#REF!</v>
      </c>
      <c r="T121" t="e">
        <f>#REF!</f>
        <v>#REF!</v>
      </c>
      <c r="U121" t="e">
        <f>#REF!</f>
        <v>#REF!</v>
      </c>
      <c r="V121" t="e">
        <f>#REF!</f>
        <v>#REF!</v>
      </c>
      <c r="W121" t="e">
        <f>#REF!</f>
        <v>#REF!</v>
      </c>
      <c r="X121" t="e">
        <f>#REF!</f>
        <v>#REF!</v>
      </c>
      <c r="Y121" t="e">
        <f>#REF!</f>
        <v>#REF!</v>
      </c>
      <c r="Z121" t="e">
        <f>#REF!</f>
        <v>#REF!</v>
      </c>
      <c r="AA121" t="e">
        <f>#REF!</f>
        <v>#REF!</v>
      </c>
      <c r="AB121" t="e">
        <f>#REF!</f>
        <v>#REF!</v>
      </c>
      <c r="AC121" t="e">
        <f>#REF!</f>
        <v>#REF!</v>
      </c>
      <c r="AD121" t="e">
        <f>#REF!</f>
        <v>#REF!</v>
      </c>
      <c r="AE121" t="e">
        <f>#REF!</f>
        <v>#REF!</v>
      </c>
      <c r="AF121" t="e">
        <f>#REF!</f>
        <v>#REF!</v>
      </c>
      <c r="AG121" t="e">
        <f>#REF!</f>
        <v>#REF!</v>
      </c>
      <c r="AH121" t="e">
        <f>#REF!</f>
        <v>#REF!</v>
      </c>
      <c r="AI121" t="e">
        <f>#REF!</f>
        <v>#REF!</v>
      </c>
      <c r="AO121" s="159" t="e">
        <f>IF(#REF!="",0,#REF!)</f>
        <v>#REF!</v>
      </c>
      <c r="AP121" s="160" t="e">
        <f t="shared" si="3"/>
        <v>#REF!</v>
      </c>
    </row>
    <row r="122" spans="2:42" x14ac:dyDescent="0.25">
      <c r="B122" t="e">
        <f>#REF!</f>
        <v>#REF!</v>
      </c>
      <c r="C122" t="e">
        <f>#REF!</f>
        <v>#REF!</v>
      </c>
      <c r="D122" t="e">
        <f>#REF!</f>
        <v>#REF!</v>
      </c>
      <c r="E122" s="14" t="e">
        <f>#REF!</f>
        <v>#REF!</v>
      </c>
      <c r="F122" t="e">
        <f>#REF!</f>
        <v>#REF!</v>
      </c>
      <c r="G122" t="e">
        <f>#REF!</f>
        <v>#REF!</v>
      </c>
      <c r="H122" t="e">
        <f>#REF!</f>
        <v>#REF!</v>
      </c>
      <c r="I122" t="e">
        <f>#REF!</f>
        <v>#REF!</v>
      </c>
      <c r="J122" t="e">
        <f>#REF!</f>
        <v>#REF!</v>
      </c>
      <c r="K122" t="e">
        <f>#REF!</f>
        <v>#REF!</v>
      </c>
      <c r="L122" t="e">
        <f>#REF!</f>
        <v>#REF!</v>
      </c>
      <c r="M122" t="e">
        <f>#REF!</f>
        <v>#REF!</v>
      </c>
      <c r="N122" t="e">
        <f>#REF!</f>
        <v>#REF!</v>
      </c>
      <c r="O122" t="e">
        <f>#REF!</f>
        <v>#REF!</v>
      </c>
      <c r="P122" t="e">
        <f>#REF!</f>
        <v>#REF!</v>
      </c>
      <c r="Q122" t="e">
        <f>#REF!</f>
        <v>#REF!</v>
      </c>
      <c r="R122" t="e">
        <f>#REF!</f>
        <v>#REF!</v>
      </c>
      <c r="S122" t="e">
        <f>#REF!</f>
        <v>#REF!</v>
      </c>
      <c r="T122" t="e">
        <f>#REF!</f>
        <v>#REF!</v>
      </c>
      <c r="U122" t="e">
        <f>#REF!</f>
        <v>#REF!</v>
      </c>
      <c r="V122" t="e">
        <f>#REF!</f>
        <v>#REF!</v>
      </c>
      <c r="W122" t="e">
        <f>#REF!</f>
        <v>#REF!</v>
      </c>
      <c r="X122" t="e">
        <f>#REF!</f>
        <v>#REF!</v>
      </c>
      <c r="Y122" t="e">
        <f>#REF!</f>
        <v>#REF!</v>
      </c>
      <c r="Z122" t="e">
        <f>#REF!</f>
        <v>#REF!</v>
      </c>
      <c r="AA122" t="e">
        <f>#REF!</f>
        <v>#REF!</v>
      </c>
      <c r="AB122" t="e">
        <f>#REF!</f>
        <v>#REF!</v>
      </c>
      <c r="AC122" t="e">
        <f>#REF!</f>
        <v>#REF!</v>
      </c>
      <c r="AD122" t="e">
        <f>#REF!</f>
        <v>#REF!</v>
      </c>
      <c r="AE122" t="e">
        <f>#REF!</f>
        <v>#REF!</v>
      </c>
      <c r="AF122" t="e">
        <f>#REF!</f>
        <v>#REF!</v>
      </c>
      <c r="AG122" t="e">
        <f>#REF!</f>
        <v>#REF!</v>
      </c>
      <c r="AH122" t="e">
        <f>#REF!</f>
        <v>#REF!</v>
      </c>
      <c r="AI122" t="e">
        <f>#REF!</f>
        <v>#REF!</v>
      </c>
      <c r="AO122" s="159" t="e">
        <f>IF(#REF!="",0,#REF!)</f>
        <v>#REF!</v>
      </c>
      <c r="AP122" s="160" t="e">
        <f t="shared" si="3"/>
        <v>#REF!</v>
      </c>
    </row>
    <row r="123" spans="2:42" x14ac:dyDescent="0.25">
      <c r="B123" t="e">
        <f>#REF!</f>
        <v>#REF!</v>
      </c>
      <c r="C123" t="e">
        <f>#REF!</f>
        <v>#REF!</v>
      </c>
      <c r="D123" t="e">
        <f>#REF!</f>
        <v>#REF!</v>
      </c>
      <c r="E123" s="14" t="e">
        <f>#REF!</f>
        <v>#REF!</v>
      </c>
      <c r="F123" t="e">
        <f>#REF!</f>
        <v>#REF!</v>
      </c>
      <c r="G123" t="e">
        <f>#REF!</f>
        <v>#REF!</v>
      </c>
      <c r="H123" t="e">
        <f>#REF!</f>
        <v>#REF!</v>
      </c>
      <c r="I123" t="e">
        <f>#REF!</f>
        <v>#REF!</v>
      </c>
      <c r="J123" t="e">
        <f>#REF!</f>
        <v>#REF!</v>
      </c>
      <c r="K123" t="e">
        <f>#REF!</f>
        <v>#REF!</v>
      </c>
      <c r="L123" t="e">
        <f>#REF!</f>
        <v>#REF!</v>
      </c>
      <c r="M123" t="e">
        <f>#REF!</f>
        <v>#REF!</v>
      </c>
      <c r="N123" t="e">
        <f>#REF!</f>
        <v>#REF!</v>
      </c>
      <c r="O123" t="e">
        <f>#REF!</f>
        <v>#REF!</v>
      </c>
      <c r="P123" t="e">
        <f>#REF!</f>
        <v>#REF!</v>
      </c>
      <c r="Q123" t="e">
        <f>#REF!</f>
        <v>#REF!</v>
      </c>
      <c r="R123" t="e">
        <f>#REF!</f>
        <v>#REF!</v>
      </c>
      <c r="S123" t="e">
        <f>#REF!</f>
        <v>#REF!</v>
      </c>
      <c r="T123" t="e">
        <f>#REF!</f>
        <v>#REF!</v>
      </c>
      <c r="U123" t="e">
        <f>#REF!</f>
        <v>#REF!</v>
      </c>
      <c r="V123" t="e">
        <f>#REF!</f>
        <v>#REF!</v>
      </c>
      <c r="W123" t="e">
        <f>#REF!</f>
        <v>#REF!</v>
      </c>
      <c r="X123" t="e">
        <f>#REF!</f>
        <v>#REF!</v>
      </c>
      <c r="Y123" t="e">
        <f>#REF!</f>
        <v>#REF!</v>
      </c>
      <c r="Z123" t="e">
        <f>#REF!</f>
        <v>#REF!</v>
      </c>
      <c r="AA123" t="e">
        <f>#REF!</f>
        <v>#REF!</v>
      </c>
      <c r="AB123" t="e">
        <f>#REF!</f>
        <v>#REF!</v>
      </c>
      <c r="AC123" t="e">
        <f>#REF!</f>
        <v>#REF!</v>
      </c>
      <c r="AD123" t="e">
        <f>#REF!</f>
        <v>#REF!</v>
      </c>
      <c r="AE123" t="e">
        <f>#REF!</f>
        <v>#REF!</v>
      </c>
      <c r="AF123" t="e">
        <f>#REF!</f>
        <v>#REF!</v>
      </c>
      <c r="AG123" t="e">
        <f>#REF!</f>
        <v>#REF!</v>
      </c>
      <c r="AH123" t="e">
        <f>#REF!</f>
        <v>#REF!</v>
      </c>
      <c r="AI123" t="e">
        <f>#REF!</f>
        <v>#REF!</v>
      </c>
      <c r="AO123" s="159" t="e">
        <f>IF(#REF!="",0,#REF!)</f>
        <v>#REF!</v>
      </c>
      <c r="AP123" s="160" t="e">
        <f t="shared" si="3"/>
        <v>#REF!</v>
      </c>
    </row>
    <row r="124" spans="2:42" x14ac:dyDescent="0.25">
      <c r="B124" t="e">
        <f>#REF!</f>
        <v>#REF!</v>
      </c>
      <c r="C124" t="e">
        <f>#REF!</f>
        <v>#REF!</v>
      </c>
      <c r="D124" t="e">
        <f>#REF!</f>
        <v>#REF!</v>
      </c>
      <c r="E124" s="14" t="e">
        <f>#REF!</f>
        <v>#REF!</v>
      </c>
      <c r="F124" t="e">
        <f>#REF!</f>
        <v>#REF!</v>
      </c>
      <c r="G124" t="e">
        <f>#REF!</f>
        <v>#REF!</v>
      </c>
      <c r="H124" t="e">
        <f>#REF!</f>
        <v>#REF!</v>
      </c>
      <c r="I124" t="e">
        <f>#REF!</f>
        <v>#REF!</v>
      </c>
      <c r="J124" t="e">
        <f>#REF!</f>
        <v>#REF!</v>
      </c>
      <c r="K124" t="e">
        <f>#REF!</f>
        <v>#REF!</v>
      </c>
      <c r="L124" t="e">
        <f>#REF!</f>
        <v>#REF!</v>
      </c>
      <c r="M124" t="e">
        <f>#REF!</f>
        <v>#REF!</v>
      </c>
      <c r="N124" t="e">
        <f>#REF!</f>
        <v>#REF!</v>
      </c>
      <c r="O124" t="e">
        <f>#REF!</f>
        <v>#REF!</v>
      </c>
      <c r="P124" t="e">
        <f>#REF!</f>
        <v>#REF!</v>
      </c>
      <c r="Q124" t="e">
        <f>#REF!</f>
        <v>#REF!</v>
      </c>
      <c r="R124" t="e">
        <f>#REF!</f>
        <v>#REF!</v>
      </c>
      <c r="S124" t="e">
        <f>#REF!</f>
        <v>#REF!</v>
      </c>
      <c r="T124" t="e">
        <f>#REF!</f>
        <v>#REF!</v>
      </c>
      <c r="U124" t="e">
        <f>#REF!</f>
        <v>#REF!</v>
      </c>
      <c r="V124" t="e">
        <f>#REF!</f>
        <v>#REF!</v>
      </c>
      <c r="W124" t="e">
        <f>#REF!</f>
        <v>#REF!</v>
      </c>
      <c r="X124" t="e">
        <f>#REF!</f>
        <v>#REF!</v>
      </c>
      <c r="Y124" t="e">
        <f>#REF!</f>
        <v>#REF!</v>
      </c>
      <c r="Z124" t="e">
        <f>#REF!</f>
        <v>#REF!</v>
      </c>
      <c r="AA124" t="e">
        <f>#REF!</f>
        <v>#REF!</v>
      </c>
      <c r="AB124" t="e">
        <f>#REF!</f>
        <v>#REF!</v>
      </c>
      <c r="AC124" t="e">
        <f>#REF!</f>
        <v>#REF!</v>
      </c>
      <c r="AD124" t="e">
        <f>#REF!</f>
        <v>#REF!</v>
      </c>
      <c r="AE124" t="e">
        <f>#REF!</f>
        <v>#REF!</v>
      </c>
      <c r="AF124" t="e">
        <f>#REF!</f>
        <v>#REF!</v>
      </c>
      <c r="AG124" t="e">
        <f>#REF!</f>
        <v>#REF!</v>
      </c>
      <c r="AH124" t="e">
        <f>#REF!</f>
        <v>#REF!</v>
      </c>
      <c r="AI124" t="e">
        <f>#REF!</f>
        <v>#REF!</v>
      </c>
      <c r="AO124" s="159" t="e">
        <f>IF(#REF!="",0,#REF!)</f>
        <v>#REF!</v>
      </c>
      <c r="AP124" s="160" t="e">
        <f t="shared" si="3"/>
        <v>#REF!</v>
      </c>
    </row>
    <row r="125" spans="2:42" x14ac:dyDescent="0.25">
      <c r="B125" t="e">
        <f>#REF!</f>
        <v>#REF!</v>
      </c>
      <c r="C125" t="e">
        <f>#REF!</f>
        <v>#REF!</v>
      </c>
      <c r="D125" t="e">
        <f>#REF!</f>
        <v>#REF!</v>
      </c>
      <c r="E125" s="14" t="e">
        <f>#REF!</f>
        <v>#REF!</v>
      </c>
      <c r="F125" t="e">
        <f>#REF!</f>
        <v>#REF!</v>
      </c>
      <c r="G125" t="e">
        <f>#REF!</f>
        <v>#REF!</v>
      </c>
      <c r="H125" t="e">
        <f>#REF!</f>
        <v>#REF!</v>
      </c>
      <c r="I125" t="e">
        <f>#REF!</f>
        <v>#REF!</v>
      </c>
      <c r="J125" t="e">
        <f>#REF!</f>
        <v>#REF!</v>
      </c>
      <c r="K125" t="e">
        <f>#REF!</f>
        <v>#REF!</v>
      </c>
      <c r="L125" t="e">
        <f>#REF!</f>
        <v>#REF!</v>
      </c>
      <c r="M125" t="e">
        <f>#REF!</f>
        <v>#REF!</v>
      </c>
      <c r="N125" t="e">
        <f>#REF!</f>
        <v>#REF!</v>
      </c>
      <c r="O125" t="e">
        <f>#REF!</f>
        <v>#REF!</v>
      </c>
      <c r="P125" t="e">
        <f>#REF!</f>
        <v>#REF!</v>
      </c>
      <c r="Q125" t="e">
        <f>#REF!</f>
        <v>#REF!</v>
      </c>
      <c r="R125" t="e">
        <f>#REF!</f>
        <v>#REF!</v>
      </c>
      <c r="S125" t="e">
        <f>#REF!</f>
        <v>#REF!</v>
      </c>
      <c r="T125" t="e">
        <f>#REF!</f>
        <v>#REF!</v>
      </c>
      <c r="U125" t="e">
        <f>#REF!</f>
        <v>#REF!</v>
      </c>
      <c r="V125" t="e">
        <f>#REF!</f>
        <v>#REF!</v>
      </c>
      <c r="W125" t="e">
        <f>#REF!</f>
        <v>#REF!</v>
      </c>
      <c r="X125" t="e">
        <f>#REF!</f>
        <v>#REF!</v>
      </c>
      <c r="Y125" t="e">
        <f>#REF!</f>
        <v>#REF!</v>
      </c>
      <c r="Z125" t="e">
        <f>#REF!</f>
        <v>#REF!</v>
      </c>
      <c r="AA125" t="e">
        <f>#REF!</f>
        <v>#REF!</v>
      </c>
      <c r="AB125" t="e">
        <f>#REF!</f>
        <v>#REF!</v>
      </c>
      <c r="AC125" t="e">
        <f>#REF!</f>
        <v>#REF!</v>
      </c>
      <c r="AD125" t="e">
        <f>#REF!</f>
        <v>#REF!</v>
      </c>
      <c r="AE125" t="e">
        <f>#REF!</f>
        <v>#REF!</v>
      </c>
      <c r="AF125" t="e">
        <f>#REF!</f>
        <v>#REF!</v>
      </c>
      <c r="AG125" t="e">
        <f>#REF!</f>
        <v>#REF!</v>
      </c>
      <c r="AH125" t="e">
        <f>#REF!</f>
        <v>#REF!</v>
      </c>
      <c r="AI125" t="e">
        <f>#REF!</f>
        <v>#REF!</v>
      </c>
      <c r="AO125" s="159" t="e">
        <f>IF(#REF!="",0,#REF!)</f>
        <v>#REF!</v>
      </c>
      <c r="AP125" s="160" t="e">
        <f t="shared" si="3"/>
        <v>#REF!</v>
      </c>
    </row>
    <row r="126" spans="2:42" x14ac:dyDescent="0.25">
      <c r="B126" t="e">
        <f>#REF!</f>
        <v>#REF!</v>
      </c>
      <c r="C126" t="e">
        <f>#REF!</f>
        <v>#REF!</v>
      </c>
      <c r="D126" t="e">
        <f>#REF!</f>
        <v>#REF!</v>
      </c>
      <c r="E126" s="14" t="e">
        <f>#REF!</f>
        <v>#REF!</v>
      </c>
      <c r="F126" t="e">
        <f>#REF!</f>
        <v>#REF!</v>
      </c>
      <c r="G126" t="e">
        <f>#REF!</f>
        <v>#REF!</v>
      </c>
      <c r="H126" t="e">
        <f>#REF!</f>
        <v>#REF!</v>
      </c>
      <c r="I126" t="e">
        <f>#REF!</f>
        <v>#REF!</v>
      </c>
      <c r="J126" t="e">
        <f>#REF!</f>
        <v>#REF!</v>
      </c>
      <c r="K126" t="e">
        <f>#REF!</f>
        <v>#REF!</v>
      </c>
      <c r="L126" t="e">
        <f>#REF!</f>
        <v>#REF!</v>
      </c>
      <c r="M126" t="e">
        <f>#REF!</f>
        <v>#REF!</v>
      </c>
      <c r="N126" t="e">
        <f>#REF!</f>
        <v>#REF!</v>
      </c>
      <c r="O126" t="e">
        <f>#REF!</f>
        <v>#REF!</v>
      </c>
      <c r="P126" t="e">
        <f>#REF!</f>
        <v>#REF!</v>
      </c>
      <c r="Q126" t="e">
        <f>#REF!</f>
        <v>#REF!</v>
      </c>
      <c r="R126" t="e">
        <f>#REF!</f>
        <v>#REF!</v>
      </c>
      <c r="S126" t="e">
        <f>#REF!</f>
        <v>#REF!</v>
      </c>
      <c r="T126" t="e">
        <f>#REF!</f>
        <v>#REF!</v>
      </c>
      <c r="U126" t="e">
        <f>#REF!</f>
        <v>#REF!</v>
      </c>
      <c r="V126" t="e">
        <f>#REF!</f>
        <v>#REF!</v>
      </c>
      <c r="W126" t="e">
        <f>#REF!</f>
        <v>#REF!</v>
      </c>
      <c r="X126" t="e">
        <f>#REF!</f>
        <v>#REF!</v>
      </c>
      <c r="Y126" t="e">
        <f>#REF!</f>
        <v>#REF!</v>
      </c>
      <c r="Z126" t="e">
        <f>#REF!</f>
        <v>#REF!</v>
      </c>
      <c r="AA126" t="e">
        <f>#REF!</f>
        <v>#REF!</v>
      </c>
      <c r="AB126" t="e">
        <f>#REF!</f>
        <v>#REF!</v>
      </c>
      <c r="AC126" t="e">
        <f>#REF!</f>
        <v>#REF!</v>
      </c>
      <c r="AD126" t="e">
        <f>#REF!</f>
        <v>#REF!</v>
      </c>
      <c r="AE126" t="e">
        <f>#REF!</f>
        <v>#REF!</v>
      </c>
      <c r="AF126" t="e">
        <f>#REF!</f>
        <v>#REF!</v>
      </c>
      <c r="AG126" t="e">
        <f>#REF!</f>
        <v>#REF!</v>
      </c>
      <c r="AH126" t="e">
        <f>#REF!</f>
        <v>#REF!</v>
      </c>
      <c r="AI126" t="e">
        <f>#REF!</f>
        <v>#REF!</v>
      </c>
      <c r="AO126" s="159" t="e">
        <f>IF(#REF!="",0,#REF!)</f>
        <v>#REF!</v>
      </c>
      <c r="AP126" s="160" t="e">
        <f t="shared" si="3"/>
        <v>#REF!</v>
      </c>
    </row>
    <row r="127" spans="2:42" x14ac:dyDescent="0.25">
      <c r="B127" t="e">
        <f>#REF!</f>
        <v>#REF!</v>
      </c>
      <c r="C127" t="e">
        <f>#REF!</f>
        <v>#REF!</v>
      </c>
      <c r="D127" t="e">
        <f>#REF!</f>
        <v>#REF!</v>
      </c>
      <c r="E127" s="14" t="e">
        <f>#REF!</f>
        <v>#REF!</v>
      </c>
      <c r="F127" t="e">
        <f>#REF!</f>
        <v>#REF!</v>
      </c>
      <c r="G127" t="e">
        <f>#REF!</f>
        <v>#REF!</v>
      </c>
      <c r="H127" t="e">
        <f>#REF!</f>
        <v>#REF!</v>
      </c>
      <c r="I127" t="e">
        <f>#REF!</f>
        <v>#REF!</v>
      </c>
      <c r="J127" t="e">
        <f>#REF!</f>
        <v>#REF!</v>
      </c>
      <c r="K127" t="e">
        <f>#REF!</f>
        <v>#REF!</v>
      </c>
      <c r="L127" t="e">
        <f>#REF!</f>
        <v>#REF!</v>
      </c>
      <c r="M127" t="e">
        <f>#REF!</f>
        <v>#REF!</v>
      </c>
      <c r="N127" t="e">
        <f>#REF!</f>
        <v>#REF!</v>
      </c>
      <c r="O127" t="e">
        <f>#REF!</f>
        <v>#REF!</v>
      </c>
      <c r="P127" t="e">
        <f>#REF!</f>
        <v>#REF!</v>
      </c>
      <c r="Q127" t="e">
        <f>#REF!</f>
        <v>#REF!</v>
      </c>
      <c r="R127" t="e">
        <f>#REF!</f>
        <v>#REF!</v>
      </c>
      <c r="S127" t="e">
        <f>#REF!</f>
        <v>#REF!</v>
      </c>
      <c r="T127" t="e">
        <f>#REF!</f>
        <v>#REF!</v>
      </c>
      <c r="U127" t="e">
        <f>#REF!</f>
        <v>#REF!</v>
      </c>
      <c r="V127" t="e">
        <f>#REF!</f>
        <v>#REF!</v>
      </c>
      <c r="W127" t="e">
        <f>#REF!</f>
        <v>#REF!</v>
      </c>
      <c r="X127" t="e">
        <f>#REF!</f>
        <v>#REF!</v>
      </c>
      <c r="Y127" t="e">
        <f>#REF!</f>
        <v>#REF!</v>
      </c>
      <c r="Z127" t="e">
        <f>#REF!</f>
        <v>#REF!</v>
      </c>
      <c r="AA127" t="e">
        <f>#REF!</f>
        <v>#REF!</v>
      </c>
      <c r="AB127" t="e">
        <f>#REF!</f>
        <v>#REF!</v>
      </c>
      <c r="AC127" t="e">
        <f>#REF!</f>
        <v>#REF!</v>
      </c>
      <c r="AD127" t="e">
        <f>#REF!</f>
        <v>#REF!</v>
      </c>
      <c r="AE127" t="e">
        <f>#REF!</f>
        <v>#REF!</v>
      </c>
      <c r="AF127" t="e">
        <f>#REF!</f>
        <v>#REF!</v>
      </c>
      <c r="AG127" t="e">
        <f>#REF!</f>
        <v>#REF!</v>
      </c>
      <c r="AH127" t="e">
        <f>#REF!</f>
        <v>#REF!</v>
      </c>
      <c r="AI127" t="e">
        <f>#REF!</f>
        <v>#REF!</v>
      </c>
      <c r="AO127" s="159" t="e">
        <f>IF(#REF!="",0,#REF!)</f>
        <v>#REF!</v>
      </c>
      <c r="AP127" s="160" t="e">
        <f t="shared" si="3"/>
        <v>#REF!</v>
      </c>
    </row>
    <row r="128" spans="2:42" x14ac:dyDescent="0.25">
      <c r="B128" t="e">
        <f>#REF!</f>
        <v>#REF!</v>
      </c>
      <c r="C128" t="e">
        <f>#REF!</f>
        <v>#REF!</v>
      </c>
      <c r="D128" t="e">
        <f>#REF!</f>
        <v>#REF!</v>
      </c>
      <c r="E128" s="14" t="e">
        <f>#REF!</f>
        <v>#REF!</v>
      </c>
      <c r="F128" t="e">
        <f>#REF!</f>
        <v>#REF!</v>
      </c>
      <c r="G128" t="e">
        <f>#REF!</f>
        <v>#REF!</v>
      </c>
      <c r="H128" t="e">
        <f>#REF!</f>
        <v>#REF!</v>
      </c>
      <c r="I128" t="e">
        <f>#REF!</f>
        <v>#REF!</v>
      </c>
      <c r="J128" t="e">
        <f>#REF!</f>
        <v>#REF!</v>
      </c>
      <c r="K128" t="e">
        <f>#REF!</f>
        <v>#REF!</v>
      </c>
      <c r="L128" t="e">
        <f>#REF!</f>
        <v>#REF!</v>
      </c>
      <c r="M128" t="e">
        <f>#REF!</f>
        <v>#REF!</v>
      </c>
      <c r="N128" t="e">
        <f>#REF!</f>
        <v>#REF!</v>
      </c>
      <c r="O128" t="e">
        <f>#REF!</f>
        <v>#REF!</v>
      </c>
      <c r="P128" t="e">
        <f>#REF!</f>
        <v>#REF!</v>
      </c>
      <c r="Q128" t="e">
        <f>#REF!</f>
        <v>#REF!</v>
      </c>
      <c r="R128" t="e">
        <f>#REF!</f>
        <v>#REF!</v>
      </c>
      <c r="S128" t="e">
        <f>#REF!</f>
        <v>#REF!</v>
      </c>
      <c r="T128" t="e">
        <f>#REF!</f>
        <v>#REF!</v>
      </c>
      <c r="U128" t="e">
        <f>#REF!</f>
        <v>#REF!</v>
      </c>
      <c r="V128" t="e">
        <f>#REF!</f>
        <v>#REF!</v>
      </c>
      <c r="W128" t="e">
        <f>#REF!</f>
        <v>#REF!</v>
      </c>
      <c r="X128" t="e">
        <f>#REF!</f>
        <v>#REF!</v>
      </c>
      <c r="Y128" t="e">
        <f>#REF!</f>
        <v>#REF!</v>
      </c>
      <c r="Z128" t="e">
        <f>#REF!</f>
        <v>#REF!</v>
      </c>
      <c r="AA128" t="e">
        <f>#REF!</f>
        <v>#REF!</v>
      </c>
      <c r="AB128" t="e">
        <f>#REF!</f>
        <v>#REF!</v>
      </c>
      <c r="AC128" t="e">
        <f>#REF!</f>
        <v>#REF!</v>
      </c>
      <c r="AD128" t="e">
        <f>#REF!</f>
        <v>#REF!</v>
      </c>
      <c r="AE128" t="e">
        <f>#REF!</f>
        <v>#REF!</v>
      </c>
      <c r="AF128" t="e">
        <f>#REF!</f>
        <v>#REF!</v>
      </c>
      <c r="AG128" t="e">
        <f>#REF!</f>
        <v>#REF!</v>
      </c>
      <c r="AH128" t="e">
        <f>#REF!</f>
        <v>#REF!</v>
      </c>
      <c r="AI128" t="e">
        <f>#REF!</f>
        <v>#REF!</v>
      </c>
      <c r="AO128" s="159" t="e">
        <f>IF(#REF!="",0,#REF!)</f>
        <v>#REF!</v>
      </c>
      <c r="AP128" s="160" t="e">
        <f t="shared" si="3"/>
        <v>#REF!</v>
      </c>
    </row>
    <row r="129" spans="2:42" x14ac:dyDescent="0.25">
      <c r="B129" t="e">
        <f>#REF!</f>
        <v>#REF!</v>
      </c>
      <c r="C129" t="e">
        <f>#REF!</f>
        <v>#REF!</v>
      </c>
      <c r="D129" t="e">
        <f>#REF!</f>
        <v>#REF!</v>
      </c>
      <c r="E129" s="14" t="e">
        <f>#REF!</f>
        <v>#REF!</v>
      </c>
      <c r="F129" t="e">
        <f>#REF!</f>
        <v>#REF!</v>
      </c>
      <c r="G129" t="e">
        <f>#REF!</f>
        <v>#REF!</v>
      </c>
      <c r="H129" t="e">
        <f>#REF!</f>
        <v>#REF!</v>
      </c>
      <c r="I129" t="e">
        <f>#REF!</f>
        <v>#REF!</v>
      </c>
      <c r="J129" t="e">
        <f>#REF!</f>
        <v>#REF!</v>
      </c>
      <c r="K129" t="e">
        <f>#REF!</f>
        <v>#REF!</v>
      </c>
      <c r="L129" t="e">
        <f>#REF!</f>
        <v>#REF!</v>
      </c>
      <c r="M129" t="e">
        <f>#REF!</f>
        <v>#REF!</v>
      </c>
      <c r="N129" t="e">
        <f>#REF!</f>
        <v>#REF!</v>
      </c>
      <c r="O129" t="e">
        <f>#REF!</f>
        <v>#REF!</v>
      </c>
      <c r="P129" t="e">
        <f>#REF!</f>
        <v>#REF!</v>
      </c>
      <c r="Q129" t="e">
        <f>#REF!</f>
        <v>#REF!</v>
      </c>
      <c r="R129" t="e">
        <f>#REF!</f>
        <v>#REF!</v>
      </c>
      <c r="S129" t="e">
        <f>#REF!</f>
        <v>#REF!</v>
      </c>
      <c r="T129" t="e">
        <f>#REF!</f>
        <v>#REF!</v>
      </c>
      <c r="U129" t="e">
        <f>#REF!</f>
        <v>#REF!</v>
      </c>
      <c r="V129" t="e">
        <f>#REF!</f>
        <v>#REF!</v>
      </c>
      <c r="W129" t="e">
        <f>#REF!</f>
        <v>#REF!</v>
      </c>
      <c r="X129" t="e">
        <f>#REF!</f>
        <v>#REF!</v>
      </c>
      <c r="Y129" t="e">
        <f>#REF!</f>
        <v>#REF!</v>
      </c>
      <c r="Z129" t="e">
        <f>#REF!</f>
        <v>#REF!</v>
      </c>
      <c r="AA129" t="e">
        <f>#REF!</f>
        <v>#REF!</v>
      </c>
      <c r="AB129" t="e">
        <f>#REF!</f>
        <v>#REF!</v>
      </c>
      <c r="AC129" t="e">
        <f>#REF!</f>
        <v>#REF!</v>
      </c>
      <c r="AD129" t="e">
        <f>#REF!</f>
        <v>#REF!</v>
      </c>
      <c r="AE129" t="e">
        <f>#REF!</f>
        <v>#REF!</v>
      </c>
      <c r="AF129" t="e">
        <f>#REF!</f>
        <v>#REF!</v>
      </c>
      <c r="AG129" t="e">
        <f>#REF!</f>
        <v>#REF!</v>
      </c>
      <c r="AH129" t="e">
        <f>#REF!</f>
        <v>#REF!</v>
      </c>
      <c r="AI129" t="e">
        <f>#REF!</f>
        <v>#REF!</v>
      </c>
      <c r="AO129" s="159" t="e">
        <f>IF(#REF!="",0,#REF!)</f>
        <v>#REF!</v>
      </c>
      <c r="AP129" s="160" t="e">
        <f t="shared" si="3"/>
        <v>#REF!</v>
      </c>
    </row>
    <row r="130" spans="2:42" x14ac:dyDescent="0.25">
      <c r="B130" t="e">
        <f>#REF!</f>
        <v>#REF!</v>
      </c>
      <c r="C130" t="e">
        <f>#REF!</f>
        <v>#REF!</v>
      </c>
      <c r="D130" t="e">
        <f>#REF!</f>
        <v>#REF!</v>
      </c>
      <c r="E130" s="14" t="e">
        <f>#REF!</f>
        <v>#REF!</v>
      </c>
      <c r="F130" t="e">
        <f>#REF!</f>
        <v>#REF!</v>
      </c>
      <c r="G130" t="e">
        <f>#REF!</f>
        <v>#REF!</v>
      </c>
      <c r="H130" t="e">
        <f>#REF!</f>
        <v>#REF!</v>
      </c>
      <c r="I130" t="e">
        <f>#REF!</f>
        <v>#REF!</v>
      </c>
      <c r="J130" t="e">
        <f>#REF!</f>
        <v>#REF!</v>
      </c>
      <c r="K130" t="e">
        <f>#REF!</f>
        <v>#REF!</v>
      </c>
      <c r="L130" t="e">
        <f>#REF!</f>
        <v>#REF!</v>
      </c>
      <c r="M130" t="e">
        <f>#REF!</f>
        <v>#REF!</v>
      </c>
      <c r="N130" t="e">
        <f>#REF!</f>
        <v>#REF!</v>
      </c>
      <c r="O130" t="e">
        <f>#REF!</f>
        <v>#REF!</v>
      </c>
      <c r="P130" t="e">
        <f>#REF!</f>
        <v>#REF!</v>
      </c>
      <c r="Q130" t="e">
        <f>#REF!</f>
        <v>#REF!</v>
      </c>
      <c r="R130" t="e">
        <f>#REF!</f>
        <v>#REF!</v>
      </c>
      <c r="S130" t="e">
        <f>#REF!</f>
        <v>#REF!</v>
      </c>
      <c r="T130" t="e">
        <f>#REF!</f>
        <v>#REF!</v>
      </c>
      <c r="U130" t="e">
        <f>#REF!</f>
        <v>#REF!</v>
      </c>
      <c r="V130" t="e">
        <f>#REF!</f>
        <v>#REF!</v>
      </c>
      <c r="W130" t="e">
        <f>#REF!</f>
        <v>#REF!</v>
      </c>
      <c r="X130" t="e">
        <f>#REF!</f>
        <v>#REF!</v>
      </c>
      <c r="Y130" t="e">
        <f>#REF!</f>
        <v>#REF!</v>
      </c>
      <c r="Z130" t="e">
        <f>#REF!</f>
        <v>#REF!</v>
      </c>
      <c r="AA130" t="e">
        <f>#REF!</f>
        <v>#REF!</v>
      </c>
      <c r="AB130" t="e">
        <f>#REF!</f>
        <v>#REF!</v>
      </c>
      <c r="AC130" t="e">
        <f>#REF!</f>
        <v>#REF!</v>
      </c>
      <c r="AD130" t="e">
        <f>#REF!</f>
        <v>#REF!</v>
      </c>
      <c r="AE130" t="e">
        <f>#REF!</f>
        <v>#REF!</v>
      </c>
      <c r="AF130" t="e">
        <f>#REF!</f>
        <v>#REF!</v>
      </c>
      <c r="AG130" t="e">
        <f>#REF!</f>
        <v>#REF!</v>
      </c>
      <c r="AH130" t="e">
        <f>#REF!</f>
        <v>#REF!</v>
      </c>
      <c r="AI130" t="e">
        <f>#REF!</f>
        <v>#REF!</v>
      </c>
      <c r="AO130" s="159" t="e">
        <f>IF(#REF!="",0,#REF!)</f>
        <v>#REF!</v>
      </c>
      <c r="AP130" s="160" t="e">
        <f t="shared" si="3"/>
        <v>#REF!</v>
      </c>
    </row>
    <row r="131" spans="2:42" x14ac:dyDescent="0.25">
      <c r="B131" t="e">
        <f>#REF!</f>
        <v>#REF!</v>
      </c>
      <c r="C131" t="e">
        <f>#REF!</f>
        <v>#REF!</v>
      </c>
      <c r="D131" t="e">
        <f>#REF!</f>
        <v>#REF!</v>
      </c>
      <c r="E131" s="14" t="e">
        <f>#REF!</f>
        <v>#REF!</v>
      </c>
      <c r="F131" t="e">
        <f>#REF!</f>
        <v>#REF!</v>
      </c>
      <c r="G131" t="e">
        <f>#REF!</f>
        <v>#REF!</v>
      </c>
      <c r="H131" t="e">
        <f>#REF!</f>
        <v>#REF!</v>
      </c>
      <c r="I131" t="e">
        <f>#REF!</f>
        <v>#REF!</v>
      </c>
      <c r="J131" t="e">
        <f>#REF!</f>
        <v>#REF!</v>
      </c>
      <c r="K131" t="e">
        <f>#REF!</f>
        <v>#REF!</v>
      </c>
      <c r="L131" t="e">
        <f>#REF!</f>
        <v>#REF!</v>
      </c>
      <c r="M131" t="e">
        <f>#REF!</f>
        <v>#REF!</v>
      </c>
      <c r="N131" t="e">
        <f>#REF!</f>
        <v>#REF!</v>
      </c>
      <c r="O131" t="e">
        <f>#REF!</f>
        <v>#REF!</v>
      </c>
      <c r="P131" t="e">
        <f>#REF!</f>
        <v>#REF!</v>
      </c>
      <c r="Q131" t="e">
        <f>#REF!</f>
        <v>#REF!</v>
      </c>
      <c r="R131" t="e">
        <f>#REF!</f>
        <v>#REF!</v>
      </c>
      <c r="S131" t="e">
        <f>#REF!</f>
        <v>#REF!</v>
      </c>
      <c r="T131" t="e">
        <f>#REF!</f>
        <v>#REF!</v>
      </c>
      <c r="U131" t="e">
        <f>#REF!</f>
        <v>#REF!</v>
      </c>
      <c r="V131" t="e">
        <f>#REF!</f>
        <v>#REF!</v>
      </c>
      <c r="W131" t="e">
        <f>#REF!</f>
        <v>#REF!</v>
      </c>
      <c r="X131" t="e">
        <f>#REF!</f>
        <v>#REF!</v>
      </c>
      <c r="Y131" t="e">
        <f>#REF!</f>
        <v>#REF!</v>
      </c>
      <c r="Z131" t="e">
        <f>#REF!</f>
        <v>#REF!</v>
      </c>
      <c r="AA131" t="e">
        <f>#REF!</f>
        <v>#REF!</v>
      </c>
      <c r="AB131" t="e">
        <f>#REF!</f>
        <v>#REF!</v>
      </c>
      <c r="AC131" t="e">
        <f>#REF!</f>
        <v>#REF!</v>
      </c>
      <c r="AD131" t="e">
        <f>#REF!</f>
        <v>#REF!</v>
      </c>
      <c r="AE131" t="e">
        <f>#REF!</f>
        <v>#REF!</v>
      </c>
      <c r="AF131" t="e">
        <f>#REF!</f>
        <v>#REF!</v>
      </c>
      <c r="AG131" t="e">
        <f>#REF!</f>
        <v>#REF!</v>
      </c>
      <c r="AH131" t="e">
        <f>#REF!</f>
        <v>#REF!</v>
      </c>
      <c r="AI131" t="e">
        <f>#REF!</f>
        <v>#REF!</v>
      </c>
      <c r="AO131" s="159" t="e">
        <f>IF(#REF!="",0,#REF!)</f>
        <v>#REF!</v>
      </c>
      <c r="AP131" s="160" t="e">
        <f t="shared" si="3"/>
        <v>#REF!</v>
      </c>
    </row>
    <row r="132" spans="2:42" x14ac:dyDescent="0.25">
      <c r="B132" t="e">
        <f>#REF!</f>
        <v>#REF!</v>
      </c>
      <c r="C132" t="e">
        <f>#REF!</f>
        <v>#REF!</v>
      </c>
      <c r="D132" t="e">
        <f>#REF!</f>
        <v>#REF!</v>
      </c>
      <c r="E132" s="14" t="e">
        <f>#REF!</f>
        <v>#REF!</v>
      </c>
      <c r="F132" t="e">
        <f>#REF!</f>
        <v>#REF!</v>
      </c>
      <c r="G132" t="e">
        <f>#REF!</f>
        <v>#REF!</v>
      </c>
      <c r="H132" t="e">
        <f>#REF!</f>
        <v>#REF!</v>
      </c>
      <c r="I132" t="e">
        <f>#REF!</f>
        <v>#REF!</v>
      </c>
      <c r="J132" t="e">
        <f>#REF!</f>
        <v>#REF!</v>
      </c>
      <c r="K132" t="e">
        <f>#REF!</f>
        <v>#REF!</v>
      </c>
      <c r="L132" t="e">
        <f>#REF!</f>
        <v>#REF!</v>
      </c>
      <c r="M132" t="e">
        <f>#REF!</f>
        <v>#REF!</v>
      </c>
      <c r="N132" t="e">
        <f>#REF!</f>
        <v>#REF!</v>
      </c>
      <c r="O132" t="e">
        <f>#REF!</f>
        <v>#REF!</v>
      </c>
      <c r="P132" t="e">
        <f>#REF!</f>
        <v>#REF!</v>
      </c>
      <c r="Q132" t="e">
        <f>#REF!</f>
        <v>#REF!</v>
      </c>
      <c r="R132" t="e">
        <f>#REF!</f>
        <v>#REF!</v>
      </c>
      <c r="S132" t="e">
        <f>#REF!</f>
        <v>#REF!</v>
      </c>
      <c r="T132" t="e">
        <f>#REF!</f>
        <v>#REF!</v>
      </c>
      <c r="U132" t="e">
        <f>#REF!</f>
        <v>#REF!</v>
      </c>
      <c r="V132" t="e">
        <f>#REF!</f>
        <v>#REF!</v>
      </c>
      <c r="W132" t="e">
        <f>#REF!</f>
        <v>#REF!</v>
      </c>
      <c r="X132" t="e">
        <f>#REF!</f>
        <v>#REF!</v>
      </c>
      <c r="Y132" t="e">
        <f>#REF!</f>
        <v>#REF!</v>
      </c>
      <c r="Z132" t="e">
        <f>#REF!</f>
        <v>#REF!</v>
      </c>
      <c r="AA132" t="e">
        <f>#REF!</f>
        <v>#REF!</v>
      </c>
      <c r="AB132" t="e">
        <f>#REF!</f>
        <v>#REF!</v>
      </c>
      <c r="AC132" t="e">
        <f>#REF!</f>
        <v>#REF!</v>
      </c>
      <c r="AD132" t="e">
        <f>#REF!</f>
        <v>#REF!</v>
      </c>
      <c r="AE132" t="e">
        <f>#REF!</f>
        <v>#REF!</v>
      </c>
      <c r="AF132" t="e">
        <f>#REF!</f>
        <v>#REF!</v>
      </c>
      <c r="AG132" t="e">
        <f>#REF!</f>
        <v>#REF!</v>
      </c>
      <c r="AH132" t="e">
        <f>#REF!</f>
        <v>#REF!</v>
      </c>
      <c r="AI132" t="e">
        <f>#REF!</f>
        <v>#REF!</v>
      </c>
      <c r="AO132" s="159" t="e">
        <f>IF(#REF!="",0,#REF!)</f>
        <v>#REF!</v>
      </c>
      <c r="AP132" s="160" t="e">
        <f t="shared" si="3"/>
        <v>#REF!</v>
      </c>
    </row>
    <row r="133" spans="2:42" x14ac:dyDescent="0.25">
      <c r="B133" t="e">
        <f>#REF!</f>
        <v>#REF!</v>
      </c>
      <c r="C133" t="e">
        <f>#REF!</f>
        <v>#REF!</v>
      </c>
      <c r="D133" t="e">
        <f>#REF!</f>
        <v>#REF!</v>
      </c>
      <c r="E133" s="14" t="e">
        <f>#REF!</f>
        <v>#REF!</v>
      </c>
      <c r="F133" t="e">
        <f>#REF!</f>
        <v>#REF!</v>
      </c>
      <c r="G133" t="e">
        <f>#REF!</f>
        <v>#REF!</v>
      </c>
      <c r="H133" t="e">
        <f>#REF!</f>
        <v>#REF!</v>
      </c>
      <c r="I133" t="e">
        <f>#REF!</f>
        <v>#REF!</v>
      </c>
      <c r="J133" t="e">
        <f>#REF!</f>
        <v>#REF!</v>
      </c>
      <c r="K133" t="e">
        <f>#REF!</f>
        <v>#REF!</v>
      </c>
      <c r="L133" t="e">
        <f>#REF!</f>
        <v>#REF!</v>
      </c>
      <c r="M133" t="e">
        <f>#REF!</f>
        <v>#REF!</v>
      </c>
      <c r="N133" t="e">
        <f>#REF!</f>
        <v>#REF!</v>
      </c>
      <c r="O133" t="e">
        <f>#REF!</f>
        <v>#REF!</v>
      </c>
      <c r="P133" t="e">
        <f>#REF!</f>
        <v>#REF!</v>
      </c>
      <c r="Q133" t="e">
        <f>#REF!</f>
        <v>#REF!</v>
      </c>
      <c r="R133" t="e">
        <f>#REF!</f>
        <v>#REF!</v>
      </c>
      <c r="S133" t="e">
        <f>#REF!</f>
        <v>#REF!</v>
      </c>
      <c r="T133" t="e">
        <f>#REF!</f>
        <v>#REF!</v>
      </c>
      <c r="U133" t="e">
        <f>#REF!</f>
        <v>#REF!</v>
      </c>
      <c r="V133" t="e">
        <f>#REF!</f>
        <v>#REF!</v>
      </c>
      <c r="W133" t="e">
        <f>#REF!</f>
        <v>#REF!</v>
      </c>
      <c r="X133" t="e">
        <f>#REF!</f>
        <v>#REF!</v>
      </c>
      <c r="Y133" t="e">
        <f>#REF!</f>
        <v>#REF!</v>
      </c>
      <c r="Z133" t="e">
        <f>#REF!</f>
        <v>#REF!</v>
      </c>
      <c r="AA133" t="e">
        <f>#REF!</f>
        <v>#REF!</v>
      </c>
      <c r="AB133" t="e">
        <f>#REF!</f>
        <v>#REF!</v>
      </c>
      <c r="AC133" t="e">
        <f>#REF!</f>
        <v>#REF!</v>
      </c>
      <c r="AD133" t="e">
        <f>#REF!</f>
        <v>#REF!</v>
      </c>
      <c r="AE133" t="e">
        <f>#REF!</f>
        <v>#REF!</v>
      </c>
      <c r="AF133" t="e">
        <f>#REF!</f>
        <v>#REF!</v>
      </c>
      <c r="AG133" t="e">
        <f>#REF!</f>
        <v>#REF!</v>
      </c>
      <c r="AH133" t="e">
        <f>#REF!</f>
        <v>#REF!</v>
      </c>
      <c r="AI133" t="e">
        <f>#REF!</f>
        <v>#REF!</v>
      </c>
      <c r="AO133" s="159" t="e">
        <f>IF(#REF!="",0,#REF!)</f>
        <v>#REF!</v>
      </c>
      <c r="AP133" s="160" t="e">
        <f t="shared" si="3"/>
        <v>#REF!</v>
      </c>
    </row>
    <row r="134" spans="2:42" x14ac:dyDescent="0.25">
      <c r="B134" t="e">
        <f>#REF!</f>
        <v>#REF!</v>
      </c>
      <c r="C134" t="e">
        <f>#REF!</f>
        <v>#REF!</v>
      </c>
      <c r="D134" t="e">
        <f>#REF!</f>
        <v>#REF!</v>
      </c>
      <c r="E134" s="14" t="e">
        <f>#REF!</f>
        <v>#REF!</v>
      </c>
      <c r="F134" t="e">
        <f>#REF!</f>
        <v>#REF!</v>
      </c>
      <c r="G134" t="e">
        <f>#REF!</f>
        <v>#REF!</v>
      </c>
      <c r="H134" t="e">
        <f>#REF!</f>
        <v>#REF!</v>
      </c>
      <c r="I134" t="e">
        <f>#REF!</f>
        <v>#REF!</v>
      </c>
      <c r="J134" t="e">
        <f>#REF!</f>
        <v>#REF!</v>
      </c>
      <c r="K134" t="e">
        <f>#REF!</f>
        <v>#REF!</v>
      </c>
      <c r="L134" t="e">
        <f>#REF!</f>
        <v>#REF!</v>
      </c>
      <c r="M134" t="e">
        <f>#REF!</f>
        <v>#REF!</v>
      </c>
      <c r="N134" t="e">
        <f>#REF!</f>
        <v>#REF!</v>
      </c>
      <c r="O134" t="e">
        <f>#REF!</f>
        <v>#REF!</v>
      </c>
      <c r="P134" t="e">
        <f>#REF!</f>
        <v>#REF!</v>
      </c>
      <c r="Q134" t="e">
        <f>#REF!</f>
        <v>#REF!</v>
      </c>
      <c r="R134" t="e">
        <f>#REF!</f>
        <v>#REF!</v>
      </c>
      <c r="S134" t="e">
        <f>#REF!</f>
        <v>#REF!</v>
      </c>
      <c r="T134" t="e">
        <f>#REF!</f>
        <v>#REF!</v>
      </c>
      <c r="U134" t="e">
        <f>#REF!</f>
        <v>#REF!</v>
      </c>
      <c r="V134" t="e">
        <f>#REF!</f>
        <v>#REF!</v>
      </c>
      <c r="W134" t="e">
        <f>#REF!</f>
        <v>#REF!</v>
      </c>
      <c r="X134" t="e">
        <f>#REF!</f>
        <v>#REF!</v>
      </c>
      <c r="Y134" t="e">
        <f>#REF!</f>
        <v>#REF!</v>
      </c>
      <c r="Z134" t="e">
        <f>#REF!</f>
        <v>#REF!</v>
      </c>
      <c r="AA134" t="e">
        <f>#REF!</f>
        <v>#REF!</v>
      </c>
      <c r="AB134" t="e">
        <f>#REF!</f>
        <v>#REF!</v>
      </c>
      <c r="AC134" t="e">
        <f>#REF!</f>
        <v>#REF!</v>
      </c>
      <c r="AD134" t="e">
        <f>#REF!</f>
        <v>#REF!</v>
      </c>
      <c r="AE134" t="e">
        <f>#REF!</f>
        <v>#REF!</v>
      </c>
      <c r="AF134" t="e">
        <f>#REF!</f>
        <v>#REF!</v>
      </c>
      <c r="AG134" t="e">
        <f>#REF!</f>
        <v>#REF!</v>
      </c>
      <c r="AH134" t="e">
        <f>#REF!</f>
        <v>#REF!</v>
      </c>
      <c r="AI134" t="e">
        <f>#REF!</f>
        <v>#REF!</v>
      </c>
      <c r="AO134" s="159" t="e">
        <f>IF(#REF!="",0,#REF!)</f>
        <v>#REF!</v>
      </c>
      <c r="AP134" s="160" t="e">
        <f t="shared" si="3"/>
        <v>#REF!</v>
      </c>
    </row>
    <row r="135" spans="2:42" x14ac:dyDescent="0.25">
      <c r="B135" t="e">
        <f>#REF!</f>
        <v>#REF!</v>
      </c>
      <c r="C135" t="e">
        <f>#REF!</f>
        <v>#REF!</v>
      </c>
      <c r="D135" t="e">
        <f>#REF!</f>
        <v>#REF!</v>
      </c>
      <c r="E135" s="14" t="e">
        <f>#REF!</f>
        <v>#REF!</v>
      </c>
      <c r="F135" t="e">
        <f>#REF!</f>
        <v>#REF!</v>
      </c>
      <c r="G135" t="e">
        <f>#REF!</f>
        <v>#REF!</v>
      </c>
      <c r="H135" t="e">
        <f>#REF!</f>
        <v>#REF!</v>
      </c>
      <c r="I135" t="e">
        <f>#REF!</f>
        <v>#REF!</v>
      </c>
      <c r="J135" t="e">
        <f>#REF!</f>
        <v>#REF!</v>
      </c>
      <c r="K135" t="e">
        <f>#REF!</f>
        <v>#REF!</v>
      </c>
      <c r="L135" t="e">
        <f>#REF!</f>
        <v>#REF!</v>
      </c>
      <c r="M135" t="e">
        <f>#REF!</f>
        <v>#REF!</v>
      </c>
      <c r="N135" t="e">
        <f>#REF!</f>
        <v>#REF!</v>
      </c>
      <c r="O135" t="e">
        <f>#REF!</f>
        <v>#REF!</v>
      </c>
      <c r="P135" t="e">
        <f>#REF!</f>
        <v>#REF!</v>
      </c>
      <c r="Q135" t="e">
        <f>#REF!</f>
        <v>#REF!</v>
      </c>
      <c r="R135" t="e">
        <f>#REF!</f>
        <v>#REF!</v>
      </c>
      <c r="S135" t="e">
        <f>#REF!</f>
        <v>#REF!</v>
      </c>
      <c r="T135" t="e">
        <f>#REF!</f>
        <v>#REF!</v>
      </c>
      <c r="U135" t="e">
        <f>#REF!</f>
        <v>#REF!</v>
      </c>
      <c r="V135" t="e">
        <f>#REF!</f>
        <v>#REF!</v>
      </c>
      <c r="W135" t="e">
        <f>#REF!</f>
        <v>#REF!</v>
      </c>
      <c r="X135" t="e">
        <f>#REF!</f>
        <v>#REF!</v>
      </c>
      <c r="Y135" t="e">
        <f>#REF!</f>
        <v>#REF!</v>
      </c>
      <c r="Z135" t="e">
        <f>#REF!</f>
        <v>#REF!</v>
      </c>
      <c r="AA135" t="e">
        <f>#REF!</f>
        <v>#REF!</v>
      </c>
      <c r="AB135" t="e">
        <f>#REF!</f>
        <v>#REF!</v>
      </c>
      <c r="AC135" t="e">
        <f>#REF!</f>
        <v>#REF!</v>
      </c>
      <c r="AD135" t="e">
        <f>#REF!</f>
        <v>#REF!</v>
      </c>
      <c r="AE135" t="e">
        <f>#REF!</f>
        <v>#REF!</v>
      </c>
      <c r="AF135" t="e">
        <f>#REF!</f>
        <v>#REF!</v>
      </c>
      <c r="AG135" t="e">
        <f>#REF!</f>
        <v>#REF!</v>
      </c>
      <c r="AH135" t="e">
        <f>#REF!</f>
        <v>#REF!</v>
      </c>
      <c r="AI135" t="e">
        <f>#REF!</f>
        <v>#REF!</v>
      </c>
      <c r="AO135" s="159" t="e">
        <f>IF(#REF!="",0,#REF!)</f>
        <v>#REF!</v>
      </c>
      <c r="AP135" s="160" t="e">
        <f t="shared" si="3"/>
        <v>#REF!</v>
      </c>
    </row>
    <row r="136" spans="2:42" x14ac:dyDescent="0.25">
      <c r="B136" t="e">
        <f>#REF!</f>
        <v>#REF!</v>
      </c>
      <c r="C136" t="e">
        <f>#REF!</f>
        <v>#REF!</v>
      </c>
      <c r="D136" t="e">
        <f>#REF!</f>
        <v>#REF!</v>
      </c>
      <c r="E136" s="14" t="e">
        <f>#REF!</f>
        <v>#REF!</v>
      </c>
      <c r="F136" t="e">
        <f>#REF!</f>
        <v>#REF!</v>
      </c>
      <c r="G136" t="e">
        <f>#REF!</f>
        <v>#REF!</v>
      </c>
      <c r="H136" t="e">
        <f>#REF!</f>
        <v>#REF!</v>
      </c>
      <c r="I136" t="e">
        <f>#REF!</f>
        <v>#REF!</v>
      </c>
      <c r="J136" t="e">
        <f>#REF!</f>
        <v>#REF!</v>
      </c>
      <c r="K136" t="e">
        <f>#REF!</f>
        <v>#REF!</v>
      </c>
      <c r="L136" t="e">
        <f>#REF!</f>
        <v>#REF!</v>
      </c>
      <c r="M136" t="e">
        <f>#REF!</f>
        <v>#REF!</v>
      </c>
      <c r="N136" t="e">
        <f>#REF!</f>
        <v>#REF!</v>
      </c>
      <c r="O136" t="e">
        <f>#REF!</f>
        <v>#REF!</v>
      </c>
      <c r="P136" t="e">
        <f>#REF!</f>
        <v>#REF!</v>
      </c>
      <c r="Q136" t="e">
        <f>#REF!</f>
        <v>#REF!</v>
      </c>
      <c r="R136" t="e">
        <f>#REF!</f>
        <v>#REF!</v>
      </c>
      <c r="S136" t="e">
        <f>#REF!</f>
        <v>#REF!</v>
      </c>
      <c r="T136" t="e">
        <f>#REF!</f>
        <v>#REF!</v>
      </c>
      <c r="U136" t="e">
        <f>#REF!</f>
        <v>#REF!</v>
      </c>
      <c r="V136" t="e">
        <f>#REF!</f>
        <v>#REF!</v>
      </c>
      <c r="W136" t="e">
        <f>#REF!</f>
        <v>#REF!</v>
      </c>
      <c r="X136" t="e">
        <f>#REF!</f>
        <v>#REF!</v>
      </c>
      <c r="Y136" t="e">
        <f>#REF!</f>
        <v>#REF!</v>
      </c>
      <c r="Z136" t="e">
        <f>#REF!</f>
        <v>#REF!</v>
      </c>
      <c r="AA136" t="e">
        <f>#REF!</f>
        <v>#REF!</v>
      </c>
      <c r="AB136" t="e">
        <f>#REF!</f>
        <v>#REF!</v>
      </c>
      <c r="AC136" t="e">
        <f>#REF!</f>
        <v>#REF!</v>
      </c>
      <c r="AD136" t="e">
        <f>#REF!</f>
        <v>#REF!</v>
      </c>
      <c r="AE136" t="e">
        <f>#REF!</f>
        <v>#REF!</v>
      </c>
      <c r="AF136" t="e">
        <f>#REF!</f>
        <v>#REF!</v>
      </c>
      <c r="AG136" t="e">
        <f>#REF!</f>
        <v>#REF!</v>
      </c>
      <c r="AH136" t="e">
        <f>#REF!</f>
        <v>#REF!</v>
      </c>
      <c r="AI136" t="e">
        <f>#REF!</f>
        <v>#REF!</v>
      </c>
      <c r="AO136" s="159" t="e">
        <f>IF(#REF!="",0,#REF!)</f>
        <v>#REF!</v>
      </c>
      <c r="AP136" s="160" t="e">
        <f t="shared" si="3"/>
        <v>#REF!</v>
      </c>
    </row>
    <row r="137" spans="2:42" x14ac:dyDescent="0.25">
      <c r="AP137" s="161"/>
    </row>
    <row r="138" spans="2:42" x14ac:dyDescent="0.25">
      <c r="AP138" s="161"/>
    </row>
    <row r="139" spans="2:42" x14ac:dyDescent="0.25">
      <c r="AP139" s="161"/>
    </row>
    <row r="140" spans="2:42" x14ac:dyDescent="0.25">
      <c r="AP140" s="161"/>
    </row>
    <row r="141" spans="2:42" x14ac:dyDescent="0.25">
      <c r="B141" t="e">
        <f>#REF!</f>
        <v>#REF!</v>
      </c>
      <c r="C141" t="e">
        <f>#REF!</f>
        <v>#REF!</v>
      </c>
      <c r="D141" t="e">
        <f>#REF!</f>
        <v>#REF!</v>
      </c>
      <c r="E141" s="14" t="e">
        <f>#REF!</f>
        <v>#REF!</v>
      </c>
      <c r="F141" t="e">
        <f>#REF!</f>
        <v>#REF!</v>
      </c>
      <c r="G141" t="e">
        <f>#REF!</f>
        <v>#REF!</v>
      </c>
      <c r="H141" t="e">
        <f>#REF!</f>
        <v>#REF!</v>
      </c>
      <c r="I141" t="e">
        <f>#REF!</f>
        <v>#REF!</v>
      </c>
      <c r="J141" t="e">
        <f>#REF!</f>
        <v>#REF!</v>
      </c>
      <c r="K141" t="e">
        <f>#REF!</f>
        <v>#REF!</v>
      </c>
      <c r="L141" t="e">
        <f>#REF!</f>
        <v>#REF!</v>
      </c>
      <c r="M141" t="e">
        <f>#REF!</f>
        <v>#REF!</v>
      </c>
      <c r="N141" t="e">
        <f>#REF!</f>
        <v>#REF!</v>
      </c>
      <c r="O141" t="e">
        <f>#REF!</f>
        <v>#REF!</v>
      </c>
      <c r="P141" t="e">
        <f>#REF!</f>
        <v>#REF!</v>
      </c>
      <c r="Q141" t="e">
        <f>#REF!</f>
        <v>#REF!</v>
      </c>
      <c r="R141" t="e">
        <f>#REF!</f>
        <v>#REF!</v>
      </c>
      <c r="S141" t="e">
        <f>#REF!</f>
        <v>#REF!</v>
      </c>
      <c r="T141" t="e">
        <f>#REF!</f>
        <v>#REF!</v>
      </c>
      <c r="U141" t="e">
        <f>#REF!</f>
        <v>#REF!</v>
      </c>
      <c r="V141" t="e">
        <f>#REF!</f>
        <v>#REF!</v>
      </c>
      <c r="W141" t="e">
        <f>#REF!</f>
        <v>#REF!</v>
      </c>
      <c r="X141" t="e">
        <f>#REF!</f>
        <v>#REF!</v>
      </c>
      <c r="Y141" t="e">
        <f>#REF!</f>
        <v>#REF!</v>
      </c>
      <c r="Z141" t="e">
        <f>#REF!</f>
        <v>#REF!</v>
      </c>
      <c r="AA141" t="e">
        <f>#REF!</f>
        <v>#REF!</v>
      </c>
      <c r="AB141" t="e">
        <f>#REF!</f>
        <v>#REF!</v>
      </c>
      <c r="AC141" t="e">
        <f>#REF!</f>
        <v>#REF!</v>
      </c>
      <c r="AD141" t="e">
        <f>#REF!</f>
        <v>#REF!</v>
      </c>
      <c r="AE141" t="e">
        <f>#REF!</f>
        <v>#REF!</v>
      </c>
      <c r="AF141" t="e">
        <f>#REF!</f>
        <v>#REF!</v>
      </c>
      <c r="AG141" t="e">
        <f>#REF!</f>
        <v>#REF!</v>
      </c>
      <c r="AH141" t="e">
        <f>#REF!</f>
        <v>#REF!</v>
      </c>
      <c r="AI141" t="e">
        <f>#REF!</f>
        <v>#REF!</v>
      </c>
      <c r="AO141" s="159" t="e">
        <f>IF(#REF!="",0,#REF!)</f>
        <v>#REF!</v>
      </c>
      <c r="AP141" s="160" t="e">
        <f t="shared" ref="AP141:AP170" si="4">SUM(F141:AI141)-AO141</f>
        <v>#REF!</v>
      </c>
    </row>
    <row r="142" spans="2:42" x14ac:dyDescent="0.25">
      <c r="B142" t="e">
        <f>#REF!</f>
        <v>#REF!</v>
      </c>
      <c r="C142" t="e">
        <f>#REF!</f>
        <v>#REF!</v>
      </c>
      <c r="D142" t="e">
        <f>#REF!</f>
        <v>#REF!</v>
      </c>
      <c r="E142" s="14" t="e">
        <f>#REF!</f>
        <v>#REF!</v>
      </c>
      <c r="F142" t="e">
        <f>#REF!</f>
        <v>#REF!</v>
      </c>
      <c r="G142" t="e">
        <f>#REF!</f>
        <v>#REF!</v>
      </c>
      <c r="H142" t="e">
        <f>#REF!</f>
        <v>#REF!</v>
      </c>
      <c r="I142" t="e">
        <f>#REF!</f>
        <v>#REF!</v>
      </c>
      <c r="J142" t="e">
        <f>#REF!</f>
        <v>#REF!</v>
      </c>
      <c r="K142" t="e">
        <f>#REF!</f>
        <v>#REF!</v>
      </c>
      <c r="L142" t="e">
        <f>#REF!</f>
        <v>#REF!</v>
      </c>
      <c r="M142" t="e">
        <f>#REF!</f>
        <v>#REF!</v>
      </c>
      <c r="N142" t="e">
        <f>#REF!</f>
        <v>#REF!</v>
      </c>
      <c r="O142" t="e">
        <f>#REF!</f>
        <v>#REF!</v>
      </c>
      <c r="P142" t="e">
        <f>#REF!</f>
        <v>#REF!</v>
      </c>
      <c r="Q142" t="e">
        <f>#REF!</f>
        <v>#REF!</v>
      </c>
      <c r="R142" t="e">
        <f>#REF!</f>
        <v>#REF!</v>
      </c>
      <c r="S142" t="e">
        <f>#REF!</f>
        <v>#REF!</v>
      </c>
      <c r="T142" t="e">
        <f>#REF!</f>
        <v>#REF!</v>
      </c>
      <c r="U142" t="e">
        <f>#REF!</f>
        <v>#REF!</v>
      </c>
      <c r="V142" t="e">
        <f>#REF!</f>
        <v>#REF!</v>
      </c>
      <c r="W142" t="e">
        <f>#REF!</f>
        <v>#REF!</v>
      </c>
      <c r="X142" t="e">
        <f>#REF!</f>
        <v>#REF!</v>
      </c>
      <c r="Y142" t="e">
        <f>#REF!</f>
        <v>#REF!</v>
      </c>
      <c r="Z142" t="e">
        <f>#REF!</f>
        <v>#REF!</v>
      </c>
      <c r="AA142" t="e">
        <f>#REF!</f>
        <v>#REF!</v>
      </c>
      <c r="AB142" t="e">
        <f>#REF!</f>
        <v>#REF!</v>
      </c>
      <c r="AC142" t="e">
        <f>#REF!</f>
        <v>#REF!</v>
      </c>
      <c r="AD142" t="e">
        <f>#REF!</f>
        <v>#REF!</v>
      </c>
      <c r="AE142" t="e">
        <f>#REF!</f>
        <v>#REF!</v>
      </c>
      <c r="AF142" t="e">
        <f>#REF!</f>
        <v>#REF!</v>
      </c>
      <c r="AG142" t="e">
        <f>#REF!</f>
        <v>#REF!</v>
      </c>
      <c r="AH142" t="e">
        <f>#REF!</f>
        <v>#REF!</v>
      </c>
      <c r="AI142" t="e">
        <f>#REF!</f>
        <v>#REF!</v>
      </c>
      <c r="AO142" s="159" t="e">
        <f>IF(#REF!="",0,#REF!)</f>
        <v>#REF!</v>
      </c>
      <c r="AP142" s="160" t="e">
        <f t="shared" si="4"/>
        <v>#REF!</v>
      </c>
    </row>
    <row r="143" spans="2:42" x14ac:dyDescent="0.25">
      <c r="B143" t="e">
        <f>#REF!</f>
        <v>#REF!</v>
      </c>
      <c r="C143" t="e">
        <f>#REF!</f>
        <v>#REF!</v>
      </c>
      <c r="D143" t="e">
        <f>#REF!</f>
        <v>#REF!</v>
      </c>
      <c r="E143" s="14" t="e">
        <f>#REF!</f>
        <v>#REF!</v>
      </c>
      <c r="F143" t="e">
        <f>#REF!</f>
        <v>#REF!</v>
      </c>
      <c r="G143" t="e">
        <f>#REF!</f>
        <v>#REF!</v>
      </c>
      <c r="H143" t="e">
        <f>#REF!</f>
        <v>#REF!</v>
      </c>
      <c r="I143" t="e">
        <f>#REF!</f>
        <v>#REF!</v>
      </c>
      <c r="J143" t="e">
        <f>#REF!</f>
        <v>#REF!</v>
      </c>
      <c r="K143" t="e">
        <f>#REF!</f>
        <v>#REF!</v>
      </c>
      <c r="L143" t="e">
        <f>#REF!</f>
        <v>#REF!</v>
      </c>
      <c r="M143" t="e">
        <f>#REF!</f>
        <v>#REF!</v>
      </c>
      <c r="N143" t="e">
        <f>#REF!</f>
        <v>#REF!</v>
      </c>
      <c r="O143" t="e">
        <f>#REF!</f>
        <v>#REF!</v>
      </c>
      <c r="P143" t="e">
        <f>#REF!</f>
        <v>#REF!</v>
      </c>
      <c r="Q143" t="e">
        <f>#REF!</f>
        <v>#REF!</v>
      </c>
      <c r="R143" t="e">
        <f>#REF!</f>
        <v>#REF!</v>
      </c>
      <c r="S143" t="e">
        <f>#REF!</f>
        <v>#REF!</v>
      </c>
      <c r="T143" t="e">
        <f>#REF!</f>
        <v>#REF!</v>
      </c>
      <c r="U143" t="e">
        <f>#REF!</f>
        <v>#REF!</v>
      </c>
      <c r="V143" t="e">
        <f>#REF!</f>
        <v>#REF!</v>
      </c>
      <c r="W143" t="e">
        <f>#REF!</f>
        <v>#REF!</v>
      </c>
      <c r="X143" t="e">
        <f>#REF!</f>
        <v>#REF!</v>
      </c>
      <c r="Y143" t="e">
        <f>#REF!</f>
        <v>#REF!</v>
      </c>
      <c r="Z143" t="e">
        <f>#REF!</f>
        <v>#REF!</v>
      </c>
      <c r="AA143" t="e">
        <f>#REF!</f>
        <v>#REF!</v>
      </c>
      <c r="AB143" t="e">
        <f>#REF!</f>
        <v>#REF!</v>
      </c>
      <c r="AC143" t="e">
        <f>#REF!</f>
        <v>#REF!</v>
      </c>
      <c r="AD143" t="e">
        <f>#REF!</f>
        <v>#REF!</v>
      </c>
      <c r="AE143" t="e">
        <f>#REF!</f>
        <v>#REF!</v>
      </c>
      <c r="AF143" t="e">
        <f>#REF!</f>
        <v>#REF!</v>
      </c>
      <c r="AG143" t="e">
        <f>#REF!</f>
        <v>#REF!</v>
      </c>
      <c r="AH143" t="e">
        <f>#REF!</f>
        <v>#REF!</v>
      </c>
      <c r="AI143" t="e">
        <f>#REF!</f>
        <v>#REF!</v>
      </c>
      <c r="AO143" s="159" t="e">
        <f>IF(#REF!="",0,#REF!)</f>
        <v>#REF!</v>
      </c>
      <c r="AP143" s="160" t="e">
        <f t="shared" si="4"/>
        <v>#REF!</v>
      </c>
    </row>
    <row r="144" spans="2:42" x14ac:dyDescent="0.25">
      <c r="B144" t="e">
        <f>#REF!</f>
        <v>#REF!</v>
      </c>
      <c r="C144" t="e">
        <f>#REF!</f>
        <v>#REF!</v>
      </c>
      <c r="D144" t="e">
        <f>#REF!</f>
        <v>#REF!</v>
      </c>
      <c r="E144" s="14" t="e">
        <f>#REF!</f>
        <v>#REF!</v>
      </c>
      <c r="F144" t="e">
        <f>#REF!</f>
        <v>#REF!</v>
      </c>
      <c r="G144" t="e">
        <f>#REF!</f>
        <v>#REF!</v>
      </c>
      <c r="H144" t="e">
        <f>#REF!</f>
        <v>#REF!</v>
      </c>
      <c r="I144" t="e">
        <f>#REF!</f>
        <v>#REF!</v>
      </c>
      <c r="J144" t="e">
        <f>#REF!</f>
        <v>#REF!</v>
      </c>
      <c r="K144" t="e">
        <f>#REF!</f>
        <v>#REF!</v>
      </c>
      <c r="L144" t="e">
        <f>#REF!</f>
        <v>#REF!</v>
      </c>
      <c r="M144" t="e">
        <f>#REF!</f>
        <v>#REF!</v>
      </c>
      <c r="N144" t="e">
        <f>#REF!</f>
        <v>#REF!</v>
      </c>
      <c r="O144" t="e">
        <f>#REF!</f>
        <v>#REF!</v>
      </c>
      <c r="P144" t="e">
        <f>#REF!</f>
        <v>#REF!</v>
      </c>
      <c r="Q144" t="e">
        <f>#REF!</f>
        <v>#REF!</v>
      </c>
      <c r="R144" t="e">
        <f>#REF!</f>
        <v>#REF!</v>
      </c>
      <c r="S144" t="e">
        <f>#REF!</f>
        <v>#REF!</v>
      </c>
      <c r="T144" t="e">
        <f>#REF!</f>
        <v>#REF!</v>
      </c>
      <c r="U144" t="e">
        <f>#REF!</f>
        <v>#REF!</v>
      </c>
      <c r="V144" t="e">
        <f>#REF!</f>
        <v>#REF!</v>
      </c>
      <c r="W144" t="e">
        <f>#REF!</f>
        <v>#REF!</v>
      </c>
      <c r="X144" t="e">
        <f>#REF!</f>
        <v>#REF!</v>
      </c>
      <c r="Y144" t="e">
        <f>#REF!</f>
        <v>#REF!</v>
      </c>
      <c r="Z144" t="e">
        <f>#REF!</f>
        <v>#REF!</v>
      </c>
      <c r="AA144" t="e">
        <f>#REF!</f>
        <v>#REF!</v>
      </c>
      <c r="AB144" t="e">
        <f>#REF!</f>
        <v>#REF!</v>
      </c>
      <c r="AC144" t="e">
        <f>#REF!</f>
        <v>#REF!</v>
      </c>
      <c r="AD144" t="e">
        <f>#REF!</f>
        <v>#REF!</v>
      </c>
      <c r="AE144" t="e">
        <f>#REF!</f>
        <v>#REF!</v>
      </c>
      <c r="AF144" t="e">
        <f>#REF!</f>
        <v>#REF!</v>
      </c>
      <c r="AG144" t="e">
        <f>#REF!</f>
        <v>#REF!</v>
      </c>
      <c r="AH144" t="e">
        <f>#REF!</f>
        <v>#REF!</v>
      </c>
      <c r="AI144" t="e">
        <f>#REF!</f>
        <v>#REF!</v>
      </c>
      <c r="AO144" s="159" t="e">
        <f>IF(#REF!="",0,#REF!)</f>
        <v>#REF!</v>
      </c>
      <c r="AP144" s="160" t="e">
        <f t="shared" si="4"/>
        <v>#REF!</v>
      </c>
    </row>
    <row r="145" spans="2:42" x14ac:dyDescent="0.25">
      <c r="B145" t="e">
        <f>#REF!</f>
        <v>#REF!</v>
      </c>
      <c r="C145" t="e">
        <f>#REF!</f>
        <v>#REF!</v>
      </c>
      <c r="D145" t="e">
        <f>#REF!</f>
        <v>#REF!</v>
      </c>
      <c r="E145" s="14" t="e">
        <f>#REF!</f>
        <v>#REF!</v>
      </c>
      <c r="F145" t="e">
        <f>#REF!</f>
        <v>#REF!</v>
      </c>
      <c r="G145" t="e">
        <f>#REF!</f>
        <v>#REF!</v>
      </c>
      <c r="H145" t="e">
        <f>#REF!</f>
        <v>#REF!</v>
      </c>
      <c r="I145" t="e">
        <f>#REF!</f>
        <v>#REF!</v>
      </c>
      <c r="J145" t="e">
        <f>#REF!</f>
        <v>#REF!</v>
      </c>
      <c r="K145" t="e">
        <f>#REF!</f>
        <v>#REF!</v>
      </c>
      <c r="L145" t="e">
        <f>#REF!</f>
        <v>#REF!</v>
      </c>
      <c r="M145" t="e">
        <f>#REF!</f>
        <v>#REF!</v>
      </c>
      <c r="N145" t="e">
        <f>#REF!</f>
        <v>#REF!</v>
      </c>
      <c r="O145" t="e">
        <f>#REF!</f>
        <v>#REF!</v>
      </c>
      <c r="P145" t="e">
        <f>#REF!</f>
        <v>#REF!</v>
      </c>
      <c r="Q145" t="e">
        <f>#REF!</f>
        <v>#REF!</v>
      </c>
      <c r="R145" t="e">
        <f>#REF!</f>
        <v>#REF!</v>
      </c>
      <c r="S145" t="e">
        <f>#REF!</f>
        <v>#REF!</v>
      </c>
      <c r="T145" t="e">
        <f>#REF!</f>
        <v>#REF!</v>
      </c>
      <c r="U145" t="e">
        <f>#REF!</f>
        <v>#REF!</v>
      </c>
      <c r="V145" t="e">
        <f>#REF!</f>
        <v>#REF!</v>
      </c>
      <c r="W145" t="e">
        <f>#REF!</f>
        <v>#REF!</v>
      </c>
      <c r="X145" t="e">
        <f>#REF!</f>
        <v>#REF!</v>
      </c>
      <c r="Y145" t="e">
        <f>#REF!</f>
        <v>#REF!</v>
      </c>
      <c r="Z145" t="e">
        <f>#REF!</f>
        <v>#REF!</v>
      </c>
      <c r="AA145" t="e">
        <f>#REF!</f>
        <v>#REF!</v>
      </c>
      <c r="AB145" t="e">
        <f>#REF!</f>
        <v>#REF!</v>
      </c>
      <c r="AC145" t="e">
        <f>#REF!</f>
        <v>#REF!</v>
      </c>
      <c r="AD145" t="e">
        <f>#REF!</f>
        <v>#REF!</v>
      </c>
      <c r="AE145" t="e">
        <f>#REF!</f>
        <v>#REF!</v>
      </c>
      <c r="AF145" t="e">
        <f>#REF!</f>
        <v>#REF!</v>
      </c>
      <c r="AG145" t="e">
        <f>#REF!</f>
        <v>#REF!</v>
      </c>
      <c r="AH145" t="e">
        <f>#REF!</f>
        <v>#REF!</v>
      </c>
      <c r="AI145" t="e">
        <f>#REF!</f>
        <v>#REF!</v>
      </c>
      <c r="AO145" s="159" t="e">
        <f>IF(#REF!="",0,#REF!)</f>
        <v>#REF!</v>
      </c>
      <c r="AP145" s="160" t="e">
        <f t="shared" si="4"/>
        <v>#REF!</v>
      </c>
    </row>
    <row r="146" spans="2:42" x14ac:dyDescent="0.25">
      <c r="B146" t="e">
        <f>#REF!</f>
        <v>#REF!</v>
      </c>
      <c r="C146" t="e">
        <f>#REF!</f>
        <v>#REF!</v>
      </c>
      <c r="D146" t="e">
        <f>#REF!</f>
        <v>#REF!</v>
      </c>
      <c r="E146" s="14" t="e">
        <f>#REF!</f>
        <v>#REF!</v>
      </c>
      <c r="F146" t="e">
        <f>#REF!</f>
        <v>#REF!</v>
      </c>
      <c r="G146" t="e">
        <f>#REF!</f>
        <v>#REF!</v>
      </c>
      <c r="H146" t="e">
        <f>#REF!</f>
        <v>#REF!</v>
      </c>
      <c r="I146" t="e">
        <f>#REF!</f>
        <v>#REF!</v>
      </c>
      <c r="J146" t="e">
        <f>#REF!</f>
        <v>#REF!</v>
      </c>
      <c r="K146" t="e">
        <f>#REF!</f>
        <v>#REF!</v>
      </c>
      <c r="L146" t="e">
        <f>#REF!</f>
        <v>#REF!</v>
      </c>
      <c r="M146" t="e">
        <f>#REF!</f>
        <v>#REF!</v>
      </c>
      <c r="N146" t="e">
        <f>#REF!</f>
        <v>#REF!</v>
      </c>
      <c r="O146" t="e">
        <f>#REF!</f>
        <v>#REF!</v>
      </c>
      <c r="P146" t="e">
        <f>#REF!</f>
        <v>#REF!</v>
      </c>
      <c r="Q146" t="e">
        <f>#REF!</f>
        <v>#REF!</v>
      </c>
      <c r="R146" t="e">
        <f>#REF!</f>
        <v>#REF!</v>
      </c>
      <c r="S146" t="e">
        <f>#REF!</f>
        <v>#REF!</v>
      </c>
      <c r="T146" t="e">
        <f>#REF!</f>
        <v>#REF!</v>
      </c>
      <c r="U146" t="e">
        <f>#REF!</f>
        <v>#REF!</v>
      </c>
      <c r="V146" t="e">
        <f>#REF!</f>
        <v>#REF!</v>
      </c>
      <c r="W146" t="e">
        <f>#REF!</f>
        <v>#REF!</v>
      </c>
      <c r="X146" t="e">
        <f>#REF!</f>
        <v>#REF!</v>
      </c>
      <c r="Y146" t="e">
        <f>#REF!</f>
        <v>#REF!</v>
      </c>
      <c r="Z146" t="e">
        <f>#REF!</f>
        <v>#REF!</v>
      </c>
      <c r="AA146" t="e">
        <f>#REF!</f>
        <v>#REF!</v>
      </c>
      <c r="AB146" t="e">
        <f>#REF!</f>
        <v>#REF!</v>
      </c>
      <c r="AC146" t="e">
        <f>#REF!</f>
        <v>#REF!</v>
      </c>
      <c r="AD146" t="e">
        <f>#REF!</f>
        <v>#REF!</v>
      </c>
      <c r="AE146" t="e">
        <f>#REF!</f>
        <v>#REF!</v>
      </c>
      <c r="AF146" t="e">
        <f>#REF!</f>
        <v>#REF!</v>
      </c>
      <c r="AG146" t="e">
        <f>#REF!</f>
        <v>#REF!</v>
      </c>
      <c r="AH146" t="e">
        <f>#REF!</f>
        <v>#REF!</v>
      </c>
      <c r="AI146" t="e">
        <f>#REF!</f>
        <v>#REF!</v>
      </c>
      <c r="AO146" s="159" t="e">
        <f>IF(#REF!="",0,#REF!)</f>
        <v>#REF!</v>
      </c>
      <c r="AP146" s="160" t="e">
        <f t="shared" si="4"/>
        <v>#REF!</v>
      </c>
    </row>
    <row r="147" spans="2:42" x14ac:dyDescent="0.25">
      <c r="B147" t="e">
        <f>#REF!</f>
        <v>#REF!</v>
      </c>
      <c r="C147" t="e">
        <f>#REF!</f>
        <v>#REF!</v>
      </c>
      <c r="D147" t="e">
        <f>#REF!</f>
        <v>#REF!</v>
      </c>
      <c r="E147" s="14" t="e">
        <f>#REF!</f>
        <v>#REF!</v>
      </c>
      <c r="F147" t="e">
        <f>#REF!</f>
        <v>#REF!</v>
      </c>
      <c r="G147" t="e">
        <f>#REF!</f>
        <v>#REF!</v>
      </c>
      <c r="H147" t="e">
        <f>#REF!</f>
        <v>#REF!</v>
      </c>
      <c r="I147" t="e">
        <f>#REF!</f>
        <v>#REF!</v>
      </c>
      <c r="J147" t="e">
        <f>#REF!</f>
        <v>#REF!</v>
      </c>
      <c r="K147" t="e">
        <f>#REF!</f>
        <v>#REF!</v>
      </c>
      <c r="L147" t="e">
        <f>#REF!</f>
        <v>#REF!</v>
      </c>
      <c r="M147" t="e">
        <f>#REF!</f>
        <v>#REF!</v>
      </c>
      <c r="N147" t="e">
        <f>#REF!</f>
        <v>#REF!</v>
      </c>
      <c r="O147" t="e">
        <f>#REF!</f>
        <v>#REF!</v>
      </c>
      <c r="P147" t="e">
        <f>#REF!</f>
        <v>#REF!</v>
      </c>
      <c r="Q147" t="e">
        <f>#REF!</f>
        <v>#REF!</v>
      </c>
      <c r="R147" t="e">
        <f>#REF!</f>
        <v>#REF!</v>
      </c>
      <c r="S147" t="e">
        <f>#REF!</f>
        <v>#REF!</v>
      </c>
      <c r="T147" t="e">
        <f>#REF!</f>
        <v>#REF!</v>
      </c>
      <c r="U147" t="e">
        <f>#REF!</f>
        <v>#REF!</v>
      </c>
      <c r="V147" t="e">
        <f>#REF!</f>
        <v>#REF!</v>
      </c>
      <c r="W147" t="e">
        <f>#REF!</f>
        <v>#REF!</v>
      </c>
      <c r="X147" t="e">
        <f>#REF!</f>
        <v>#REF!</v>
      </c>
      <c r="Y147" t="e">
        <f>#REF!</f>
        <v>#REF!</v>
      </c>
      <c r="Z147" t="e">
        <f>#REF!</f>
        <v>#REF!</v>
      </c>
      <c r="AA147" t="e">
        <f>#REF!</f>
        <v>#REF!</v>
      </c>
      <c r="AB147" t="e">
        <f>#REF!</f>
        <v>#REF!</v>
      </c>
      <c r="AC147" t="e">
        <f>#REF!</f>
        <v>#REF!</v>
      </c>
      <c r="AD147" t="e">
        <f>#REF!</f>
        <v>#REF!</v>
      </c>
      <c r="AE147" t="e">
        <f>#REF!</f>
        <v>#REF!</v>
      </c>
      <c r="AF147" t="e">
        <f>#REF!</f>
        <v>#REF!</v>
      </c>
      <c r="AG147" t="e">
        <f>#REF!</f>
        <v>#REF!</v>
      </c>
      <c r="AH147" t="e">
        <f>#REF!</f>
        <v>#REF!</v>
      </c>
      <c r="AI147" t="e">
        <f>#REF!</f>
        <v>#REF!</v>
      </c>
      <c r="AO147" s="159" t="e">
        <f>IF(#REF!="",0,#REF!)</f>
        <v>#REF!</v>
      </c>
      <c r="AP147" s="160" t="e">
        <f t="shared" si="4"/>
        <v>#REF!</v>
      </c>
    </row>
    <row r="148" spans="2:42" x14ac:dyDescent="0.25">
      <c r="B148" t="e">
        <f>#REF!</f>
        <v>#REF!</v>
      </c>
      <c r="C148" t="e">
        <f>#REF!</f>
        <v>#REF!</v>
      </c>
      <c r="D148" t="e">
        <f>#REF!</f>
        <v>#REF!</v>
      </c>
      <c r="E148" s="14" t="e">
        <f>#REF!</f>
        <v>#REF!</v>
      </c>
      <c r="F148" t="e">
        <f>#REF!</f>
        <v>#REF!</v>
      </c>
      <c r="G148" t="e">
        <f>#REF!</f>
        <v>#REF!</v>
      </c>
      <c r="H148" t="e">
        <f>#REF!</f>
        <v>#REF!</v>
      </c>
      <c r="I148" t="e">
        <f>#REF!</f>
        <v>#REF!</v>
      </c>
      <c r="J148" t="e">
        <f>#REF!</f>
        <v>#REF!</v>
      </c>
      <c r="K148" t="e">
        <f>#REF!</f>
        <v>#REF!</v>
      </c>
      <c r="L148" t="e">
        <f>#REF!</f>
        <v>#REF!</v>
      </c>
      <c r="M148" t="e">
        <f>#REF!</f>
        <v>#REF!</v>
      </c>
      <c r="N148" t="e">
        <f>#REF!</f>
        <v>#REF!</v>
      </c>
      <c r="O148" t="e">
        <f>#REF!</f>
        <v>#REF!</v>
      </c>
      <c r="P148" t="e">
        <f>#REF!</f>
        <v>#REF!</v>
      </c>
      <c r="Q148" t="e">
        <f>#REF!</f>
        <v>#REF!</v>
      </c>
      <c r="R148" t="e">
        <f>#REF!</f>
        <v>#REF!</v>
      </c>
      <c r="S148" t="e">
        <f>#REF!</f>
        <v>#REF!</v>
      </c>
      <c r="T148" t="e">
        <f>#REF!</f>
        <v>#REF!</v>
      </c>
      <c r="U148" t="e">
        <f>#REF!</f>
        <v>#REF!</v>
      </c>
      <c r="V148" t="e">
        <f>#REF!</f>
        <v>#REF!</v>
      </c>
      <c r="W148" t="e">
        <f>#REF!</f>
        <v>#REF!</v>
      </c>
      <c r="X148" t="e">
        <f>#REF!</f>
        <v>#REF!</v>
      </c>
      <c r="Y148" t="e">
        <f>#REF!</f>
        <v>#REF!</v>
      </c>
      <c r="Z148" t="e">
        <f>#REF!</f>
        <v>#REF!</v>
      </c>
      <c r="AA148" t="e">
        <f>#REF!</f>
        <v>#REF!</v>
      </c>
      <c r="AB148" t="e">
        <f>#REF!</f>
        <v>#REF!</v>
      </c>
      <c r="AC148" t="e">
        <f>#REF!</f>
        <v>#REF!</v>
      </c>
      <c r="AD148" t="e">
        <f>#REF!</f>
        <v>#REF!</v>
      </c>
      <c r="AE148" t="e">
        <f>#REF!</f>
        <v>#REF!</v>
      </c>
      <c r="AF148" t="e">
        <f>#REF!</f>
        <v>#REF!</v>
      </c>
      <c r="AG148" t="e">
        <f>#REF!</f>
        <v>#REF!</v>
      </c>
      <c r="AH148" t="e">
        <f>#REF!</f>
        <v>#REF!</v>
      </c>
      <c r="AI148" t="e">
        <f>#REF!</f>
        <v>#REF!</v>
      </c>
      <c r="AO148" s="159" t="e">
        <f>IF(#REF!="",0,#REF!)</f>
        <v>#REF!</v>
      </c>
      <c r="AP148" s="160" t="e">
        <f t="shared" si="4"/>
        <v>#REF!</v>
      </c>
    </row>
    <row r="149" spans="2:42" x14ac:dyDescent="0.25">
      <c r="B149" t="e">
        <f>#REF!</f>
        <v>#REF!</v>
      </c>
      <c r="C149" t="e">
        <f>#REF!</f>
        <v>#REF!</v>
      </c>
      <c r="D149" t="e">
        <f>#REF!</f>
        <v>#REF!</v>
      </c>
      <c r="E149" s="14" t="e">
        <f>#REF!</f>
        <v>#REF!</v>
      </c>
      <c r="F149" t="e">
        <f>#REF!</f>
        <v>#REF!</v>
      </c>
      <c r="G149" t="e">
        <f>#REF!</f>
        <v>#REF!</v>
      </c>
      <c r="H149" t="e">
        <f>#REF!</f>
        <v>#REF!</v>
      </c>
      <c r="I149" t="e">
        <f>#REF!</f>
        <v>#REF!</v>
      </c>
      <c r="J149" t="e">
        <f>#REF!</f>
        <v>#REF!</v>
      </c>
      <c r="K149" t="e">
        <f>#REF!</f>
        <v>#REF!</v>
      </c>
      <c r="L149" t="e">
        <f>#REF!</f>
        <v>#REF!</v>
      </c>
      <c r="M149" t="e">
        <f>#REF!</f>
        <v>#REF!</v>
      </c>
      <c r="N149" t="e">
        <f>#REF!</f>
        <v>#REF!</v>
      </c>
      <c r="O149" t="e">
        <f>#REF!</f>
        <v>#REF!</v>
      </c>
      <c r="P149" t="e">
        <f>#REF!</f>
        <v>#REF!</v>
      </c>
      <c r="Q149" t="e">
        <f>#REF!</f>
        <v>#REF!</v>
      </c>
      <c r="R149" t="e">
        <f>#REF!</f>
        <v>#REF!</v>
      </c>
      <c r="S149" t="e">
        <f>#REF!</f>
        <v>#REF!</v>
      </c>
      <c r="T149" t="e">
        <f>#REF!</f>
        <v>#REF!</v>
      </c>
      <c r="U149" t="e">
        <f>#REF!</f>
        <v>#REF!</v>
      </c>
      <c r="V149" t="e">
        <f>#REF!</f>
        <v>#REF!</v>
      </c>
      <c r="W149" t="e">
        <f>#REF!</f>
        <v>#REF!</v>
      </c>
      <c r="X149" t="e">
        <f>#REF!</f>
        <v>#REF!</v>
      </c>
      <c r="Y149" t="e">
        <f>#REF!</f>
        <v>#REF!</v>
      </c>
      <c r="Z149" t="e">
        <f>#REF!</f>
        <v>#REF!</v>
      </c>
      <c r="AA149" t="e">
        <f>#REF!</f>
        <v>#REF!</v>
      </c>
      <c r="AB149" t="e">
        <f>#REF!</f>
        <v>#REF!</v>
      </c>
      <c r="AC149" t="e">
        <f>#REF!</f>
        <v>#REF!</v>
      </c>
      <c r="AD149" t="e">
        <f>#REF!</f>
        <v>#REF!</v>
      </c>
      <c r="AE149" t="e">
        <f>#REF!</f>
        <v>#REF!</v>
      </c>
      <c r="AF149" t="e">
        <f>#REF!</f>
        <v>#REF!</v>
      </c>
      <c r="AG149" t="e">
        <f>#REF!</f>
        <v>#REF!</v>
      </c>
      <c r="AH149" t="e">
        <f>#REF!</f>
        <v>#REF!</v>
      </c>
      <c r="AI149" t="e">
        <f>#REF!</f>
        <v>#REF!</v>
      </c>
      <c r="AO149" s="159" t="e">
        <f>IF(#REF!="",0,#REF!)</f>
        <v>#REF!</v>
      </c>
      <c r="AP149" s="160" t="e">
        <f t="shared" si="4"/>
        <v>#REF!</v>
      </c>
    </row>
    <row r="150" spans="2:42" x14ac:dyDescent="0.25">
      <c r="B150" t="e">
        <f>#REF!</f>
        <v>#REF!</v>
      </c>
      <c r="C150" t="e">
        <f>#REF!</f>
        <v>#REF!</v>
      </c>
      <c r="D150" t="e">
        <f>#REF!</f>
        <v>#REF!</v>
      </c>
      <c r="E150" s="14" t="e">
        <f>#REF!</f>
        <v>#REF!</v>
      </c>
      <c r="F150" t="e">
        <f>#REF!</f>
        <v>#REF!</v>
      </c>
      <c r="G150" t="e">
        <f>#REF!</f>
        <v>#REF!</v>
      </c>
      <c r="H150" t="e">
        <f>#REF!</f>
        <v>#REF!</v>
      </c>
      <c r="I150" t="e">
        <f>#REF!</f>
        <v>#REF!</v>
      </c>
      <c r="J150" t="e">
        <f>#REF!</f>
        <v>#REF!</v>
      </c>
      <c r="K150" t="e">
        <f>#REF!</f>
        <v>#REF!</v>
      </c>
      <c r="L150" t="e">
        <f>#REF!</f>
        <v>#REF!</v>
      </c>
      <c r="M150" t="e">
        <f>#REF!</f>
        <v>#REF!</v>
      </c>
      <c r="N150" t="e">
        <f>#REF!</f>
        <v>#REF!</v>
      </c>
      <c r="O150" t="e">
        <f>#REF!</f>
        <v>#REF!</v>
      </c>
      <c r="P150" t="e">
        <f>#REF!</f>
        <v>#REF!</v>
      </c>
      <c r="Q150" t="e">
        <f>#REF!</f>
        <v>#REF!</v>
      </c>
      <c r="R150" t="e">
        <f>#REF!</f>
        <v>#REF!</v>
      </c>
      <c r="S150" t="e">
        <f>#REF!</f>
        <v>#REF!</v>
      </c>
      <c r="T150" t="e">
        <f>#REF!</f>
        <v>#REF!</v>
      </c>
      <c r="U150" t="e">
        <f>#REF!</f>
        <v>#REF!</v>
      </c>
      <c r="V150" t="e">
        <f>#REF!</f>
        <v>#REF!</v>
      </c>
      <c r="W150" t="e">
        <f>#REF!</f>
        <v>#REF!</v>
      </c>
      <c r="X150" t="e">
        <f>#REF!</f>
        <v>#REF!</v>
      </c>
      <c r="Y150" t="e">
        <f>#REF!</f>
        <v>#REF!</v>
      </c>
      <c r="Z150" t="e">
        <f>#REF!</f>
        <v>#REF!</v>
      </c>
      <c r="AA150" t="e">
        <f>#REF!</f>
        <v>#REF!</v>
      </c>
      <c r="AB150" t="e">
        <f>#REF!</f>
        <v>#REF!</v>
      </c>
      <c r="AC150" t="e">
        <f>#REF!</f>
        <v>#REF!</v>
      </c>
      <c r="AD150" t="e">
        <f>#REF!</f>
        <v>#REF!</v>
      </c>
      <c r="AE150" t="e">
        <f>#REF!</f>
        <v>#REF!</v>
      </c>
      <c r="AF150" t="e">
        <f>#REF!</f>
        <v>#REF!</v>
      </c>
      <c r="AG150" t="e">
        <f>#REF!</f>
        <v>#REF!</v>
      </c>
      <c r="AH150" t="e">
        <f>#REF!</f>
        <v>#REF!</v>
      </c>
      <c r="AI150" t="e">
        <f>#REF!</f>
        <v>#REF!</v>
      </c>
      <c r="AO150" s="159" t="e">
        <f>IF(#REF!="",0,#REF!)</f>
        <v>#REF!</v>
      </c>
      <c r="AP150" s="160" t="e">
        <f t="shared" si="4"/>
        <v>#REF!</v>
      </c>
    </row>
    <row r="151" spans="2:42" x14ac:dyDescent="0.25">
      <c r="B151" t="e">
        <f>#REF!</f>
        <v>#REF!</v>
      </c>
      <c r="C151" t="e">
        <f>#REF!</f>
        <v>#REF!</v>
      </c>
      <c r="D151" t="e">
        <f>#REF!</f>
        <v>#REF!</v>
      </c>
      <c r="E151" s="14" t="e">
        <f>#REF!</f>
        <v>#REF!</v>
      </c>
      <c r="F151" t="e">
        <f>#REF!</f>
        <v>#REF!</v>
      </c>
      <c r="G151" t="e">
        <f>#REF!</f>
        <v>#REF!</v>
      </c>
      <c r="H151" t="e">
        <f>#REF!</f>
        <v>#REF!</v>
      </c>
      <c r="I151" t="e">
        <f>#REF!</f>
        <v>#REF!</v>
      </c>
      <c r="J151" t="e">
        <f>#REF!</f>
        <v>#REF!</v>
      </c>
      <c r="K151" t="e">
        <f>#REF!</f>
        <v>#REF!</v>
      </c>
      <c r="L151" t="e">
        <f>#REF!</f>
        <v>#REF!</v>
      </c>
      <c r="M151" t="e">
        <f>#REF!</f>
        <v>#REF!</v>
      </c>
      <c r="N151" t="e">
        <f>#REF!</f>
        <v>#REF!</v>
      </c>
      <c r="O151" t="e">
        <f>#REF!</f>
        <v>#REF!</v>
      </c>
      <c r="P151" t="e">
        <f>#REF!</f>
        <v>#REF!</v>
      </c>
      <c r="Q151" t="e">
        <f>#REF!</f>
        <v>#REF!</v>
      </c>
      <c r="R151" t="e">
        <f>#REF!</f>
        <v>#REF!</v>
      </c>
      <c r="S151" t="e">
        <f>#REF!</f>
        <v>#REF!</v>
      </c>
      <c r="T151" t="e">
        <f>#REF!</f>
        <v>#REF!</v>
      </c>
      <c r="U151" t="e">
        <f>#REF!</f>
        <v>#REF!</v>
      </c>
      <c r="V151" t="e">
        <f>#REF!</f>
        <v>#REF!</v>
      </c>
      <c r="W151" t="e">
        <f>#REF!</f>
        <v>#REF!</v>
      </c>
      <c r="X151" t="e">
        <f>#REF!</f>
        <v>#REF!</v>
      </c>
      <c r="Y151" t="e">
        <f>#REF!</f>
        <v>#REF!</v>
      </c>
      <c r="Z151" t="e">
        <f>#REF!</f>
        <v>#REF!</v>
      </c>
      <c r="AA151" t="e">
        <f>#REF!</f>
        <v>#REF!</v>
      </c>
      <c r="AB151" t="e">
        <f>#REF!</f>
        <v>#REF!</v>
      </c>
      <c r="AC151" t="e">
        <f>#REF!</f>
        <v>#REF!</v>
      </c>
      <c r="AD151" t="e">
        <f>#REF!</f>
        <v>#REF!</v>
      </c>
      <c r="AE151" t="e">
        <f>#REF!</f>
        <v>#REF!</v>
      </c>
      <c r="AF151" t="e">
        <f>#REF!</f>
        <v>#REF!</v>
      </c>
      <c r="AG151" t="e">
        <f>#REF!</f>
        <v>#REF!</v>
      </c>
      <c r="AH151" t="e">
        <f>#REF!</f>
        <v>#REF!</v>
      </c>
      <c r="AI151" t="e">
        <f>#REF!</f>
        <v>#REF!</v>
      </c>
      <c r="AO151" s="159" t="e">
        <f>IF(#REF!="",0,#REF!)</f>
        <v>#REF!</v>
      </c>
      <c r="AP151" s="160" t="e">
        <f t="shared" si="4"/>
        <v>#REF!</v>
      </c>
    </row>
    <row r="152" spans="2:42" x14ac:dyDescent="0.25">
      <c r="B152" t="e">
        <f>#REF!</f>
        <v>#REF!</v>
      </c>
      <c r="C152" t="e">
        <f>#REF!</f>
        <v>#REF!</v>
      </c>
      <c r="D152" t="e">
        <f>#REF!</f>
        <v>#REF!</v>
      </c>
      <c r="E152" s="14" t="e">
        <f>#REF!</f>
        <v>#REF!</v>
      </c>
      <c r="F152" t="e">
        <f>#REF!</f>
        <v>#REF!</v>
      </c>
      <c r="G152" t="e">
        <f>#REF!</f>
        <v>#REF!</v>
      </c>
      <c r="H152" t="e">
        <f>#REF!</f>
        <v>#REF!</v>
      </c>
      <c r="I152" t="e">
        <f>#REF!</f>
        <v>#REF!</v>
      </c>
      <c r="J152" t="e">
        <f>#REF!</f>
        <v>#REF!</v>
      </c>
      <c r="K152" t="e">
        <f>#REF!</f>
        <v>#REF!</v>
      </c>
      <c r="L152" t="e">
        <f>#REF!</f>
        <v>#REF!</v>
      </c>
      <c r="M152" t="e">
        <f>#REF!</f>
        <v>#REF!</v>
      </c>
      <c r="N152" t="e">
        <f>#REF!</f>
        <v>#REF!</v>
      </c>
      <c r="O152" t="e">
        <f>#REF!</f>
        <v>#REF!</v>
      </c>
      <c r="P152" t="e">
        <f>#REF!</f>
        <v>#REF!</v>
      </c>
      <c r="Q152" t="e">
        <f>#REF!</f>
        <v>#REF!</v>
      </c>
      <c r="R152" t="e">
        <f>#REF!</f>
        <v>#REF!</v>
      </c>
      <c r="S152" t="e">
        <f>#REF!</f>
        <v>#REF!</v>
      </c>
      <c r="T152" t="e">
        <f>#REF!</f>
        <v>#REF!</v>
      </c>
      <c r="U152" t="e">
        <f>#REF!</f>
        <v>#REF!</v>
      </c>
      <c r="V152" t="e">
        <f>#REF!</f>
        <v>#REF!</v>
      </c>
      <c r="W152" t="e">
        <f>#REF!</f>
        <v>#REF!</v>
      </c>
      <c r="X152" t="e">
        <f>#REF!</f>
        <v>#REF!</v>
      </c>
      <c r="Y152" t="e">
        <f>#REF!</f>
        <v>#REF!</v>
      </c>
      <c r="Z152" t="e">
        <f>#REF!</f>
        <v>#REF!</v>
      </c>
      <c r="AA152" t="e">
        <f>#REF!</f>
        <v>#REF!</v>
      </c>
      <c r="AB152" t="e">
        <f>#REF!</f>
        <v>#REF!</v>
      </c>
      <c r="AC152" t="e">
        <f>#REF!</f>
        <v>#REF!</v>
      </c>
      <c r="AD152" t="e">
        <f>#REF!</f>
        <v>#REF!</v>
      </c>
      <c r="AE152" t="e">
        <f>#REF!</f>
        <v>#REF!</v>
      </c>
      <c r="AF152" t="e">
        <f>#REF!</f>
        <v>#REF!</v>
      </c>
      <c r="AG152" t="e">
        <f>#REF!</f>
        <v>#REF!</v>
      </c>
      <c r="AH152" t="e">
        <f>#REF!</f>
        <v>#REF!</v>
      </c>
      <c r="AI152" t="e">
        <f>#REF!</f>
        <v>#REF!</v>
      </c>
      <c r="AO152" s="159" t="e">
        <f>IF(#REF!="",0,#REF!)</f>
        <v>#REF!</v>
      </c>
      <c r="AP152" s="160" t="e">
        <f t="shared" si="4"/>
        <v>#REF!</v>
      </c>
    </row>
    <row r="153" spans="2:42" x14ac:dyDescent="0.25">
      <c r="B153" t="e">
        <f>#REF!</f>
        <v>#REF!</v>
      </c>
      <c r="C153" t="e">
        <f>#REF!</f>
        <v>#REF!</v>
      </c>
      <c r="D153" t="e">
        <f>#REF!</f>
        <v>#REF!</v>
      </c>
      <c r="E153" s="14" t="e">
        <f>#REF!</f>
        <v>#REF!</v>
      </c>
      <c r="F153" t="e">
        <f>#REF!</f>
        <v>#REF!</v>
      </c>
      <c r="G153" t="e">
        <f>#REF!</f>
        <v>#REF!</v>
      </c>
      <c r="H153" t="e">
        <f>#REF!</f>
        <v>#REF!</v>
      </c>
      <c r="I153" t="e">
        <f>#REF!</f>
        <v>#REF!</v>
      </c>
      <c r="J153" t="e">
        <f>#REF!</f>
        <v>#REF!</v>
      </c>
      <c r="K153" t="e">
        <f>#REF!</f>
        <v>#REF!</v>
      </c>
      <c r="L153" t="e">
        <f>#REF!</f>
        <v>#REF!</v>
      </c>
      <c r="M153" t="e">
        <f>#REF!</f>
        <v>#REF!</v>
      </c>
      <c r="N153" t="e">
        <f>#REF!</f>
        <v>#REF!</v>
      </c>
      <c r="O153" t="e">
        <f>#REF!</f>
        <v>#REF!</v>
      </c>
      <c r="P153" t="e">
        <f>#REF!</f>
        <v>#REF!</v>
      </c>
      <c r="Q153" t="e">
        <f>#REF!</f>
        <v>#REF!</v>
      </c>
      <c r="R153" t="e">
        <f>#REF!</f>
        <v>#REF!</v>
      </c>
      <c r="S153" t="e">
        <f>#REF!</f>
        <v>#REF!</v>
      </c>
      <c r="T153" t="e">
        <f>#REF!</f>
        <v>#REF!</v>
      </c>
      <c r="U153" t="e">
        <f>#REF!</f>
        <v>#REF!</v>
      </c>
      <c r="V153" t="e">
        <f>#REF!</f>
        <v>#REF!</v>
      </c>
      <c r="W153" t="e">
        <f>#REF!</f>
        <v>#REF!</v>
      </c>
      <c r="X153" t="e">
        <f>#REF!</f>
        <v>#REF!</v>
      </c>
      <c r="Y153" t="e">
        <f>#REF!</f>
        <v>#REF!</v>
      </c>
      <c r="Z153" t="e">
        <f>#REF!</f>
        <v>#REF!</v>
      </c>
      <c r="AA153" t="e">
        <f>#REF!</f>
        <v>#REF!</v>
      </c>
      <c r="AB153" t="e">
        <f>#REF!</f>
        <v>#REF!</v>
      </c>
      <c r="AC153" t="e">
        <f>#REF!</f>
        <v>#REF!</v>
      </c>
      <c r="AD153" t="e">
        <f>#REF!</f>
        <v>#REF!</v>
      </c>
      <c r="AE153" t="e">
        <f>#REF!</f>
        <v>#REF!</v>
      </c>
      <c r="AF153" t="e">
        <f>#REF!</f>
        <v>#REF!</v>
      </c>
      <c r="AG153" t="e">
        <f>#REF!</f>
        <v>#REF!</v>
      </c>
      <c r="AH153" t="e">
        <f>#REF!</f>
        <v>#REF!</v>
      </c>
      <c r="AI153" t="e">
        <f>#REF!</f>
        <v>#REF!</v>
      </c>
      <c r="AO153" s="159" t="e">
        <f>IF(#REF!="",0,#REF!)</f>
        <v>#REF!</v>
      </c>
      <c r="AP153" s="160" t="e">
        <f t="shared" si="4"/>
        <v>#REF!</v>
      </c>
    </row>
    <row r="154" spans="2:42" x14ac:dyDescent="0.25">
      <c r="B154" t="e">
        <f>#REF!</f>
        <v>#REF!</v>
      </c>
      <c r="C154" t="e">
        <f>#REF!</f>
        <v>#REF!</v>
      </c>
      <c r="D154" t="e">
        <f>#REF!</f>
        <v>#REF!</v>
      </c>
      <c r="E154" s="14" t="e">
        <f>#REF!</f>
        <v>#REF!</v>
      </c>
      <c r="F154" t="e">
        <f>#REF!</f>
        <v>#REF!</v>
      </c>
      <c r="G154" t="e">
        <f>#REF!</f>
        <v>#REF!</v>
      </c>
      <c r="H154" t="e">
        <f>#REF!</f>
        <v>#REF!</v>
      </c>
      <c r="I154" t="e">
        <f>#REF!</f>
        <v>#REF!</v>
      </c>
      <c r="J154" t="e">
        <f>#REF!</f>
        <v>#REF!</v>
      </c>
      <c r="K154" t="e">
        <f>#REF!</f>
        <v>#REF!</v>
      </c>
      <c r="L154" t="e">
        <f>#REF!</f>
        <v>#REF!</v>
      </c>
      <c r="M154" t="e">
        <f>#REF!</f>
        <v>#REF!</v>
      </c>
      <c r="N154" t="e">
        <f>#REF!</f>
        <v>#REF!</v>
      </c>
      <c r="O154" t="e">
        <f>#REF!</f>
        <v>#REF!</v>
      </c>
      <c r="P154" t="e">
        <f>#REF!</f>
        <v>#REF!</v>
      </c>
      <c r="Q154" t="e">
        <f>#REF!</f>
        <v>#REF!</v>
      </c>
      <c r="R154" t="e">
        <f>#REF!</f>
        <v>#REF!</v>
      </c>
      <c r="S154" t="e">
        <f>#REF!</f>
        <v>#REF!</v>
      </c>
      <c r="T154" t="e">
        <f>#REF!</f>
        <v>#REF!</v>
      </c>
      <c r="U154" t="e">
        <f>#REF!</f>
        <v>#REF!</v>
      </c>
      <c r="V154" t="e">
        <f>#REF!</f>
        <v>#REF!</v>
      </c>
      <c r="W154" t="e">
        <f>#REF!</f>
        <v>#REF!</v>
      </c>
      <c r="X154" t="e">
        <f>#REF!</f>
        <v>#REF!</v>
      </c>
      <c r="Y154" t="e">
        <f>#REF!</f>
        <v>#REF!</v>
      </c>
      <c r="Z154" t="e">
        <f>#REF!</f>
        <v>#REF!</v>
      </c>
      <c r="AA154" t="e">
        <f>#REF!</f>
        <v>#REF!</v>
      </c>
      <c r="AB154" t="e">
        <f>#REF!</f>
        <v>#REF!</v>
      </c>
      <c r="AC154" t="e">
        <f>#REF!</f>
        <v>#REF!</v>
      </c>
      <c r="AD154" t="e">
        <f>#REF!</f>
        <v>#REF!</v>
      </c>
      <c r="AE154" t="e">
        <f>#REF!</f>
        <v>#REF!</v>
      </c>
      <c r="AF154" t="e">
        <f>#REF!</f>
        <v>#REF!</v>
      </c>
      <c r="AG154" t="e">
        <f>#REF!</f>
        <v>#REF!</v>
      </c>
      <c r="AH154" t="e">
        <f>#REF!</f>
        <v>#REF!</v>
      </c>
      <c r="AI154" t="e">
        <f>#REF!</f>
        <v>#REF!</v>
      </c>
      <c r="AO154" s="159" t="e">
        <f>IF(#REF!="",0,#REF!)</f>
        <v>#REF!</v>
      </c>
      <c r="AP154" s="160" t="e">
        <f t="shared" si="4"/>
        <v>#REF!</v>
      </c>
    </row>
    <row r="155" spans="2:42" x14ac:dyDescent="0.25">
      <c r="B155" t="e">
        <f>#REF!</f>
        <v>#REF!</v>
      </c>
      <c r="C155" t="e">
        <f>#REF!</f>
        <v>#REF!</v>
      </c>
      <c r="D155" t="e">
        <f>#REF!</f>
        <v>#REF!</v>
      </c>
      <c r="E155" s="14" t="e">
        <f>#REF!</f>
        <v>#REF!</v>
      </c>
      <c r="F155" t="e">
        <f>#REF!</f>
        <v>#REF!</v>
      </c>
      <c r="G155" t="e">
        <f>#REF!</f>
        <v>#REF!</v>
      </c>
      <c r="H155" t="e">
        <f>#REF!</f>
        <v>#REF!</v>
      </c>
      <c r="I155" t="e">
        <f>#REF!</f>
        <v>#REF!</v>
      </c>
      <c r="J155" t="e">
        <f>#REF!</f>
        <v>#REF!</v>
      </c>
      <c r="K155" t="e">
        <f>#REF!</f>
        <v>#REF!</v>
      </c>
      <c r="L155" t="e">
        <f>#REF!</f>
        <v>#REF!</v>
      </c>
      <c r="M155" t="e">
        <f>#REF!</f>
        <v>#REF!</v>
      </c>
      <c r="N155" t="e">
        <f>#REF!</f>
        <v>#REF!</v>
      </c>
      <c r="O155" t="e">
        <f>#REF!</f>
        <v>#REF!</v>
      </c>
      <c r="P155" t="e">
        <f>#REF!</f>
        <v>#REF!</v>
      </c>
      <c r="Q155" t="e">
        <f>#REF!</f>
        <v>#REF!</v>
      </c>
      <c r="R155" t="e">
        <f>#REF!</f>
        <v>#REF!</v>
      </c>
      <c r="S155" t="e">
        <f>#REF!</f>
        <v>#REF!</v>
      </c>
      <c r="T155" t="e">
        <f>#REF!</f>
        <v>#REF!</v>
      </c>
      <c r="U155" t="e">
        <f>#REF!</f>
        <v>#REF!</v>
      </c>
      <c r="V155" t="e">
        <f>#REF!</f>
        <v>#REF!</v>
      </c>
      <c r="W155" t="e">
        <f>#REF!</f>
        <v>#REF!</v>
      </c>
      <c r="X155" t="e">
        <f>#REF!</f>
        <v>#REF!</v>
      </c>
      <c r="Y155" t="e">
        <f>#REF!</f>
        <v>#REF!</v>
      </c>
      <c r="Z155" t="e">
        <f>#REF!</f>
        <v>#REF!</v>
      </c>
      <c r="AA155" t="e">
        <f>#REF!</f>
        <v>#REF!</v>
      </c>
      <c r="AB155" t="e">
        <f>#REF!</f>
        <v>#REF!</v>
      </c>
      <c r="AC155" t="e">
        <f>#REF!</f>
        <v>#REF!</v>
      </c>
      <c r="AD155" t="e">
        <f>#REF!</f>
        <v>#REF!</v>
      </c>
      <c r="AE155" t="e">
        <f>#REF!</f>
        <v>#REF!</v>
      </c>
      <c r="AF155" t="e">
        <f>#REF!</f>
        <v>#REF!</v>
      </c>
      <c r="AG155" t="e">
        <f>#REF!</f>
        <v>#REF!</v>
      </c>
      <c r="AH155" t="e">
        <f>#REF!</f>
        <v>#REF!</v>
      </c>
      <c r="AI155" t="e">
        <f>#REF!</f>
        <v>#REF!</v>
      </c>
      <c r="AO155" s="159" t="e">
        <f>IF(#REF!="",0,#REF!)</f>
        <v>#REF!</v>
      </c>
      <c r="AP155" s="160" t="e">
        <f t="shared" si="4"/>
        <v>#REF!</v>
      </c>
    </row>
    <row r="156" spans="2:42" x14ac:dyDescent="0.25">
      <c r="B156" t="e">
        <f>#REF!</f>
        <v>#REF!</v>
      </c>
      <c r="C156" t="e">
        <f>#REF!</f>
        <v>#REF!</v>
      </c>
      <c r="D156" t="e">
        <f>#REF!</f>
        <v>#REF!</v>
      </c>
      <c r="E156" s="14" t="e">
        <f>#REF!</f>
        <v>#REF!</v>
      </c>
      <c r="F156" t="e">
        <f>#REF!</f>
        <v>#REF!</v>
      </c>
      <c r="G156" t="e">
        <f>#REF!</f>
        <v>#REF!</v>
      </c>
      <c r="H156" t="e">
        <f>#REF!</f>
        <v>#REF!</v>
      </c>
      <c r="I156" t="e">
        <f>#REF!</f>
        <v>#REF!</v>
      </c>
      <c r="J156" t="e">
        <f>#REF!</f>
        <v>#REF!</v>
      </c>
      <c r="K156" t="e">
        <f>#REF!</f>
        <v>#REF!</v>
      </c>
      <c r="L156" t="e">
        <f>#REF!</f>
        <v>#REF!</v>
      </c>
      <c r="M156" t="e">
        <f>#REF!</f>
        <v>#REF!</v>
      </c>
      <c r="N156" t="e">
        <f>#REF!</f>
        <v>#REF!</v>
      </c>
      <c r="O156" t="e">
        <f>#REF!</f>
        <v>#REF!</v>
      </c>
      <c r="P156" t="e">
        <f>#REF!</f>
        <v>#REF!</v>
      </c>
      <c r="Q156" t="e">
        <f>#REF!</f>
        <v>#REF!</v>
      </c>
      <c r="R156" t="e">
        <f>#REF!</f>
        <v>#REF!</v>
      </c>
      <c r="S156" t="e">
        <f>#REF!</f>
        <v>#REF!</v>
      </c>
      <c r="T156" t="e">
        <f>#REF!</f>
        <v>#REF!</v>
      </c>
      <c r="U156" t="e">
        <f>#REF!</f>
        <v>#REF!</v>
      </c>
      <c r="V156" t="e">
        <f>#REF!</f>
        <v>#REF!</v>
      </c>
      <c r="W156" t="e">
        <f>#REF!</f>
        <v>#REF!</v>
      </c>
      <c r="X156" t="e">
        <f>#REF!</f>
        <v>#REF!</v>
      </c>
      <c r="Y156" t="e">
        <f>#REF!</f>
        <v>#REF!</v>
      </c>
      <c r="Z156" t="e">
        <f>#REF!</f>
        <v>#REF!</v>
      </c>
      <c r="AA156" t="e">
        <f>#REF!</f>
        <v>#REF!</v>
      </c>
      <c r="AB156" t="e">
        <f>#REF!</f>
        <v>#REF!</v>
      </c>
      <c r="AC156" t="e">
        <f>#REF!</f>
        <v>#REF!</v>
      </c>
      <c r="AD156" t="e">
        <f>#REF!</f>
        <v>#REF!</v>
      </c>
      <c r="AE156" t="e">
        <f>#REF!</f>
        <v>#REF!</v>
      </c>
      <c r="AF156" t="e">
        <f>#REF!</f>
        <v>#REF!</v>
      </c>
      <c r="AG156" t="e">
        <f>#REF!</f>
        <v>#REF!</v>
      </c>
      <c r="AH156" t="e">
        <f>#REF!</f>
        <v>#REF!</v>
      </c>
      <c r="AI156" t="e">
        <f>#REF!</f>
        <v>#REF!</v>
      </c>
      <c r="AO156" s="159" t="e">
        <f>IF(#REF!="",0,#REF!)</f>
        <v>#REF!</v>
      </c>
      <c r="AP156" s="160" t="e">
        <f t="shared" si="4"/>
        <v>#REF!</v>
      </c>
    </row>
    <row r="157" spans="2:42" x14ac:dyDescent="0.25">
      <c r="B157" t="e">
        <f>#REF!</f>
        <v>#REF!</v>
      </c>
      <c r="C157" t="e">
        <f>#REF!</f>
        <v>#REF!</v>
      </c>
      <c r="D157" t="e">
        <f>#REF!</f>
        <v>#REF!</v>
      </c>
      <c r="E157" s="14" t="e">
        <f>#REF!</f>
        <v>#REF!</v>
      </c>
      <c r="F157" t="e">
        <f>#REF!</f>
        <v>#REF!</v>
      </c>
      <c r="G157" t="e">
        <f>#REF!</f>
        <v>#REF!</v>
      </c>
      <c r="H157" t="e">
        <f>#REF!</f>
        <v>#REF!</v>
      </c>
      <c r="I157" t="e">
        <f>#REF!</f>
        <v>#REF!</v>
      </c>
      <c r="J157" t="e">
        <f>#REF!</f>
        <v>#REF!</v>
      </c>
      <c r="K157" t="e">
        <f>#REF!</f>
        <v>#REF!</v>
      </c>
      <c r="L157" t="e">
        <f>#REF!</f>
        <v>#REF!</v>
      </c>
      <c r="M157" t="e">
        <f>#REF!</f>
        <v>#REF!</v>
      </c>
      <c r="N157" t="e">
        <f>#REF!</f>
        <v>#REF!</v>
      </c>
      <c r="O157" t="e">
        <f>#REF!</f>
        <v>#REF!</v>
      </c>
      <c r="P157" t="e">
        <f>#REF!</f>
        <v>#REF!</v>
      </c>
      <c r="Q157" t="e">
        <f>#REF!</f>
        <v>#REF!</v>
      </c>
      <c r="R157" t="e">
        <f>#REF!</f>
        <v>#REF!</v>
      </c>
      <c r="S157" t="e">
        <f>#REF!</f>
        <v>#REF!</v>
      </c>
      <c r="T157" t="e">
        <f>#REF!</f>
        <v>#REF!</v>
      </c>
      <c r="U157" t="e">
        <f>#REF!</f>
        <v>#REF!</v>
      </c>
      <c r="V157" t="e">
        <f>#REF!</f>
        <v>#REF!</v>
      </c>
      <c r="W157" t="e">
        <f>#REF!</f>
        <v>#REF!</v>
      </c>
      <c r="X157" t="e">
        <f>#REF!</f>
        <v>#REF!</v>
      </c>
      <c r="Y157" t="e">
        <f>#REF!</f>
        <v>#REF!</v>
      </c>
      <c r="Z157" t="e">
        <f>#REF!</f>
        <v>#REF!</v>
      </c>
      <c r="AA157" t="e">
        <f>#REF!</f>
        <v>#REF!</v>
      </c>
      <c r="AB157" t="e">
        <f>#REF!</f>
        <v>#REF!</v>
      </c>
      <c r="AC157" t="e">
        <f>#REF!</f>
        <v>#REF!</v>
      </c>
      <c r="AD157" t="e">
        <f>#REF!</f>
        <v>#REF!</v>
      </c>
      <c r="AE157" t="e">
        <f>#REF!</f>
        <v>#REF!</v>
      </c>
      <c r="AF157" t="e">
        <f>#REF!</f>
        <v>#REF!</v>
      </c>
      <c r="AG157" t="e">
        <f>#REF!</f>
        <v>#REF!</v>
      </c>
      <c r="AH157" t="e">
        <f>#REF!</f>
        <v>#REF!</v>
      </c>
      <c r="AI157" t="e">
        <f>#REF!</f>
        <v>#REF!</v>
      </c>
      <c r="AO157" s="159" t="e">
        <f>IF(#REF!="",0,#REF!)</f>
        <v>#REF!</v>
      </c>
      <c r="AP157" s="160" t="e">
        <f t="shared" si="4"/>
        <v>#REF!</v>
      </c>
    </row>
    <row r="158" spans="2:42" x14ac:dyDescent="0.25">
      <c r="B158" t="e">
        <f>#REF!</f>
        <v>#REF!</v>
      </c>
      <c r="C158" t="e">
        <f>#REF!</f>
        <v>#REF!</v>
      </c>
      <c r="D158" t="e">
        <f>#REF!</f>
        <v>#REF!</v>
      </c>
      <c r="E158" s="14" t="e">
        <f>#REF!</f>
        <v>#REF!</v>
      </c>
      <c r="F158" t="e">
        <f>#REF!</f>
        <v>#REF!</v>
      </c>
      <c r="G158" t="e">
        <f>#REF!</f>
        <v>#REF!</v>
      </c>
      <c r="H158" t="e">
        <f>#REF!</f>
        <v>#REF!</v>
      </c>
      <c r="I158" t="e">
        <f>#REF!</f>
        <v>#REF!</v>
      </c>
      <c r="J158" t="e">
        <f>#REF!</f>
        <v>#REF!</v>
      </c>
      <c r="K158" t="e">
        <f>#REF!</f>
        <v>#REF!</v>
      </c>
      <c r="L158" t="e">
        <f>#REF!</f>
        <v>#REF!</v>
      </c>
      <c r="M158" t="e">
        <f>#REF!</f>
        <v>#REF!</v>
      </c>
      <c r="N158" t="e">
        <f>#REF!</f>
        <v>#REF!</v>
      </c>
      <c r="O158" t="e">
        <f>#REF!</f>
        <v>#REF!</v>
      </c>
      <c r="P158" t="e">
        <f>#REF!</f>
        <v>#REF!</v>
      </c>
      <c r="Q158" t="e">
        <f>#REF!</f>
        <v>#REF!</v>
      </c>
      <c r="R158" t="e">
        <f>#REF!</f>
        <v>#REF!</v>
      </c>
      <c r="S158" t="e">
        <f>#REF!</f>
        <v>#REF!</v>
      </c>
      <c r="T158" t="e">
        <f>#REF!</f>
        <v>#REF!</v>
      </c>
      <c r="U158" t="e">
        <f>#REF!</f>
        <v>#REF!</v>
      </c>
      <c r="V158" t="e">
        <f>#REF!</f>
        <v>#REF!</v>
      </c>
      <c r="W158" t="e">
        <f>#REF!</f>
        <v>#REF!</v>
      </c>
      <c r="X158" t="e">
        <f>#REF!</f>
        <v>#REF!</v>
      </c>
      <c r="Y158" t="e">
        <f>#REF!</f>
        <v>#REF!</v>
      </c>
      <c r="Z158" t="e">
        <f>#REF!</f>
        <v>#REF!</v>
      </c>
      <c r="AA158" t="e">
        <f>#REF!</f>
        <v>#REF!</v>
      </c>
      <c r="AB158" t="e">
        <f>#REF!</f>
        <v>#REF!</v>
      </c>
      <c r="AC158" t="e">
        <f>#REF!</f>
        <v>#REF!</v>
      </c>
      <c r="AD158" t="e">
        <f>#REF!</f>
        <v>#REF!</v>
      </c>
      <c r="AE158" t="e">
        <f>#REF!</f>
        <v>#REF!</v>
      </c>
      <c r="AF158" t="e">
        <f>#REF!</f>
        <v>#REF!</v>
      </c>
      <c r="AG158" t="e">
        <f>#REF!</f>
        <v>#REF!</v>
      </c>
      <c r="AH158" t="e">
        <f>#REF!</f>
        <v>#REF!</v>
      </c>
      <c r="AI158" t="e">
        <f>#REF!</f>
        <v>#REF!</v>
      </c>
      <c r="AO158" s="159" t="e">
        <f>IF(#REF!="",0,#REF!)</f>
        <v>#REF!</v>
      </c>
      <c r="AP158" s="160" t="e">
        <f t="shared" si="4"/>
        <v>#REF!</v>
      </c>
    </row>
    <row r="159" spans="2:42" x14ac:dyDescent="0.25">
      <c r="B159" t="e">
        <f>#REF!</f>
        <v>#REF!</v>
      </c>
      <c r="C159" t="e">
        <f>#REF!</f>
        <v>#REF!</v>
      </c>
      <c r="D159" t="e">
        <f>#REF!</f>
        <v>#REF!</v>
      </c>
      <c r="E159" s="14" t="e">
        <f>#REF!</f>
        <v>#REF!</v>
      </c>
      <c r="F159" t="e">
        <f>#REF!</f>
        <v>#REF!</v>
      </c>
      <c r="G159" t="e">
        <f>#REF!</f>
        <v>#REF!</v>
      </c>
      <c r="H159" t="e">
        <f>#REF!</f>
        <v>#REF!</v>
      </c>
      <c r="I159" t="e">
        <f>#REF!</f>
        <v>#REF!</v>
      </c>
      <c r="J159" t="e">
        <f>#REF!</f>
        <v>#REF!</v>
      </c>
      <c r="K159" t="e">
        <f>#REF!</f>
        <v>#REF!</v>
      </c>
      <c r="L159" t="e">
        <f>#REF!</f>
        <v>#REF!</v>
      </c>
      <c r="M159" t="e">
        <f>#REF!</f>
        <v>#REF!</v>
      </c>
      <c r="N159" t="e">
        <f>#REF!</f>
        <v>#REF!</v>
      </c>
      <c r="O159" t="e">
        <f>#REF!</f>
        <v>#REF!</v>
      </c>
      <c r="P159" t="e">
        <f>#REF!</f>
        <v>#REF!</v>
      </c>
      <c r="Q159" t="e">
        <f>#REF!</f>
        <v>#REF!</v>
      </c>
      <c r="R159" t="e">
        <f>#REF!</f>
        <v>#REF!</v>
      </c>
      <c r="S159" t="e">
        <f>#REF!</f>
        <v>#REF!</v>
      </c>
      <c r="T159" t="e">
        <f>#REF!</f>
        <v>#REF!</v>
      </c>
      <c r="U159" t="e">
        <f>#REF!</f>
        <v>#REF!</v>
      </c>
      <c r="V159" t="e">
        <f>#REF!</f>
        <v>#REF!</v>
      </c>
      <c r="W159" t="e">
        <f>#REF!</f>
        <v>#REF!</v>
      </c>
      <c r="X159" t="e">
        <f>#REF!</f>
        <v>#REF!</v>
      </c>
      <c r="Y159" t="e">
        <f>#REF!</f>
        <v>#REF!</v>
      </c>
      <c r="Z159" t="e">
        <f>#REF!</f>
        <v>#REF!</v>
      </c>
      <c r="AA159" t="e">
        <f>#REF!</f>
        <v>#REF!</v>
      </c>
      <c r="AB159" t="e">
        <f>#REF!</f>
        <v>#REF!</v>
      </c>
      <c r="AC159" t="e">
        <f>#REF!</f>
        <v>#REF!</v>
      </c>
      <c r="AD159" t="e">
        <f>#REF!</f>
        <v>#REF!</v>
      </c>
      <c r="AE159" t="e">
        <f>#REF!</f>
        <v>#REF!</v>
      </c>
      <c r="AF159" t="e">
        <f>#REF!</f>
        <v>#REF!</v>
      </c>
      <c r="AG159" t="e">
        <f>#REF!</f>
        <v>#REF!</v>
      </c>
      <c r="AH159" t="e">
        <f>#REF!</f>
        <v>#REF!</v>
      </c>
      <c r="AI159" t="e">
        <f>#REF!</f>
        <v>#REF!</v>
      </c>
      <c r="AO159" s="159" t="e">
        <f>IF(#REF!="",0,#REF!)</f>
        <v>#REF!</v>
      </c>
      <c r="AP159" s="160" t="e">
        <f t="shared" si="4"/>
        <v>#REF!</v>
      </c>
    </row>
    <row r="160" spans="2:42" x14ac:dyDescent="0.25">
      <c r="B160" t="e">
        <f>#REF!</f>
        <v>#REF!</v>
      </c>
      <c r="C160" t="e">
        <f>#REF!</f>
        <v>#REF!</v>
      </c>
      <c r="D160" t="e">
        <f>#REF!</f>
        <v>#REF!</v>
      </c>
      <c r="E160" s="14" t="e">
        <f>#REF!</f>
        <v>#REF!</v>
      </c>
      <c r="F160" t="e">
        <f>#REF!</f>
        <v>#REF!</v>
      </c>
      <c r="G160" t="e">
        <f>#REF!</f>
        <v>#REF!</v>
      </c>
      <c r="H160" t="e">
        <f>#REF!</f>
        <v>#REF!</v>
      </c>
      <c r="I160" t="e">
        <f>#REF!</f>
        <v>#REF!</v>
      </c>
      <c r="J160" t="e">
        <f>#REF!</f>
        <v>#REF!</v>
      </c>
      <c r="K160" t="e">
        <f>#REF!</f>
        <v>#REF!</v>
      </c>
      <c r="L160" t="e">
        <f>#REF!</f>
        <v>#REF!</v>
      </c>
      <c r="M160" t="e">
        <f>#REF!</f>
        <v>#REF!</v>
      </c>
      <c r="N160" t="e">
        <f>#REF!</f>
        <v>#REF!</v>
      </c>
      <c r="O160" t="e">
        <f>#REF!</f>
        <v>#REF!</v>
      </c>
      <c r="P160" t="e">
        <f>#REF!</f>
        <v>#REF!</v>
      </c>
      <c r="Q160" t="e">
        <f>#REF!</f>
        <v>#REF!</v>
      </c>
      <c r="R160" t="e">
        <f>#REF!</f>
        <v>#REF!</v>
      </c>
      <c r="S160" t="e">
        <f>#REF!</f>
        <v>#REF!</v>
      </c>
      <c r="T160" t="e">
        <f>#REF!</f>
        <v>#REF!</v>
      </c>
      <c r="U160" t="e">
        <f>#REF!</f>
        <v>#REF!</v>
      </c>
      <c r="V160" t="e">
        <f>#REF!</f>
        <v>#REF!</v>
      </c>
      <c r="W160" t="e">
        <f>#REF!</f>
        <v>#REF!</v>
      </c>
      <c r="X160" t="e">
        <f>#REF!</f>
        <v>#REF!</v>
      </c>
      <c r="Y160" t="e">
        <f>#REF!</f>
        <v>#REF!</v>
      </c>
      <c r="Z160" t="e">
        <f>#REF!</f>
        <v>#REF!</v>
      </c>
      <c r="AA160" t="e">
        <f>#REF!</f>
        <v>#REF!</v>
      </c>
      <c r="AB160" t="e">
        <f>#REF!</f>
        <v>#REF!</v>
      </c>
      <c r="AC160" t="e">
        <f>#REF!</f>
        <v>#REF!</v>
      </c>
      <c r="AD160" t="e">
        <f>#REF!</f>
        <v>#REF!</v>
      </c>
      <c r="AE160" t="e">
        <f>#REF!</f>
        <v>#REF!</v>
      </c>
      <c r="AF160" t="e">
        <f>#REF!</f>
        <v>#REF!</v>
      </c>
      <c r="AG160" t="e">
        <f>#REF!</f>
        <v>#REF!</v>
      </c>
      <c r="AH160" t="e">
        <f>#REF!</f>
        <v>#REF!</v>
      </c>
      <c r="AI160" t="e">
        <f>#REF!</f>
        <v>#REF!</v>
      </c>
      <c r="AO160" s="159" t="e">
        <f>IF(#REF!="",0,#REF!)</f>
        <v>#REF!</v>
      </c>
      <c r="AP160" s="160" t="e">
        <f t="shared" si="4"/>
        <v>#REF!</v>
      </c>
    </row>
    <row r="161" spans="2:42" x14ac:dyDescent="0.25">
      <c r="B161" t="e">
        <f>#REF!</f>
        <v>#REF!</v>
      </c>
      <c r="C161" t="e">
        <f>#REF!</f>
        <v>#REF!</v>
      </c>
      <c r="D161" t="e">
        <f>#REF!</f>
        <v>#REF!</v>
      </c>
      <c r="E161" s="14" t="e">
        <f>#REF!</f>
        <v>#REF!</v>
      </c>
      <c r="F161" t="e">
        <f>#REF!</f>
        <v>#REF!</v>
      </c>
      <c r="G161" t="e">
        <f>#REF!</f>
        <v>#REF!</v>
      </c>
      <c r="H161" t="e">
        <f>#REF!</f>
        <v>#REF!</v>
      </c>
      <c r="I161" t="e">
        <f>#REF!</f>
        <v>#REF!</v>
      </c>
      <c r="J161" t="e">
        <f>#REF!</f>
        <v>#REF!</v>
      </c>
      <c r="K161" t="e">
        <f>#REF!</f>
        <v>#REF!</v>
      </c>
      <c r="L161" t="e">
        <f>#REF!</f>
        <v>#REF!</v>
      </c>
      <c r="M161" t="e">
        <f>#REF!</f>
        <v>#REF!</v>
      </c>
      <c r="N161" t="e">
        <f>#REF!</f>
        <v>#REF!</v>
      </c>
      <c r="O161" t="e">
        <f>#REF!</f>
        <v>#REF!</v>
      </c>
      <c r="P161" t="e">
        <f>#REF!</f>
        <v>#REF!</v>
      </c>
      <c r="Q161" t="e">
        <f>#REF!</f>
        <v>#REF!</v>
      </c>
      <c r="R161" t="e">
        <f>#REF!</f>
        <v>#REF!</v>
      </c>
      <c r="S161" t="e">
        <f>#REF!</f>
        <v>#REF!</v>
      </c>
      <c r="T161" t="e">
        <f>#REF!</f>
        <v>#REF!</v>
      </c>
      <c r="U161" t="e">
        <f>#REF!</f>
        <v>#REF!</v>
      </c>
      <c r="V161" t="e">
        <f>#REF!</f>
        <v>#REF!</v>
      </c>
      <c r="W161" t="e">
        <f>#REF!</f>
        <v>#REF!</v>
      </c>
      <c r="X161" t="e">
        <f>#REF!</f>
        <v>#REF!</v>
      </c>
      <c r="Y161" t="e">
        <f>#REF!</f>
        <v>#REF!</v>
      </c>
      <c r="Z161" t="e">
        <f>#REF!</f>
        <v>#REF!</v>
      </c>
      <c r="AA161" t="e">
        <f>#REF!</f>
        <v>#REF!</v>
      </c>
      <c r="AB161" t="e">
        <f>#REF!</f>
        <v>#REF!</v>
      </c>
      <c r="AC161" t="e">
        <f>#REF!</f>
        <v>#REF!</v>
      </c>
      <c r="AD161" t="e">
        <f>#REF!</f>
        <v>#REF!</v>
      </c>
      <c r="AE161" t="e">
        <f>#REF!</f>
        <v>#REF!</v>
      </c>
      <c r="AF161" t="e">
        <f>#REF!</f>
        <v>#REF!</v>
      </c>
      <c r="AG161" t="e">
        <f>#REF!</f>
        <v>#REF!</v>
      </c>
      <c r="AH161" t="e">
        <f>#REF!</f>
        <v>#REF!</v>
      </c>
      <c r="AI161" t="e">
        <f>#REF!</f>
        <v>#REF!</v>
      </c>
      <c r="AO161" s="159" t="e">
        <f>IF(#REF!="",0,#REF!)</f>
        <v>#REF!</v>
      </c>
      <c r="AP161" s="160" t="e">
        <f t="shared" si="4"/>
        <v>#REF!</v>
      </c>
    </row>
    <row r="162" spans="2:42" x14ac:dyDescent="0.25">
      <c r="B162" t="e">
        <f>#REF!</f>
        <v>#REF!</v>
      </c>
      <c r="C162" t="e">
        <f>#REF!</f>
        <v>#REF!</v>
      </c>
      <c r="D162" t="e">
        <f>#REF!</f>
        <v>#REF!</v>
      </c>
      <c r="E162" s="14" t="e">
        <f>#REF!</f>
        <v>#REF!</v>
      </c>
      <c r="F162" t="e">
        <f>#REF!</f>
        <v>#REF!</v>
      </c>
      <c r="G162" t="e">
        <f>#REF!</f>
        <v>#REF!</v>
      </c>
      <c r="H162" t="e">
        <f>#REF!</f>
        <v>#REF!</v>
      </c>
      <c r="I162" t="e">
        <f>#REF!</f>
        <v>#REF!</v>
      </c>
      <c r="J162" t="e">
        <f>#REF!</f>
        <v>#REF!</v>
      </c>
      <c r="K162" t="e">
        <f>#REF!</f>
        <v>#REF!</v>
      </c>
      <c r="L162" t="e">
        <f>#REF!</f>
        <v>#REF!</v>
      </c>
      <c r="M162" t="e">
        <f>#REF!</f>
        <v>#REF!</v>
      </c>
      <c r="N162" t="e">
        <f>#REF!</f>
        <v>#REF!</v>
      </c>
      <c r="O162" t="e">
        <f>#REF!</f>
        <v>#REF!</v>
      </c>
      <c r="P162" t="e">
        <f>#REF!</f>
        <v>#REF!</v>
      </c>
      <c r="Q162" t="e">
        <f>#REF!</f>
        <v>#REF!</v>
      </c>
      <c r="R162" t="e">
        <f>#REF!</f>
        <v>#REF!</v>
      </c>
      <c r="S162" t="e">
        <f>#REF!</f>
        <v>#REF!</v>
      </c>
      <c r="T162" t="e">
        <f>#REF!</f>
        <v>#REF!</v>
      </c>
      <c r="U162" t="e">
        <f>#REF!</f>
        <v>#REF!</v>
      </c>
      <c r="V162" t="e">
        <f>#REF!</f>
        <v>#REF!</v>
      </c>
      <c r="W162" t="e">
        <f>#REF!</f>
        <v>#REF!</v>
      </c>
      <c r="X162" t="e">
        <f>#REF!</f>
        <v>#REF!</v>
      </c>
      <c r="Y162" t="e">
        <f>#REF!</f>
        <v>#REF!</v>
      </c>
      <c r="Z162" t="e">
        <f>#REF!</f>
        <v>#REF!</v>
      </c>
      <c r="AA162" t="e">
        <f>#REF!</f>
        <v>#REF!</v>
      </c>
      <c r="AB162" t="e">
        <f>#REF!</f>
        <v>#REF!</v>
      </c>
      <c r="AC162" t="e">
        <f>#REF!</f>
        <v>#REF!</v>
      </c>
      <c r="AD162" t="e">
        <f>#REF!</f>
        <v>#REF!</v>
      </c>
      <c r="AE162" t="e">
        <f>#REF!</f>
        <v>#REF!</v>
      </c>
      <c r="AF162" t="e">
        <f>#REF!</f>
        <v>#REF!</v>
      </c>
      <c r="AG162" t="e">
        <f>#REF!</f>
        <v>#REF!</v>
      </c>
      <c r="AH162" t="e">
        <f>#REF!</f>
        <v>#REF!</v>
      </c>
      <c r="AI162" t="e">
        <f>#REF!</f>
        <v>#REF!</v>
      </c>
      <c r="AO162" s="159" t="e">
        <f>IF(#REF!="",0,#REF!)</f>
        <v>#REF!</v>
      </c>
      <c r="AP162" s="160" t="e">
        <f t="shared" si="4"/>
        <v>#REF!</v>
      </c>
    </row>
    <row r="163" spans="2:42" x14ac:dyDescent="0.25">
      <c r="B163" t="e">
        <f>#REF!</f>
        <v>#REF!</v>
      </c>
      <c r="C163" t="e">
        <f>#REF!</f>
        <v>#REF!</v>
      </c>
      <c r="D163" t="e">
        <f>#REF!</f>
        <v>#REF!</v>
      </c>
      <c r="E163" s="14" t="e">
        <f>#REF!</f>
        <v>#REF!</v>
      </c>
      <c r="F163" t="e">
        <f>#REF!</f>
        <v>#REF!</v>
      </c>
      <c r="G163" t="e">
        <f>#REF!</f>
        <v>#REF!</v>
      </c>
      <c r="H163" t="e">
        <f>#REF!</f>
        <v>#REF!</v>
      </c>
      <c r="I163" t="e">
        <f>#REF!</f>
        <v>#REF!</v>
      </c>
      <c r="J163" t="e">
        <f>#REF!</f>
        <v>#REF!</v>
      </c>
      <c r="K163" t="e">
        <f>#REF!</f>
        <v>#REF!</v>
      </c>
      <c r="L163" t="e">
        <f>#REF!</f>
        <v>#REF!</v>
      </c>
      <c r="M163" t="e">
        <f>#REF!</f>
        <v>#REF!</v>
      </c>
      <c r="N163" t="e">
        <f>#REF!</f>
        <v>#REF!</v>
      </c>
      <c r="O163" t="e">
        <f>#REF!</f>
        <v>#REF!</v>
      </c>
      <c r="P163" t="e">
        <f>#REF!</f>
        <v>#REF!</v>
      </c>
      <c r="Q163" t="e">
        <f>#REF!</f>
        <v>#REF!</v>
      </c>
      <c r="R163" t="e">
        <f>#REF!</f>
        <v>#REF!</v>
      </c>
      <c r="S163" t="e">
        <f>#REF!</f>
        <v>#REF!</v>
      </c>
      <c r="T163" t="e">
        <f>#REF!</f>
        <v>#REF!</v>
      </c>
      <c r="U163" t="e">
        <f>#REF!</f>
        <v>#REF!</v>
      </c>
      <c r="V163" t="e">
        <f>#REF!</f>
        <v>#REF!</v>
      </c>
      <c r="W163" t="e">
        <f>#REF!</f>
        <v>#REF!</v>
      </c>
      <c r="X163" t="e">
        <f>#REF!</f>
        <v>#REF!</v>
      </c>
      <c r="Y163" t="e">
        <f>#REF!</f>
        <v>#REF!</v>
      </c>
      <c r="Z163" t="e">
        <f>#REF!</f>
        <v>#REF!</v>
      </c>
      <c r="AA163" t="e">
        <f>#REF!</f>
        <v>#REF!</v>
      </c>
      <c r="AB163" t="e">
        <f>#REF!</f>
        <v>#REF!</v>
      </c>
      <c r="AC163" t="e">
        <f>#REF!</f>
        <v>#REF!</v>
      </c>
      <c r="AD163" t="e">
        <f>#REF!</f>
        <v>#REF!</v>
      </c>
      <c r="AE163" t="e">
        <f>#REF!</f>
        <v>#REF!</v>
      </c>
      <c r="AF163" t="e">
        <f>#REF!</f>
        <v>#REF!</v>
      </c>
      <c r="AG163" t="e">
        <f>#REF!</f>
        <v>#REF!</v>
      </c>
      <c r="AH163" t="e">
        <f>#REF!</f>
        <v>#REF!</v>
      </c>
      <c r="AI163" t="e">
        <f>#REF!</f>
        <v>#REF!</v>
      </c>
      <c r="AO163" s="159" t="e">
        <f>IF(#REF!="",0,#REF!)</f>
        <v>#REF!</v>
      </c>
      <c r="AP163" s="160" t="e">
        <f t="shared" si="4"/>
        <v>#REF!</v>
      </c>
    </row>
    <row r="164" spans="2:42" x14ac:dyDescent="0.25">
      <c r="B164" t="e">
        <f>#REF!</f>
        <v>#REF!</v>
      </c>
      <c r="C164" t="e">
        <f>#REF!</f>
        <v>#REF!</v>
      </c>
      <c r="D164" t="e">
        <f>#REF!</f>
        <v>#REF!</v>
      </c>
      <c r="E164" s="14" t="e">
        <f>#REF!</f>
        <v>#REF!</v>
      </c>
      <c r="F164" t="e">
        <f>#REF!</f>
        <v>#REF!</v>
      </c>
      <c r="G164" t="e">
        <f>#REF!</f>
        <v>#REF!</v>
      </c>
      <c r="H164" t="e">
        <f>#REF!</f>
        <v>#REF!</v>
      </c>
      <c r="I164" t="e">
        <f>#REF!</f>
        <v>#REF!</v>
      </c>
      <c r="J164" t="e">
        <f>#REF!</f>
        <v>#REF!</v>
      </c>
      <c r="K164" t="e">
        <f>#REF!</f>
        <v>#REF!</v>
      </c>
      <c r="L164" t="e">
        <f>#REF!</f>
        <v>#REF!</v>
      </c>
      <c r="M164" t="e">
        <f>#REF!</f>
        <v>#REF!</v>
      </c>
      <c r="N164" t="e">
        <f>#REF!</f>
        <v>#REF!</v>
      </c>
      <c r="O164" t="e">
        <f>#REF!</f>
        <v>#REF!</v>
      </c>
      <c r="P164" t="e">
        <f>#REF!</f>
        <v>#REF!</v>
      </c>
      <c r="Q164" t="e">
        <f>#REF!</f>
        <v>#REF!</v>
      </c>
      <c r="R164" t="e">
        <f>#REF!</f>
        <v>#REF!</v>
      </c>
      <c r="S164" t="e">
        <f>#REF!</f>
        <v>#REF!</v>
      </c>
      <c r="T164" t="e">
        <f>#REF!</f>
        <v>#REF!</v>
      </c>
      <c r="U164" t="e">
        <f>#REF!</f>
        <v>#REF!</v>
      </c>
      <c r="V164" t="e">
        <f>#REF!</f>
        <v>#REF!</v>
      </c>
      <c r="W164" t="e">
        <f>#REF!</f>
        <v>#REF!</v>
      </c>
      <c r="X164" t="e">
        <f>#REF!</f>
        <v>#REF!</v>
      </c>
      <c r="Y164" t="e">
        <f>#REF!</f>
        <v>#REF!</v>
      </c>
      <c r="Z164" t="e">
        <f>#REF!</f>
        <v>#REF!</v>
      </c>
      <c r="AA164" t="e">
        <f>#REF!</f>
        <v>#REF!</v>
      </c>
      <c r="AB164" t="e">
        <f>#REF!</f>
        <v>#REF!</v>
      </c>
      <c r="AC164" t="e">
        <f>#REF!</f>
        <v>#REF!</v>
      </c>
      <c r="AD164" t="e">
        <f>#REF!</f>
        <v>#REF!</v>
      </c>
      <c r="AE164" t="e">
        <f>#REF!</f>
        <v>#REF!</v>
      </c>
      <c r="AF164" t="e">
        <f>#REF!</f>
        <v>#REF!</v>
      </c>
      <c r="AG164" t="e">
        <f>#REF!</f>
        <v>#REF!</v>
      </c>
      <c r="AH164" t="e">
        <f>#REF!</f>
        <v>#REF!</v>
      </c>
      <c r="AI164" t="e">
        <f>#REF!</f>
        <v>#REF!</v>
      </c>
      <c r="AO164" s="159" t="e">
        <f>IF(#REF!="",0,#REF!)</f>
        <v>#REF!</v>
      </c>
      <c r="AP164" s="160" t="e">
        <f t="shared" si="4"/>
        <v>#REF!</v>
      </c>
    </row>
    <row r="165" spans="2:42" x14ac:dyDescent="0.25">
      <c r="B165" t="e">
        <f>#REF!</f>
        <v>#REF!</v>
      </c>
      <c r="C165" t="e">
        <f>#REF!</f>
        <v>#REF!</v>
      </c>
      <c r="D165" t="e">
        <f>#REF!</f>
        <v>#REF!</v>
      </c>
      <c r="E165" s="14" t="e">
        <f>#REF!</f>
        <v>#REF!</v>
      </c>
      <c r="F165" t="e">
        <f>#REF!</f>
        <v>#REF!</v>
      </c>
      <c r="G165" t="e">
        <f>#REF!</f>
        <v>#REF!</v>
      </c>
      <c r="H165" t="e">
        <f>#REF!</f>
        <v>#REF!</v>
      </c>
      <c r="I165" t="e">
        <f>#REF!</f>
        <v>#REF!</v>
      </c>
      <c r="J165" t="e">
        <f>#REF!</f>
        <v>#REF!</v>
      </c>
      <c r="K165" t="e">
        <f>#REF!</f>
        <v>#REF!</v>
      </c>
      <c r="L165" t="e">
        <f>#REF!</f>
        <v>#REF!</v>
      </c>
      <c r="M165" t="e">
        <f>#REF!</f>
        <v>#REF!</v>
      </c>
      <c r="N165" t="e">
        <f>#REF!</f>
        <v>#REF!</v>
      </c>
      <c r="O165" t="e">
        <f>#REF!</f>
        <v>#REF!</v>
      </c>
      <c r="P165" t="e">
        <f>#REF!</f>
        <v>#REF!</v>
      </c>
      <c r="Q165" t="e">
        <f>#REF!</f>
        <v>#REF!</v>
      </c>
      <c r="R165" t="e">
        <f>#REF!</f>
        <v>#REF!</v>
      </c>
      <c r="S165" t="e">
        <f>#REF!</f>
        <v>#REF!</v>
      </c>
      <c r="T165" t="e">
        <f>#REF!</f>
        <v>#REF!</v>
      </c>
      <c r="U165" t="e">
        <f>#REF!</f>
        <v>#REF!</v>
      </c>
      <c r="V165" t="e">
        <f>#REF!</f>
        <v>#REF!</v>
      </c>
      <c r="W165" t="e">
        <f>#REF!</f>
        <v>#REF!</v>
      </c>
      <c r="X165" t="e">
        <f>#REF!</f>
        <v>#REF!</v>
      </c>
      <c r="Y165" t="e">
        <f>#REF!</f>
        <v>#REF!</v>
      </c>
      <c r="Z165" t="e">
        <f>#REF!</f>
        <v>#REF!</v>
      </c>
      <c r="AA165" t="e">
        <f>#REF!</f>
        <v>#REF!</v>
      </c>
      <c r="AB165" t="e">
        <f>#REF!</f>
        <v>#REF!</v>
      </c>
      <c r="AC165" t="e">
        <f>#REF!</f>
        <v>#REF!</v>
      </c>
      <c r="AD165" t="e">
        <f>#REF!</f>
        <v>#REF!</v>
      </c>
      <c r="AE165" t="e">
        <f>#REF!</f>
        <v>#REF!</v>
      </c>
      <c r="AF165" t="e">
        <f>#REF!</f>
        <v>#REF!</v>
      </c>
      <c r="AG165" t="e">
        <f>#REF!</f>
        <v>#REF!</v>
      </c>
      <c r="AH165" t="e">
        <f>#REF!</f>
        <v>#REF!</v>
      </c>
      <c r="AI165" t="e">
        <f>#REF!</f>
        <v>#REF!</v>
      </c>
      <c r="AO165" s="159" t="e">
        <f>IF(#REF!="",0,#REF!)</f>
        <v>#REF!</v>
      </c>
      <c r="AP165" s="160" t="e">
        <f t="shared" si="4"/>
        <v>#REF!</v>
      </c>
    </row>
    <row r="166" spans="2:42" x14ac:dyDescent="0.25">
      <c r="B166" t="e">
        <f>#REF!</f>
        <v>#REF!</v>
      </c>
      <c r="C166" t="e">
        <f>#REF!</f>
        <v>#REF!</v>
      </c>
      <c r="D166" t="e">
        <f>#REF!</f>
        <v>#REF!</v>
      </c>
      <c r="E166" s="14" t="e">
        <f>#REF!</f>
        <v>#REF!</v>
      </c>
      <c r="F166" t="e">
        <f>#REF!</f>
        <v>#REF!</v>
      </c>
      <c r="G166" t="e">
        <f>#REF!</f>
        <v>#REF!</v>
      </c>
      <c r="H166" t="e">
        <f>#REF!</f>
        <v>#REF!</v>
      </c>
      <c r="I166" t="e">
        <f>#REF!</f>
        <v>#REF!</v>
      </c>
      <c r="J166" t="e">
        <f>#REF!</f>
        <v>#REF!</v>
      </c>
      <c r="K166" t="e">
        <f>#REF!</f>
        <v>#REF!</v>
      </c>
      <c r="L166" t="e">
        <f>#REF!</f>
        <v>#REF!</v>
      </c>
      <c r="M166" t="e">
        <f>#REF!</f>
        <v>#REF!</v>
      </c>
      <c r="N166" t="e">
        <f>#REF!</f>
        <v>#REF!</v>
      </c>
      <c r="O166" t="e">
        <f>#REF!</f>
        <v>#REF!</v>
      </c>
      <c r="P166" t="e">
        <f>#REF!</f>
        <v>#REF!</v>
      </c>
      <c r="Q166" t="e">
        <f>#REF!</f>
        <v>#REF!</v>
      </c>
      <c r="R166" t="e">
        <f>#REF!</f>
        <v>#REF!</v>
      </c>
      <c r="S166" t="e">
        <f>#REF!</f>
        <v>#REF!</v>
      </c>
      <c r="T166" t="e">
        <f>#REF!</f>
        <v>#REF!</v>
      </c>
      <c r="U166" t="e">
        <f>#REF!</f>
        <v>#REF!</v>
      </c>
      <c r="V166" t="e">
        <f>#REF!</f>
        <v>#REF!</v>
      </c>
      <c r="W166" t="e">
        <f>#REF!</f>
        <v>#REF!</v>
      </c>
      <c r="X166" t="e">
        <f>#REF!</f>
        <v>#REF!</v>
      </c>
      <c r="Y166" t="e">
        <f>#REF!</f>
        <v>#REF!</v>
      </c>
      <c r="Z166" t="e">
        <f>#REF!</f>
        <v>#REF!</v>
      </c>
      <c r="AA166" t="e">
        <f>#REF!</f>
        <v>#REF!</v>
      </c>
      <c r="AB166" t="e">
        <f>#REF!</f>
        <v>#REF!</v>
      </c>
      <c r="AC166" t="e">
        <f>#REF!</f>
        <v>#REF!</v>
      </c>
      <c r="AD166" t="e">
        <f>#REF!</f>
        <v>#REF!</v>
      </c>
      <c r="AE166" t="e">
        <f>#REF!</f>
        <v>#REF!</v>
      </c>
      <c r="AF166" t="e">
        <f>#REF!</f>
        <v>#REF!</v>
      </c>
      <c r="AG166" t="e">
        <f>#REF!</f>
        <v>#REF!</v>
      </c>
      <c r="AH166" t="e">
        <f>#REF!</f>
        <v>#REF!</v>
      </c>
      <c r="AI166" t="e">
        <f>#REF!</f>
        <v>#REF!</v>
      </c>
      <c r="AO166" s="159" t="e">
        <f>IF(#REF!="",0,#REF!)</f>
        <v>#REF!</v>
      </c>
      <c r="AP166" s="160" t="e">
        <f t="shared" si="4"/>
        <v>#REF!</v>
      </c>
    </row>
    <row r="167" spans="2:42" x14ac:dyDescent="0.25">
      <c r="B167" t="e">
        <f>#REF!</f>
        <v>#REF!</v>
      </c>
      <c r="C167" t="e">
        <f>#REF!</f>
        <v>#REF!</v>
      </c>
      <c r="D167" t="e">
        <f>#REF!</f>
        <v>#REF!</v>
      </c>
      <c r="E167" s="14" t="e">
        <f>#REF!</f>
        <v>#REF!</v>
      </c>
      <c r="F167" t="e">
        <f>#REF!</f>
        <v>#REF!</v>
      </c>
      <c r="G167" t="e">
        <f>#REF!</f>
        <v>#REF!</v>
      </c>
      <c r="H167" t="e">
        <f>#REF!</f>
        <v>#REF!</v>
      </c>
      <c r="I167" t="e">
        <f>#REF!</f>
        <v>#REF!</v>
      </c>
      <c r="J167" t="e">
        <f>#REF!</f>
        <v>#REF!</v>
      </c>
      <c r="K167" t="e">
        <f>#REF!</f>
        <v>#REF!</v>
      </c>
      <c r="L167" t="e">
        <f>#REF!</f>
        <v>#REF!</v>
      </c>
      <c r="M167" t="e">
        <f>#REF!</f>
        <v>#REF!</v>
      </c>
      <c r="N167" t="e">
        <f>#REF!</f>
        <v>#REF!</v>
      </c>
      <c r="O167" t="e">
        <f>#REF!</f>
        <v>#REF!</v>
      </c>
      <c r="P167" t="e">
        <f>#REF!</f>
        <v>#REF!</v>
      </c>
      <c r="Q167" t="e">
        <f>#REF!</f>
        <v>#REF!</v>
      </c>
      <c r="R167" t="e">
        <f>#REF!</f>
        <v>#REF!</v>
      </c>
      <c r="S167" t="e">
        <f>#REF!</f>
        <v>#REF!</v>
      </c>
      <c r="T167" t="e">
        <f>#REF!</f>
        <v>#REF!</v>
      </c>
      <c r="U167" t="e">
        <f>#REF!</f>
        <v>#REF!</v>
      </c>
      <c r="V167" t="e">
        <f>#REF!</f>
        <v>#REF!</v>
      </c>
      <c r="W167" t="e">
        <f>#REF!</f>
        <v>#REF!</v>
      </c>
      <c r="X167" t="e">
        <f>#REF!</f>
        <v>#REF!</v>
      </c>
      <c r="Y167" t="e">
        <f>#REF!</f>
        <v>#REF!</v>
      </c>
      <c r="Z167" t="e">
        <f>#REF!</f>
        <v>#REF!</v>
      </c>
      <c r="AA167" t="e">
        <f>#REF!</f>
        <v>#REF!</v>
      </c>
      <c r="AB167" t="e">
        <f>#REF!</f>
        <v>#REF!</v>
      </c>
      <c r="AC167" t="e">
        <f>#REF!</f>
        <v>#REF!</v>
      </c>
      <c r="AD167" t="e">
        <f>#REF!</f>
        <v>#REF!</v>
      </c>
      <c r="AE167" t="e">
        <f>#REF!</f>
        <v>#REF!</v>
      </c>
      <c r="AF167" t="e">
        <f>#REF!</f>
        <v>#REF!</v>
      </c>
      <c r="AG167" t="e">
        <f>#REF!</f>
        <v>#REF!</v>
      </c>
      <c r="AH167" t="e">
        <f>#REF!</f>
        <v>#REF!</v>
      </c>
      <c r="AI167" t="e">
        <f>#REF!</f>
        <v>#REF!</v>
      </c>
      <c r="AO167" s="159" t="e">
        <f>IF(#REF!="",0,#REF!)</f>
        <v>#REF!</v>
      </c>
      <c r="AP167" s="160" t="e">
        <f t="shared" si="4"/>
        <v>#REF!</v>
      </c>
    </row>
    <row r="168" spans="2:42" x14ac:dyDescent="0.25">
      <c r="B168" t="e">
        <f>#REF!</f>
        <v>#REF!</v>
      </c>
      <c r="C168" t="e">
        <f>#REF!</f>
        <v>#REF!</v>
      </c>
      <c r="D168" t="e">
        <f>#REF!</f>
        <v>#REF!</v>
      </c>
      <c r="E168" s="14" t="e">
        <f>#REF!</f>
        <v>#REF!</v>
      </c>
      <c r="F168" t="e">
        <f>#REF!</f>
        <v>#REF!</v>
      </c>
      <c r="G168" t="e">
        <f>#REF!</f>
        <v>#REF!</v>
      </c>
      <c r="H168" t="e">
        <f>#REF!</f>
        <v>#REF!</v>
      </c>
      <c r="I168" t="e">
        <f>#REF!</f>
        <v>#REF!</v>
      </c>
      <c r="J168" t="e">
        <f>#REF!</f>
        <v>#REF!</v>
      </c>
      <c r="K168" t="e">
        <f>#REF!</f>
        <v>#REF!</v>
      </c>
      <c r="L168" t="e">
        <f>#REF!</f>
        <v>#REF!</v>
      </c>
      <c r="M168" t="e">
        <f>#REF!</f>
        <v>#REF!</v>
      </c>
      <c r="N168" t="e">
        <f>#REF!</f>
        <v>#REF!</v>
      </c>
      <c r="O168" t="e">
        <f>#REF!</f>
        <v>#REF!</v>
      </c>
      <c r="P168" t="e">
        <f>#REF!</f>
        <v>#REF!</v>
      </c>
      <c r="Q168" t="e">
        <f>#REF!</f>
        <v>#REF!</v>
      </c>
      <c r="R168" t="e">
        <f>#REF!</f>
        <v>#REF!</v>
      </c>
      <c r="S168" t="e">
        <f>#REF!</f>
        <v>#REF!</v>
      </c>
      <c r="T168" t="e">
        <f>#REF!</f>
        <v>#REF!</v>
      </c>
      <c r="U168" t="e">
        <f>#REF!</f>
        <v>#REF!</v>
      </c>
      <c r="V168" t="e">
        <f>#REF!</f>
        <v>#REF!</v>
      </c>
      <c r="W168" t="e">
        <f>#REF!</f>
        <v>#REF!</v>
      </c>
      <c r="X168" t="e">
        <f>#REF!</f>
        <v>#REF!</v>
      </c>
      <c r="Y168" t="e">
        <f>#REF!</f>
        <v>#REF!</v>
      </c>
      <c r="Z168" t="e">
        <f>#REF!</f>
        <v>#REF!</v>
      </c>
      <c r="AA168" t="e">
        <f>#REF!</f>
        <v>#REF!</v>
      </c>
      <c r="AB168" t="e">
        <f>#REF!</f>
        <v>#REF!</v>
      </c>
      <c r="AC168" t="e">
        <f>#REF!</f>
        <v>#REF!</v>
      </c>
      <c r="AD168" t="e">
        <f>#REF!</f>
        <v>#REF!</v>
      </c>
      <c r="AE168" t="e">
        <f>#REF!</f>
        <v>#REF!</v>
      </c>
      <c r="AF168" t="e">
        <f>#REF!</f>
        <v>#REF!</v>
      </c>
      <c r="AG168" t="e">
        <f>#REF!</f>
        <v>#REF!</v>
      </c>
      <c r="AH168" t="e">
        <f>#REF!</f>
        <v>#REF!</v>
      </c>
      <c r="AI168" t="e">
        <f>#REF!</f>
        <v>#REF!</v>
      </c>
      <c r="AO168" s="159" t="e">
        <f>IF(#REF!="",0,#REF!)</f>
        <v>#REF!</v>
      </c>
      <c r="AP168" s="160" t="e">
        <f t="shared" si="4"/>
        <v>#REF!</v>
      </c>
    </row>
    <row r="169" spans="2:42" x14ac:dyDescent="0.25">
      <c r="B169" t="e">
        <f>#REF!</f>
        <v>#REF!</v>
      </c>
      <c r="C169" t="e">
        <f>#REF!</f>
        <v>#REF!</v>
      </c>
      <c r="D169" t="e">
        <f>#REF!</f>
        <v>#REF!</v>
      </c>
      <c r="E169" s="14" t="e">
        <f>#REF!</f>
        <v>#REF!</v>
      </c>
      <c r="F169" t="e">
        <f>#REF!</f>
        <v>#REF!</v>
      </c>
      <c r="G169" t="e">
        <f>#REF!</f>
        <v>#REF!</v>
      </c>
      <c r="H169" t="e">
        <f>#REF!</f>
        <v>#REF!</v>
      </c>
      <c r="I169" t="e">
        <f>#REF!</f>
        <v>#REF!</v>
      </c>
      <c r="J169" t="e">
        <f>#REF!</f>
        <v>#REF!</v>
      </c>
      <c r="K169" t="e">
        <f>#REF!</f>
        <v>#REF!</v>
      </c>
      <c r="L169" t="e">
        <f>#REF!</f>
        <v>#REF!</v>
      </c>
      <c r="M169" t="e">
        <f>#REF!</f>
        <v>#REF!</v>
      </c>
      <c r="N169" t="e">
        <f>#REF!</f>
        <v>#REF!</v>
      </c>
      <c r="O169" t="e">
        <f>#REF!</f>
        <v>#REF!</v>
      </c>
      <c r="P169" t="e">
        <f>#REF!</f>
        <v>#REF!</v>
      </c>
      <c r="Q169" t="e">
        <f>#REF!</f>
        <v>#REF!</v>
      </c>
      <c r="R169" t="e">
        <f>#REF!</f>
        <v>#REF!</v>
      </c>
      <c r="S169" t="e">
        <f>#REF!</f>
        <v>#REF!</v>
      </c>
      <c r="T169" t="e">
        <f>#REF!</f>
        <v>#REF!</v>
      </c>
      <c r="U169" t="e">
        <f>#REF!</f>
        <v>#REF!</v>
      </c>
      <c r="V169" t="e">
        <f>#REF!</f>
        <v>#REF!</v>
      </c>
      <c r="W169" t="e">
        <f>#REF!</f>
        <v>#REF!</v>
      </c>
      <c r="X169" t="e">
        <f>#REF!</f>
        <v>#REF!</v>
      </c>
      <c r="Y169" t="e">
        <f>#REF!</f>
        <v>#REF!</v>
      </c>
      <c r="Z169" t="e">
        <f>#REF!</f>
        <v>#REF!</v>
      </c>
      <c r="AA169" t="e">
        <f>#REF!</f>
        <v>#REF!</v>
      </c>
      <c r="AB169" t="e">
        <f>#REF!</f>
        <v>#REF!</v>
      </c>
      <c r="AC169" t="e">
        <f>#REF!</f>
        <v>#REF!</v>
      </c>
      <c r="AD169" t="e">
        <f>#REF!</f>
        <v>#REF!</v>
      </c>
      <c r="AE169" t="e">
        <f>#REF!</f>
        <v>#REF!</v>
      </c>
      <c r="AF169" t="e">
        <f>#REF!</f>
        <v>#REF!</v>
      </c>
      <c r="AG169" t="e">
        <f>#REF!</f>
        <v>#REF!</v>
      </c>
      <c r="AH169" t="e">
        <f>#REF!</f>
        <v>#REF!</v>
      </c>
      <c r="AI169" t="e">
        <f>#REF!</f>
        <v>#REF!</v>
      </c>
      <c r="AO169" s="159" t="e">
        <f>IF(#REF!="",0,#REF!)</f>
        <v>#REF!</v>
      </c>
      <c r="AP169" s="160" t="e">
        <f t="shared" si="4"/>
        <v>#REF!</v>
      </c>
    </row>
    <row r="170" spans="2:42" x14ac:dyDescent="0.25">
      <c r="B170" t="e">
        <f>#REF!</f>
        <v>#REF!</v>
      </c>
      <c r="C170" t="e">
        <f>#REF!</f>
        <v>#REF!</v>
      </c>
      <c r="D170" t="e">
        <f>#REF!</f>
        <v>#REF!</v>
      </c>
      <c r="E170" s="14" t="e">
        <f>#REF!</f>
        <v>#REF!</v>
      </c>
      <c r="F170" t="e">
        <f>#REF!</f>
        <v>#REF!</v>
      </c>
      <c r="G170" t="e">
        <f>#REF!</f>
        <v>#REF!</v>
      </c>
      <c r="H170" t="e">
        <f>#REF!</f>
        <v>#REF!</v>
      </c>
      <c r="I170" t="e">
        <f>#REF!</f>
        <v>#REF!</v>
      </c>
      <c r="J170" t="e">
        <f>#REF!</f>
        <v>#REF!</v>
      </c>
      <c r="K170" t="e">
        <f>#REF!</f>
        <v>#REF!</v>
      </c>
      <c r="L170" t="e">
        <f>#REF!</f>
        <v>#REF!</v>
      </c>
      <c r="M170" t="e">
        <f>#REF!</f>
        <v>#REF!</v>
      </c>
      <c r="N170" t="e">
        <f>#REF!</f>
        <v>#REF!</v>
      </c>
      <c r="O170" t="e">
        <f>#REF!</f>
        <v>#REF!</v>
      </c>
      <c r="P170" t="e">
        <f>#REF!</f>
        <v>#REF!</v>
      </c>
      <c r="Q170" t="e">
        <f>#REF!</f>
        <v>#REF!</v>
      </c>
      <c r="R170" t="e">
        <f>#REF!</f>
        <v>#REF!</v>
      </c>
      <c r="S170" t="e">
        <f>#REF!</f>
        <v>#REF!</v>
      </c>
      <c r="T170" t="e">
        <f>#REF!</f>
        <v>#REF!</v>
      </c>
      <c r="U170" t="e">
        <f>#REF!</f>
        <v>#REF!</v>
      </c>
      <c r="V170" t="e">
        <f>#REF!</f>
        <v>#REF!</v>
      </c>
      <c r="W170" t="e">
        <f>#REF!</f>
        <v>#REF!</v>
      </c>
      <c r="X170" t="e">
        <f>#REF!</f>
        <v>#REF!</v>
      </c>
      <c r="Y170" t="e">
        <f>#REF!</f>
        <v>#REF!</v>
      </c>
      <c r="Z170" t="e">
        <f>#REF!</f>
        <v>#REF!</v>
      </c>
      <c r="AA170" t="e">
        <f>#REF!</f>
        <v>#REF!</v>
      </c>
      <c r="AB170" t="e">
        <f>#REF!</f>
        <v>#REF!</v>
      </c>
      <c r="AC170" t="e">
        <f>#REF!</f>
        <v>#REF!</v>
      </c>
      <c r="AD170" t="e">
        <f>#REF!</f>
        <v>#REF!</v>
      </c>
      <c r="AE170" t="e">
        <f>#REF!</f>
        <v>#REF!</v>
      </c>
      <c r="AF170" t="e">
        <f>#REF!</f>
        <v>#REF!</v>
      </c>
      <c r="AG170" t="e">
        <f>#REF!</f>
        <v>#REF!</v>
      </c>
      <c r="AH170" t="e">
        <f>#REF!</f>
        <v>#REF!</v>
      </c>
      <c r="AI170" t="e">
        <f>#REF!</f>
        <v>#REF!</v>
      </c>
      <c r="AO170" s="159" t="e">
        <f>IF(#REF!="",0,#REF!)</f>
        <v>#REF!</v>
      </c>
      <c r="AP170" s="160" t="e">
        <f t="shared" si="4"/>
        <v>#REF!</v>
      </c>
    </row>
    <row r="171" spans="2:42" x14ac:dyDescent="0.25">
      <c r="AP171" s="161"/>
    </row>
    <row r="172" spans="2:42" x14ac:dyDescent="0.25">
      <c r="AP172" s="161"/>
    </row>
    <row r="173" spans="2:42" x14ac:dyDescent="0.25">
      <c r="AP173" s="161"/>
    </row>
    <row r="174" spans="2:42" x14ac:dyDescent="0.25">
      <c r="AP174" s="161"/>
    </row>
    <row r="175" spans="2:42" x14ac:dyDescent="0.25">
      <c r="B175" t="e">
        <f>#REF!</f>
        <v>#REF!</v>
      </c>
      <c r="C175" t="e">
        <f>#REF!</f>
        <v>#REF!</v>
      </c>
      <c r="D175" t="e">
        <f>#REF!</f>
        <v>#REF!</v>
      </c>
      <c r="E175" s="14" t="e">
        <f>#REF!</f>
        <v>#REF!</v>
      </c>
      <c r="F175" t="e">
        <f>#REF!</f>
        <v>#REF!</v>
      </c>
      <c r="G175" t="e">
        <f>#REF!</f>
        <v>#REF!</v>
      </c>
      <c r="H175" t="e">
        <f>#REF!</f>
        <v>#REF!</v>
      </c>
      <c r="I175" t="e">
        <f>#REF!</f>
        <v>#REF!</v>
      </c>
      <c r="J175" t="e">
        <f>#REF!</f>
        <v>#REF!</v>
      </c>
      <c r="K175" t="e">
        <f>#REF!</f>
        <v>#REF!</v>
      </c>
      <c r="L175" t="e">
        <f>#REF!</f>
        <v>#REF!</v>
      </c>
      <c r="M175" t="e">
        <f>#REF!</f>
        <v>#REF!</v>
      </c>
      <c r="N175" t="e">
        <f>#REF!</f>
        <v>#REF!</v>
      </c>
      <c r="O175" t="e">
        <f>#REF!</f>
        <v>#REF!</v>
      </c>
      <c r="P175" t="e">
        <f>#REF!</f>
        <v>#REF!</v>
      </c>
      <c r="Q175" t="e">
        <f>#REF!</f>
        <v>#REF!</v>
      </c>
      <c r="R175" t="e">
        <f>#REF!</f>
        <v>#REF!</v>
      </c>
      <c r="S175" t="e">
        <f>#REF!</f>
        <v>#REF!</v>
      </c>
      <c r="T175" t="e">
        <f>#REF!</f>
        <v>#REF!</v>
      </c>
      <c r="U175" t="e">
        <f>#REF!</f>
        <v>#REF!</v>
      </c>
      <c r="V175" t="e">
        <f>#REF!</f>
        <v>#REF!</v>
      </c>
      <c r="W175" t="e">
        <f>#REF!</f>
        <v>#REF!</v>
      </c>
      <c r="X175" t="e">
        <f>#REF!</f>
        <v>#REF!</v>
      </c>
      <c r="Y175" t="e">
        <f>#REF!</f>
        <v>#REF!</v>
      </c>
      <c r="Z175" t="e">
        <f>#REF!</f>
        <v>#REF!</v>
      </c>
      <c r="AA175" t="e">
        <f>#REF!</f>
        <v>#REF!</v>
      </c>
      <c r="AB175" t="e">
        <f>#REF!</f>
        <v>#REF!</v>
      </c>
      <c r="AC175" t="e">
        <f>#REF!</f>
        <v>#REF!</v>
      </c>
      <c r="AD175" t="e">
        <f>#REF!</f>
        <v>#REF!</v>
      </c>
      <c r="AE175" t="e">
        <f>#REF!</f>
        <v>#REF!</v>
      </c>
      <c r="AF175" t="e">
        <f>#REF!</f>
        <v>#REF!</v>
      </c>
      <c r="AG175" t="e">
        <f>#REF!</f>
        <v>#REF!</v>
      </c>
      <c r="AH175" t="e">
        <f>#REF!</f>
        <v>#REF!</v>
      </c>
      <c r="AI175" t="e">
        <f>#REF!</f>
        <v>#REF!</v>
      </c>
      <c r="AO175" s="159" t="e">
        <f>IF(#REF!="",0,#REF!)</f>
        <v>#REF!</v>
      </c>
      <c r="AP175" s="160" t="e">
        <f t="shared" ref="AP175:AP204" si="5">SUM(F175:AI175)-AO175</f>
        <v>#REF!</v>
      </c>
    </row>
    <row r="176" spans="2:42" x14ac:dyDescent="0.25">
      <c r="B176" t="e">
        <f>#REF!</f>
        <v>#REF!</v>
      </c>
      <c r="C176" t="e">
        <f>#REF!</f>
        <v>#REF!</v>
      </c>
      <c r="D176" t="e">
        <f>#REF!</f>
        <v>#REF!</v>
      </c>
      <c r="E176" s="14" t="e">
        <f>#REF!</f>
        <v>#REF!</v>
      </c>
      <c r="F176" t="e">
        <f>#REF!</f>
        <v>#REF!</v>
      </c>
      <c r="G176" t="e">
        <f>#REF!</f>
        <v>#REF!</v>
      </c>
      <c r="H176" t="e">
        <f>#REF!</f>
        <v>#REF!</v>
      </c>
      <c r="I176" t="e">
        <f>#REF!</f>
        <v>#REF!</v>
      </c>
      <c r="J176" t="e">
        <f>#REF!</f>
        <v>#REF!</v>
      </c>
      <c r="K176" t="e">
        <f>#REF!</f>
        <v>#REF!</v>
      </c>
      <c r="L176" t="e">
        <f>#REF!</f>
        <v>#REF!</v>
      </c>
      <c r="M176" t="e">
        <f>#REF!</f>
        <v>#REF!</v>
      </c>
      <c r="N176" t="e">
        <f>#REF!</f>
        <v>#REF!</v>
      </c>
      <c r="O176" t="e">
        <f>#REF!</f>
        <v>#REF!</v>
      </c>
      <c r="P176" t="e">
        <f>#REF!</f>
        <v>#REF!</v>
      </c>
      <c r="Q176" t="e">
        <f>#REF!</f>
        <v>#REF!</v>
      </c>
      <c r="R176" t="e">
        <f>#REF!</f>
        <v>#REF!</v>
      </c>
      <c r="S176" t="e">
        <f>#REF!</f>
        <v>#REF!</v>
      </c>
      <c r="T176" t="e">
        <f>#REF!</f>
        <v>#REF!</v>
      </c>
      <c r="U176" t="e">
        <f>#REF!</f>
        <v>#REF!</v>
      </c>
      <c r="V176" t="e">
        <f>#REF!</f>
        <v>#REF!</v>
      </c>
      <c r="W176" t="e">
        <f>#REF!</f>
        <v>#REF!</v>
      </c>
      <c r="X176" t="e">
        <f>#REF!</f>
        <v>#REF!</v>
      </c>
      <c r="Y176" t="e">
        <f>#REF!</f>
        <v>#REF!</v>
      </c>
      <c r="Z176" t="e">
        <f>#REF!</f>
        <v>#REF!</v>
      </c>
      <c r="AA176" t="e">
        <f>#REF!</f>
        <v>#REF!</v>
      </c>
      <c r="AB176" t="e">
        <f>#REF!</f>
        <v>#REF!</v>
      </c>
      <c r="AC176" t="e">
        <f>#REF!</f>
        <v>#REF!</v>
      </c>
      <c r="AD176" t="e">
        <f>#REF!</f>
        <v>#REF!</v>
      </c>
      <c r="AE176" t="e">
        <f>#REF!</f>
        <v>#REF!</v>
      </c>
      <c r="AF176" t="e">
        <f>#REF!</f>
        <v>#REF!</v>
      </c>
      <c r="AG176" t="e">
        <f>#REF!</f>
        <v>#REF!</v>
      </c>
      <c r="AH176" t="e">
        <f>#REF!</f>
        <v>#REF!</v>
      </c>
      <c r="AI176" t="e">
        <f>#REF!</f>
        <v>#REF!</v>
      </c>
      <c r="AO176" s="159" t="e">
        <f>IF(#REF!="",0,#REF!)</f>
        <v>#REF!</v>
      </c>
      <c r="AP176" s="160" t="e">
        <f t="shared" si="5"/>
        <v>#REF!</v>
      </c>
    </row>
    <row r="177" spans="2:42" x14ac:dyDescent="0.25">
      <c r="B177" t="e">
        <f>#REF!</f>
        <v>#REF!</v>
      </c>
      <c r="C177" t="e">
        <f>#REF!</f>
        <v>#REF!</v>
      </c>
      <c r="D177" t="e">
        <f>#REF!</f>
        <v>#REF!</v>
      </c>
      <c r="E177" s="14" t="e">
        <f>#REF!</f>
        <v>#REF!</v>
      </c>
      <c r="F177" t="e">
        <f>#REF!</f>
        <v>#REF!</v>
      </c>
      <c r="G177" t="e">
        <f>#REF!</f>
        <v>#REF!</v>
      </c>
      <c r="H177" t="e">
        <f>#REF!</f>
        <v>#REF!</v>
      </c>
      <c r="I177" t="e">
        <f>#REF!</f>
        <v>#REF!</v>
      </c>
      <c r="J177" t="e">
        <f>#REF!</f>
        <v>#REF!</v>
      </c>
      <c r="K177" t="e">
        <f>#REF!</f>
        <v>#REF!</v>
      </c>
      <c r="L177" t="e">
        <f>#REF!</f>
        <v>#REF!</v>
      </c>
      <c r="M177" t="e">
        <f>#REF!</f>
        <v>#REF!</v>
      </c>
      <c r="N177" t="e">
        <f>#REF!</f>
        <v>#REF!</v>
      </c>
      <c r="O177" t="e">
        <f>#REF!</f>
        <v>#REF!</v>
      </c>
      <c r="P177" t="e">
        <f>#REF!</f>
        <v>#REF!</v>
      </c>
      <c r="Q177" t="e">
        <f>#REF!</f>
        <v>#REF!</v>
      </c>
      <c r="R177" t="e">
        <f>#REF!</f>
        <v>#REF!</v>
      </c>
      <c r="S177" t="e">
        <f>#REF!</f>
        <v>#REF!</v>
      </c>
      <c r="T177" t="e">
        <f>#REF!</f>
        <v>#REF!</v>
      </c>
      <c r="U177" t="e">
        <f>#REF!</f>
        <v>#REF!</v>
      </c>
      <c r="V177" t="e">
        <f>#REF!</f>
        <v>#REF!</v>
      </c>
      <c r="W177" t="e">
        <f>#REF!</f>
        <v>#REF!</v>
      </c>
      <c r="X177" t="e">
        <f>#REF!</f>
        <v>#REF!</v>
      </c>
      <c r="Y177" t="e">
        <f>#REF!</f>
        <v>#REF!</v>
      </c>
      <c r="Z177" t="e">
        <f>#REF!</f>
        <v>#REF!</v>
      </c>
      <c r="AA177" t="e">
        <f>#REF!</f>
        <v>#REF!</v>
      </c>
      <c r="AB177" t="e">
        <f>#REF!</f>
        <v>#REF!</v>
      </c>
      <c r="AC177" t="e">
        <f>#REF!</f>
        <v>#REF!</v>
      </c>
      <c r="AD177" t="e">
        <f>#REF!</f>
        <v>#REF!</v>
      </c>
      <c r="AE177" t="e">
        <f>#REF!</f>
        <v>#REF!</v>
      </c>
      <c r="AF177" t="e">
        <f>#REF!</f>
        <v>#REF!</v>
      </c>
      <c r="AG177" t="e">
        <f>#REF!</f>
        <v>#REF!</v>
      </c>
      <c r="AH177" t="e">
        <f>#REF!</f>
        <v>#REF!</v>
      </c>
      <c r="AI177" t="e">
        <f>#REF!</f>
        <v>#REF!</v>
      </c>
      <c r="AO177" s="159" t="e">
        <f>IF(#REF!="",0,#REF!)</f>
        <v>#REF!</v>
      </c>
      <c r="AP177" s="160" t="e">
        <f t="shared" si="5"/>
        <v>#REF!</v>
      </c>
    </row>
    <row r="178" spans="2:42" x14ac:dyDescent="0.25">
      <c r="B178" t="e">
        <f>#REF!</f>
        <v>#REF!</v>
      </c>
      <c r="C178" t="e">
        <f>#REF!</f>
        <v>#REF!</v>
      </c>
      <c r="D178" t="e">
        <f>#REF!</f>
        <v>#REF!</v>
      </c>
      <c r="E178" s="14" t="e">
        <f>#REF!</f>
        <v>#REF!</v>
      </c>
      <c r="F178" t="e">
        <f>#REF!</f>
        <v>#REF!</v>
      </c>
      <c r="G178" t="e">
        <f>#REF!</f>
        <v>#REF!</v>
      </c>
      <c r="H178" t="e">
        <f>#REF!</f>
        <v>#REF!</v>
      </c>
      <c r="I178" t="e">
        <f>#REF!</f>
        <v>#REF!</v>
      </c>
      <c r="J178" t="e">
        <f>#REF!</f>
        <v>#REF!</v>
      </c>
      <c r="K178" t="e">
        <f>#REF!</f>
        <v>#REF!</v>
      </c>
      <c r="L178" t="e">
        <f>#REF!</f>
        <v>#REF!</v>
      </c>
      <c r="M178" t="e">
        <f>#REF!</f>
        <v>#REF!</v>
      </c>
      <c r="N178" t="e">
        <f>#REF!</f>
        <v>#REF!</v>
      </c>
      <c r="O178" t="e">
        <f>#REF!</f>
        <v>#REF!</v>
      </c>
      <c r="P178" t="e">
        <f>#REF!</f>
        <v>#REF!</v>
      </c>
      <c r="Q178" t="e">
        <f>#REF!</f>
        <v>#REF!</v>
      </c>
      <c r="R178" t="e">
        <f>#REF!</f>
        <v>#REF!</v>
      </c>
      <c r="S178" t="e">
        <f>#REF!</f>
        <v>#REF!</v>
      </c>
      <c r="T178" t="e">
        <f>#REF!</f>
        <v>#REF!</v>
      </c>
      <c r="U178" t="e">
        <f>#REF!</f>
        <v>#REF!</v>
      </c>
      <c r="V178" t="e">
        <f>#REF!</f>
        <v>#REF!</v>
      </c>
      <c r="W178" t="e">
        <f>#REF!</f>
        <v>#REF!</v>
      </c>
      <c r="X178" t="e">
        <f>#REF!</f>
        <v>#REF!</v>
      </c>
      <c r="Y178" t="e">
        <f>#REF!</f>
        <v>#REF!</v>
      </c>
      <c r="Z178" t="e">
        <f>#REF!</f>
        <v>#REF!</v>
      </c>
      <c r="AA178" t="e">
        <f>#REF!</f>
        <v>#REF!</v>
      </c>
      <c r="AB178" t="e">
        <f>#REF!</f>
        <v>#REF!</v>
      </c>
      <c r="AC178" t="e">
        <f>#REF!</f>
        <v>#REF!</v>
      </c>
      <c r="AD178" t="e">
        <f>#REF!</f>
        <v>#REF!</v>
      </c>
      <c r="AE178" t="e">
        <f>#REF!</f>
        <v>#REF!</v>
      </c>
      <c r="AF178" t="e">
        <f>#REF!</f>
        <v>#REF!</v>
      </c>
      <c r="AG178" t="e">
        <f>#REF!</f>
        <v>#REF!</v>
      </c>
      <c r="AH178" t="e">
        <f>#REF!</f>
        <v>#REF!</v>
      </c>
      <c r="AI178" t="e">
        <f>#REF!</f>
        <v>#REF!</v>
      </c>
      <c r="AO178" s="159" t="e">
        <f>IF(#REF!="",0,#REF!)</f>
        <v>#REF!</v>
      </c>
      <c r="AP178" s="160" t="e">
        <f t="shared" si="5"/>
        <v>#REF!</v>
      </c>
    </row>
    <row r="179" spans="2:42" x14ac:dyDescent="0.25">
      <c r="B179" t="e">
        <f>#REF!</f>
        <v>#REF!</v>
      </c>
      <c r="C179" t="e">
        <f>#REF!</f>
        <v>#REF!</v>
      </c>
      <c r="D179" t="e">
        <f>#REF!</f>
        <v>#REF!</v>
      </c>
      <c r="E179" s="14" t="e">
        <f>#REF!</f>
        <v>#REF!</v>
      </c>
      <c r="F179" t="e">
        <f>#REF!</f>
        <v>#REF!</v>
      </c>
      <c r="G179" t="e">
        <f>#REF!</f>
        <v>#REF!</v>
      </c>
      <c r="H179" t="e">
        <f>#REF!</f>
        <v>#REF!</v>
      </c>
      <c r="I179" t="e">
        <f>#REF!</f>
        <v>#REF!</v>
      </c>
      <c r="J179" t="e">
        <f>#REF!</f>
        <v>#REF!</v>
      </c>
      <c r="K179" t="e">
        <f>#REF!</f>
        <v>#REF!</v>
      </c>
      <c r="L179" t="e">
        <f>#REF!</f>
        <v>#REF!</v>
      </c>
      <c r="M179" t="e">
        <f>#REF!</f>
        <v>#REF!</v>
      </c>
      <c r="N179" t="e">
        <f>#REF!</f>
        <v>#REF!</v>
      </c>
      <c r="O179" t="e">
        <f>#REF!</f>
        <v>#REF!</v>
      </c>
      <c r="P179" t="e">
        <f>#REF!</f>
        <v>#REF!</v>
      </c>
      <c r="Q179" t="e">
        <f>#REF!</f>
        <v>#REF!</v>
      </c>
      <c r="R179" t="e">
        <f>#REF!</f>
        <v>#REF!</v>
      </c>
      <c r="S179" t="e">
        <f>#REF!</f>
        <v>#REF!</v>
      </c>
      <c r="T179" t="e">
        <f>#REF!</f>
        <v>#REF!</v>
      </c>
      <c r="U179" t="e">
        <f>#REF!</f>
        <v>#REF!</v>
      </c>
      <c r="V179" t="e">
        <f>#REF!</f>
        <v>#REF!</v>
      </c>
      <c r="W179" t="e">
        <f>#REF!</f>
        <v>#REF!</v>
      </c>
      <c r="X179" t="e">
        <f>#REF!</f>
        <v>#REF!</v>
      </c>
      <c r="Y179" t="e">
        <f>#REF!</f>
        <v>#REF!</v>
      </c>
      <c r="Z179" t="e">
        <f>#REF!</f>
        <v>#REF!</v>
      </c>
      <c r="AA179" t="e">
        <f>#REF!</f>
        <v>#REF!</v>
      </c>
      <c r="AB179" t="e">
        <f>#REF!</f>
        <v>#REF!</v>
      </c>
      <c r="AC179" t="e">
        <f>#REF!</f>
        <v>#REF!</v>
      </c>
      <c r="AD179" t="e">
        <f>#REF!</f>
        <v>#REF!</v>
      </c>
      <c r="AE179" t="e">
        <f>#REF!</f>
        <v>#REF!</v>
      </c>
      <c r="AF179" t="e">
        <f>#REF!</f>
        <v>#REF!</v>
      </c>
      <c r="AG179" t="e">
        <f>#REF!</f>
        <v>#REF!</v>
      </c>
      <c r="AH179" t="e">
        <f>#REF!</f>
        <v>#REF!</v>
      </c>
      <c r="AI179" t="e">
        <f>#REF!</f>
        <v>#REF!</v>
      </c>
      <c r="AO179" s="159" t="e">
        <f>IF(#REF!="",0,#REF!)</f>
        <v>#REF!</v>
      </c>
      <c r="AP179" s="160" t="e">
        <f t="shared" si="5"/>
        <v>#REF!</v>
      </c>
    </row>
    <row r="180" spans="2:42" x14ac:dyDescent="0.25">
      <c r="B180" t="e">
        <f>#REF!</f>
        <v>#REF!</v>
      </c>
      <c r="C180" t="e">
        <f>#REF!</f>
        <v>#REF!</v>
      </c>
      <c r="D180" t="e">
        <f>#REF!</f>
        <v>#REF!</v>
      </c>
      <c r="E180" s="14" t="e">
        <f>#REF!</f>
        <v>#REF!</v>
      </c>
      <c r="F180" t="e">
        <f>#REF!</f>
        <v>#REF!</v>
      </c>
      <c r="G180" t="e">
        <f>#REF!</f>
        <v>#REF!</v>
      </c>
      <c r="H180" t="e">
        <f>#REF!</f>
        <v>#REF!</v>
      </c>
      <c r="I180" t="e">
        <f>#REF!</f>
        <v>#REF!</v>
      </c>
      <c r="J180" t="e">
        <f>#REF!</f>
        <v>#REF!</v>
      </c>
      <c r="K180" t="e">
        <f>#REF!</f>
        <v>#REF!</v>
      </c>
      <c r="L180" t="e">
        <f>#REF!</f>
        <v>#REF!</v>
      </c>
      <c r="M180" t="e">
        <f>#REF!</f>
        <v>#REF!</v>
      </c>
      <c r="N180" t="e">
        <f>#REF!</f>
        <v>#REF!</v>
      </c>
      <c r="O180" t="e">
        <f>#REF!</f>
        <v>#REF!</v>
      </c>
      <c r="P180" t="e">
        <f>#REF!</f>
        <v>#REF!</v>
      </c>
      <c r="Q180" t="e">
        <f>#REF!</f>
        <v>#REF!</v>
      </c>
      <c r="R180" t="e">
        <f>#REF!</f>
        <v>#REF!</v>
      </c>
      <c r="S180" t="e">
        <f>#REF!</f>
        <v>#REF!</v>
      </c>
      <c r="T180" t="e">
        <f>#REF!</f>
        <v>#REF!</v>
      </c>
      <c r="U180" t="e">
        <f>#REF!</f>
        <v>#REF!</v>
      </c>
      <c r="V180" t="e">
        <f>#REF!</f>
        <v>#REF!</v>
      </c>
      <c r="W180" t="e">
        <f>#REF!</f>
        <v>#REF!</v>
      </c>
      <c r="X180" t="e">
        <f>#REF!</f>
        <v>#REF!</v>
      </c>
      <c r="Y180" t="e">
        <f>#REF!</f>
        <v>#REF!</v>
      </c>
      <c r="Z180" t="e">
        <f>#REF!</f>
        <v>#REF!</v>
      </c>
      <c r="AA180" t="e">
        <f>#REF!</f>
        <v>#REF!</v>
      </c>
      <c r="AB180" t="e">
        <f>#REF!</f>
        <v>#REF!</v>
      </c>
      <c r="AC180" t="e">
        <f>#REF!</f>
        <v>#REF!</v>
      </c>
      <c r="AD180" t="e">
        <f>#REF!</f>
        <v>#REF!</v>
      </c>
      <c r="AE180" t="e">
        <f>#REF!</f>
        <v>#REF!</v>
      </c>
      <c r="AF180" t="e">
        <f>#REF!</f>
        <v>#REF!</v>
      </c>
      <c r="AG180" t="e">
        <f>#REF!</f>
        <v>#REF!</v>
      </c>
      <c r="AH180" t="e">
        <f>#REF!</f>
        <v>#REF!</v>
      </c>
      <c r="AI180" t="e">
        <f>#REF!</f>
        <v>#REF!</v>
      </c>
      <c r="AO180" s="159" t="e">
        <f>IF(#REF!="",0,#REF!)</f>
        <v>#REF!</v>
      </c>
      <c r="AP180" s="160" t="e">
        <f t="shared" si="5"/>
        <v>#REF!</v>
      </c>
    </row>
    <row r="181" spans="2:42" x14ac:dyDescent="0.25">
      <c r="B181" t="e">
        <f>#REF!</f>
        <v>#REF!</v>
      </c>
      <c r="C181" t="e">
        <f>#REF!</f>
        <v>#REF!</v>
      </c>
      <c r="D181" t="e">
        <f>#REF!</f>
        <v>#REF!</v>
      </c>
      <c r="E181" s="14" t="e">
        <f>#REF!</f>
        <v>#REF!</v>
      </c>
      <c r="F181" t="e">
        <f>#REF!</f>
        <v>#REF!</v>
      </c>
      <c r="G181" t="e">
        <f>#REF!</f>
        <v>#REF!</v>
      </c>
      <c r="H181" t="e">
        <f>#REF!</f>
        <v>#REF!</v>
      </c>
      <c r="I181" t="e">
        <f>#REF!</f>
        <v>#REF!</v>
      </c>
      <c r="J181" t="e">
        <f>#REF!</f>
        <v>#REF!</v>
      </c>
      <c r="K181" t="e">
        <f>#REF!</f>
        <v>#REF!</v>
      </c>
      <c r="L181" t="e">
        <f>#REF!</f>
        <v>#REF!</v>
      </c>
      <c r="M181" t="e">
        <f>#REF!</f>
        <v>#REF!</v>
      </c>
      <c r="N181" t="e">
        <f>#REF!</f>
        <v>#REF!</v>
      </c>
      <c r="O181" t="e">
        <f>#REF!</f>
        <v>#REF!</v>
      </c>
      <c r="P181" t="e">
        <f>#REF!</f>
        <v>#REF!</v>
      </c>
      <c r="Q181" t="e">
        <f>#REF!</f>
        <v>#REF!</v>
      </c>
      <c r="R181" t="e">
        <f>#REF!</f>
        <v>#REF!</v>
      </c>
      <c r="S181" t="e">
        <f>#REF!</f>
        <v>#REF!</v>
      </c>
      <c r="T181" t="e">
        <f>#REF!</f>
        <v>#REF!</v>
      </c>
      <c r="U181" t="e">
        <f>#REF!</f>
        <v>#REF!</v>
      </c>
      <c r="V181" t="e">
        <f>#REF!</f>
        <v>#REF!</v>
      </c>
      <c r="W181" t="e">
        <f>#REF!</f>
        <v>#REF!</v>
      </c>
      <c r="X181" t="e">
        <f>#REF!</f>
        <v>#REF!</v>
      </c>
      <c r="Y181" t="e">
        <f>#REF!</f>
        <v>#REF!</v>
      </c>
      <c r="Z181" t="e">
        <f>#REF!</f>
        <v>#REF!</v>
      </c>
      <c r="AA181" t="e">
        <f>#REF!</f>
        <v>#REF!</v>
      </c>
      <c r="AB181" t="e">
        <f>#REF!</f>
        <v>#REF!</v>
      </c>
      <c r="AC181" t="e">
        <f>#REF!</f>
        <v>#REF!</v>
      </c>
      <c r="AD181" t="e">
        <f>#REF!</f>
        <v>#REF!</v>
      </c>
      <c r="AE181" t="e">
        <f>#REF!</f>
        <v>#REF!</v>
      </c>
      <c r="AF181" t="e">
        <f>#REF!</f>
        <v>#REF!</v>
      </c>
      <c r="AG181" t="e">
        <f>#REF!</f>
        <v>#REF!</v>
      </c>
      <c r="AH181" t="e">
        <f>#REF!</f>
        <v>#REF!</v>
      </c>
      <c r="AI181" t="e">
        <f>#REF!</f>
        <v>#REF!</v>
      </c>
      <c r="AO181" s="159" t="e">
        <f>IF(#REF!="",0,#REF!)</f>
        <v>#REF!</v>
      </c>
      <c r="AP181" s="160" t="e">
        <f t="shared" si="5"/>
        <v>#REF!</v>
      </c>
    </row>
    <row r="182" spans="2:42" x14ac:dyDescent="0.25">
      <c r="B182" t="e">
        <f>#REF!</f>
        <v>#REF!</v>
      </c>
      <c r="C182" t="e">
        <f>#REF!</f>
        <v>#REF!</v>
      </c>
      <c r="D182" t="e">
        <f>#REF!</f>
        <v>#REF!</v>
      </c>
      <c r="E182" s="14" t="e">
        <f>#REF!</f>
        <v>#REF!</v>
      </c>
      <c r="F182" t="e">
        <f>#REF!</f>
        <v>#REF!</v>
      </c>
      <c r="G182" t="e">
        <f>#REF!</f>
        <v>#REF!</v>
      </c>
      <c r="H182" t="e">
        <f>#REF!</f>
        <v>#REF!</v>
      </c>
      <c r="I182" t="e">
        <f>#REF!</f>
        <v>#REF!</v>
      </c>
      <c r="J182" t="e">
        <f>#REF!</f>
        <v>#REF!</v>
      </c>
      <c r="K182" t="e">
        <f>#REF!</f>
        <v>#REF!</v>
      </c>
      <c r="L182" t="e">
        <f>#REF!</f>
        <v>#REF!</v>
      </c>
      <c r="M182" t="e">
        <f>#REF!</f>
        <v>#REF!</v>
      </c>
      <c r="N182" t="e">
        <f>#REF!</f>
        <v>#REF!</v>
      </c>
      <c r="O182" t="e">
        <f>#REF!</f>
        <v>#REF!</v>
      </c>
      <c r="P182" t="e">
        <f>#REF!</f>
        <v>#REF!</v>
      </c>
      <c r="Q182" t="e">
        <f>#REF!</f>
        <v>#REF!</v>
      </c>
      <c r="R182" t="e">
        <f>#REF!</f>
        <v>#REF!</v>
      </c>
      <c r="S182" t="e">
        <f>#REF!</f>
        <v>#REF!</v>
      </c>
      <c r="T182" t="e">
        <f>#REF!</f>
        <v>#REF!</v>
      </c>
      <c r="U182" t="e">
        <f>#REF!</f>
        <v>#REF!</v>
      </c>
      <c r="V182" t="e">
        <f>#REF!</f>
        <v>#REF!</v>
      </c>
      <c r="W182" t="e">
        <f>#REF!</f>
        <v>#REF!</v>
      </c>
      <c r="X182" t="e">
        <f>#REF!</f>
        <v>#REF!</v>
      </c>
      <c r="Y182" t="e">
        <f>#REF!</f>
        <v>#REF!</v>
      </c>
      <c r="Z182" t="e">
        <f>#REF!</f>
        <v>#REF!</v>
      </c>
      <c r="AA182" t="e">
        <f>#REF!</f>
        <v>#REF!</v>
      </c>
      <c r="AB182" t="e">
        <f>#REF!</f>
        <v>#REF!</v>
      </c>
      <c r="AC182" t="e">
        <f>#REF!</f>
        <v>#REF!</v>
      </c>
      <c r="AD182" t="e">
        <f>#REF!</f>
        <v>#REF!</v>
      </c>
      <c r="AE182" t="e">
        <f>#REF!</f>
        <v>#REF!</v>
      </c>
      <c r="AF182" t="e">
        <f>#REF!</f>
        <v>#REF!</v>
      </c>
      <c r="AG182" t="e">
        <f>#REF!</f>
        <v>#REF!</v>
      </c>
      <c r="AH182" t="e">
        <f>#REF!</f>
        <v>#REF!</v>
      </c>
      <c r="AI182" t="e">
        <f>#REF!</f>
        <v>#REF!</v>
      </c>
      <c r="AO182" s="159" t="e">
        <f>IF(#REF!="",0,#REF!)</f>
        <v>#REF!</v>
      </c>
      <c r="AP182" s="160" t="e">
        <f t="shared" si="5"/>
        <v>#REF!</v>
      </c>
    </row>
    <row r="183" spans="2:42" x14ac:dyDescent="0.25">
      <c r="B183" t="e">
        <f>#REF!</f>
        <v>#REF!</v>
      </c>
      <c r="C183" t="e">
        <f>#REF!</f>
        <v>#REF!</v>
      </c>
      <c r="D183" t="e">
        <f>#REF!</f>
        <v>#REF!</v>
      </c>
      <c r="E183" s="14" t="e">
        <f>#REF!</f>
        <v>#REF!</v>
      </c>
      <c r="F183" t="e">
        <f>#REF!</f>
        <v>#REF!</v>
      </c>
      <c r="G183" t="e">
        <f>#REF!</f>
        <v>#REF!</v>
      </c>
      <c r="H183" t="e">
        <f>#REF!</f>
        <v>#REF!</v>
      </c>
      <c r="I183" t="e">
        <f>#REF!</f>
        <v>#REF!</v>
      </c>
      <c r="J183" t="e">
        <f>#REF!</f>
        <v>#REF!</v>
      </c>
      <c r="K183" t="e">
        <f>#REF!</f>
        <v>#REF!</v>
      </c>
      <c r="L183" t="e">
        <f>#REF!</f>
        <v>#REF!</v>
      </c>
      <c r="M183" t="e">
        <f>#REF!</f>
        <v>#REF!</v>
      </c>
      <c r="N183" t="e">
        <f>#REF!</f>
        <v>#REF!</v>
      </c>
      <c r="O183" t="e">
        <f>#REF!</f>
        <v>#REF!</v>
      </c>
      <c r="P183" t="e">
        <f>#REF!</f>
        <v>#REF!</v>
      </c>
      <c r="Q183" t="e">
        <f>#REF!</f>
        <v>#REF!</v>
      </c>
      <c r="R183" t="e">
        <f>#REF!</f>
        <v>#REF!</v>
      </c>
      <c r="S183" t="e">
        <f>#REF!</f>
        <v>#REF!</v>
      </c>
      <c r="T183" t="e">
        <f>#REF!</f>
        <v>#REF!</v>
      </c>
      <c r="U183" t="e">
        <f>#REF!</f>
        <v>#REF!</v>
      </c>
      <c r="V183" t="e">
        <f>#REF!</f>
        <v>#REF!</v>
      </c>
      <c r="W183" t="e">
        <f>#REF!</f>
        <v>#REF!</v>
      </c>
      <c r="X183" t="e">
        <f>#REF!</f>
        <v>#REF!</v>
      </c>
      <c r="Y183" t="e">
        <f>#REF!</f>
        <v>#REF!</v>
      </c>
      <c r="Z183" t="e">
        <f>#REF!</f>
        <v>#REF!</v>
      </c>
      <c r="AA183" t="e">
        <f>#REF!</f>
        <v>#REF!</v>
      </c>
      <c r="AB183" t="e">
        <f>#REF!</f>
        <v>#REF!</v>
      </c>
      <c r="AC183" t="e">
        <f>#REF!</f>
        <v>#REF!</v>
      </c>
      <c r="AD183" t="e">
        <f>#REF!</f>
        <v>#REF!</v>
      </c>
      <c r="AE183" t="e">
        <f>#REF!</f>
        <v>#REF!</v>
      </c>
      <c r="AF183" t="e">
        <f>#REF!</f>
        <v>#REF!</v>
      </c>
      <c r="AG183" t="e">
        <f>#REF!</f>
        <v>#REF!</v>
      </c>
      <c r="AH183" t="e">
        <f>#REF!</f>
        <v>#REF!</v>
      </c>
      <c r="AI183" t="e">
        <f>#REF!</f>
        <v>#REF!</v>
      </c>
      <c r="AO183" s="159" t="e">
        <f>IF(#REF!="",0,#REF!)</f>
        <v>#REF!</v>
      </c>
      <c r="AP183" s="160" t="e">
        <f t="shared" si="5"/>
        <v>#REF!</v>
      </c>
    </row>
    <row r="184" spans="2:42" x14ac:dyDescent="0.25">
      <c r="B184" t="e">
        <f>#REF!</f>
        <v>#REF!</v>
      </c>
      <c r="C184" t="e">
        <f>#REF!</f>
        <v>#REF!</v>
      </c>
      <c r="D184" t="e">
        <f>#REF!</f>
        <v>#REF!</v>
      </c>
      <c r="E184" s="14" t="e">
        <f>#REF!</f>
        <v>#REF!</v>
      </c>
      <c r="F184" t="e">
        <f>#REF!</f>
        <v>#REF!</v>
      </c>
      <c r="G184" t="e">
        <f>#REF!</f>
        <v>#REF!</v>
      </c>
      <c r="H184" t="e">
        <f>#REF!</f>
        <v>#REF!</v>
      </c>
      <c r="I184" t="e">
        <f>#REF!</f>
        <v>#REF!</v>
      </c>
      <c r="J184" t="e">
        <f>#REF!</f>
        <v>#REF!</v>
      </c>
      <c r="K184" t="e">
        <f>#REF!</f>
        <v>#REF!</v>
      </c>
      <c r="L184" t="e">
        <f>#REF!</f>
        <v>#REF!</v>
      </c>
      <c r="M184" t="e">
        <f>#REF!</f>
        <v>#REF!</v>
      </c>
      <c r="N184" t="e">
        <f>#REF!</f>
        <v>#REF!</v>
      </c>
      <c r="O184" t="e">
        <f>#REF!</f>
        <v>#REF!</v>
      </c>
      <c r="P184" t="e">
        <f>#REF!</f>
        <v>#REF!</v>
      </c>
      <c r="Q184" t="e">
        <f>#REF!</f>
        <v>#REF!</v>
      </c>
      <c r="R184" t="e">
        <f>#REF!</f>
        <v>#REF!</v>
      </c>
      <c r="S184" t="e">
        <f>#REF!</f>
        <v>#REF!</v>
      </c>
      <c r="T184" t="e">
        <f>#REF!</f>
        <v>#REF!</v>
      </c>
      <c r="U184" t="e">
        <f>#REF!</f>
        <v>#REF!</v>
      </c>
      <c r="V184" t="e">
        <f>#REF!</f>
        <v>#REF!</v>
      </c>
      <c r="W184" t="e">
        <f>#REF!</f>
        <v>#REF!</v>
      </c>
      <c r="X184" t="e">
        <f>#REF!</f>
        <v>#REF!</v>
      </c>
      <c r="Y184" t="e">
        <f>#REF!</f>
        <v>#REF!</v>
      </c>
      <c r="Z184" t="e">
        <f>#REF!</f>
        <v>#REF!</v>
      </c>
      <c r="AA184" t="e">
        <f>#REF!</f>
        <v>#REF!</v>
      </c>
      <c r="AB184" t="e">
        <f>#REF!</f>
        <v>#REF!</v>
      </c>
      <c r="AC184" t="e">
        <f>#REF!</f>
        <v>#REF!</v>
      </c>
      <c r="AD184" t="e">
        <f>#REF!</f>
        <v>#REF!</v>
      </c>
      <c r="AE184" t="e">
        <f>#REF!</f>
        <v>#REF!</v>
      </c>
      <c r="AF184" t="e">
        <f>#REF!</f>
        <v>#REF!</v>
      </c>
      <c r="AG184" t="e">
        <f>#REF!</f>
        <v>#REF!</v>
      </c>
      <c r="AH184" t="e">
        <f>#REF!</f>
        <v>#REF!</v>
      </c>
      <c r="AI184" t="e">
        <f>#REF!</f>
        <v>#REF!</v>
      </c>
      <c r="AO184" s="159" t="e">
        <f>IF(#REF!="",0,#REF!)</f>
        <v>#REF!</v>
      </c>
      <c r="AP184" s="160" t="e">
        <f t="shared" si="5"/>
        <v>#REF!</v>
      </c>
    </row>
    <row r="185" spans="2:42" x14ac:dyDescent="0.25">
      <c r="B185" t="e">
        <f>#REF!</f>
        <v>#REF!</v>
      </c>
      <c r="C185" t="e">
        <f>#REF!</f>
        <v>#REF!</v>
      </c>
      <c r="D185" t="e">
        <f>#REF!</f>
        <v>#REF!</v>
      </c>
      <c r="E185" s="14" t="e">
        <f>#REF!</f>
        <v>#REF!</v>
      </c>
      <c r="F185" t="e">
        <f>#REF!</f>
        <v>#REF!</v>
      </c>
      <c r="G185" t="e">
        <f>#REF!</f>
        <v>#REF!</v>
      </c>
      <c r="H185" t="e">
        <f>#REF!</f>
        <v>#REF!</v>
      </c>
      <c r="I185" t="e">
        <f>#REF!</f>
        <v>#REF!</v>
      </c>
      <c r="J185" t="e">
        <f>#REF!</f>
        <v>#REF!</v>
      </c>
      <c r="K185" t="e">
        <f>#REF!</f>
        <v>#REF!</v>
      </c>
      <c r="L185" t="e">
        <f>#REF!</f>
        <v>#REF!</v>
      </c>
      <c r="M185" t="e">
        <f>#REF!</f>
        <v>#REF!</v>
      </c>
      <c r="N185" t="e">
        <f>#REF!</f>
        <v>#REF!</v>
      </c>
      <c r="O185" t="e">
        <f>#REF!</f>
        <v>#REF!</v>
      </c>
      <c r="P185" t="e">
        <f>#REF!</f>
        <v>#REF!</v>
      </c>
      <c r="Q185" t="e">
        <f>#REF!</f>
        <v>#REF!</v>
      </c>
      <c r="R185" t="e">
        <f>#REF!</f>
        <v>#REF!</v>
      </c>
      <c r="S185" t="e">
        <f>#REF!</f>
        <v>#REF!</v>
      </c>
      <c r="T185" t="e">
        <f>#REF!</f>
        <v>#REF!</v>
      </c>
      <c r="U185" t="e">
        <f>#REF!</f>
        <v>#REF!</v>
      </c>
      <c r="V185" t="e">
        <f>#REF!</f>
        <v>#REF!</v>
      </c>
      <c r="W185" t="e">
        <f>#REF!</f>
        <v>#REF!</v>
      </c>
      <c r="X185" t="e">
        <f>#REF!</f>
        <v>#REF!</v>
      </c>
      <c r="Y185" t="e">
        <f>#REF!</f>
        <v>#REF!</v>
      </c>
      <c r="Z185" t="e">
        <f>#REF!</f>
        <v>#REF!</v>
      </c>
      <c r="AA185" t="e">
        <f>#REF!</f>
        <v>#REF!</v>
      </c>
      <c r="AB185" t="e">
        <f>#REF!</f>
        <v>#REF!</v>
      </c>
      <c r="AC185" t="e">
        <f>#REF!</f>
        <v>#REF!</v>
      </c>
      <c r="AD185" t="e">
        <f>#REF!</f>
        <v>#REF!</v>
      </c>
      <c r="AE185" t="e">
        <f>#REF!</f>
        <v>#REF!</v>
      </c>
      <c r="AF185" t="e">
        <f>#REF!</f>
        <v>#REF!</v>
      </c>
      <c r="AG185" t="e">
        <f>#REF!</f>
        <v>#REF!</v>
      </c>
      <c r="AH185" t="e">
        <f>#REF!</f>
        <v>#REF!</v>
      </c>
      <c r="AI185" t="e">
        <f>#REF!</f>
        <v>#REF!</v>
      </c>
      <c r="AO185" s="159" t="e">
        <f>IF(#REF!="",0,#REF!)</f>
        <v>#REF!</v>
      </c>
      <c r="AP185" s="160" t="e">
        <f t="shared" si="5"/>
        <v>#REF!</v>
      </c>
    </row>
    <row r="186" spans="2:42" x14ac:dyDescent="0.25">
      <c r="B186" t="e">
        <f>#REF!</f>
        <v>#REF!</v>
      </c>
      <c r="C186" t="e">
        <f>#REF!</f>
        <v>#REF!</v>
      </c>
      <c r="D186" t="e">
        <f>#REF!</f>
        <v>#REF!</v>
      </c>
      <c r="E186" s="14" t="e">
        <f>#REF!</f>
        <v>#REF!</v>
      </c>
      <c r="F186" t="e">
        <f>#REF!</f>
        <v>#REF!</v>
      </c>
      <c r="G186" t="e">
        <f>#REF!</f>
        <v>#REF!</v>
      </c>
      <c r="H186" t="e">
        <f>#REF!</f>
        <v>#REF!</v>
      </c>
      <c r="I186" t="e">
        <f>#REF!</f>
        <v>#REF!</v>
      </c>
      <c r="J186" t="e">
        <f>#REF!</f>
        <v>#REF!</v>
      </c>
      <c r="K186" t="e">
        <f>#REF!</f>
        <v>#REF!</v>
      </c>
      <c r="L186" t="e">
        <f>#REF!</f>
        <v>#REF!</v>
      </c>
      <c r="M186" t="e">
        <f>#REF!</f>
        <v>#REF!</v>
      </c>
      <c r="N186" t="e">
        <f>#REF!</f>
        <v>#REF!</v>
      </c>
      <c r="O186" t="e">
        <f>#REF!</f>
        <v>#REF!</v>
      </c>
      <c r="P186" t="e">
        <f>#REF!</f>
        <v>#REF!</v>
      </c>
      <c r="Q186" t="e">
        <f>#REF!</f>
        <v>#REF!</v>
      </c>
      <c r="R186" t="e">
        <f>#REF!</f>
        <v>#REF!</v>
      </c>
      <c r="S186" t="e">
        <f>#REF!</f>
        <v>#REF!</v>
      </c>
      <c r="T186" t="e">
        <f>#REF!</f>
        <v>#REF!</v>
      </c>
      <c r="U186" t="e">
        <f>#REF!</f>
        <v>#REF!</v>
      </c>
      <c r="V186" t="e">
        <f>#REF!</f>
        <v>#REF!</v>
      </c>
      <c r="W186" t="e">
        <f>#REF!</f>
        <v>#REF!</v>
      </c>
      <c r="X186" t="e">
        <f>#REF!</f>
        <v>#REF!</v>
      </c>
      <c r="Y186" t="e">
        <f>#REF!</f>
        <v>#REF!</v>
      </c>
      <c r="Z186" t="e">
        <f>#REF!</f>
        <v>#REF!</v>
      </c>
      <c r="AA186" t="e">
        <f>#REF!</f>
        <v>#REF!</v>
      </c>
      <c r="AB186" t="e">
        <f>#REF!</f>
        <v>#REF!</v>
      </c>
      <c r="AC186" t="e">
        <f>#REF!</f>
        <v>#REF!</v>
      </c>
      <c r="AD186" t="e">
        <f>#REF!</f>
        <v>#REF!</v>
      </c>
      <c r="AE186" t="e">
        <f>#REF!</f>
        <v>#REF!</v>
      </c>
      <c r="AF186" t="e">
        <f>#REF!</f>
        <v>#REF!</v>
      </c>
      <c r="AG186" t="e">
        <f>#REF!</f>
        <v>#REF!</v>
      </c>
      <c r="AH186" t="e">
        <f>#REF!</f>
        <v>#REF!</v>
      </c>
      <c r="AI186" t="e">
        <f>#REF!</f>
        <v>#REF!</v>
      </c>
      <c r="AO186" s="159" t="e">
        <f>IF(#REF!="",0,#REF!)</f>
        <v>#REF!</v>
      </c>
      <c r="AP186" s="160" t="e">
        <f t="shared" si="5"/>
        <v>#REF!</v>
      </c>
    </row>
    <row r="187" spans="2:42" x14ac:dyDescent="0.25">
      <c r="B187" t="e">
        <f>#REF!</f>
        <v>#REF!</v>
      </c>
      <c r="C187" t="e">
        <f>#REF!</f>
        <v>#REF!</v>
      </c>
      <c r="D187" t="e">
        <f>#REF!</f>
        <v>#REF!</v>
      </c>
      <c r="E187" s="14" t="e">
        <f>#REF!</f>
        <v>#REF!</v>
      </c>
      <c r="F187" t="e">
        <f>#REF!</f>
        <v>#REF!</v>
      </c>
      <c r="G187" t="e">
        <f>#REF!</f>
        <v>#REF!</v>
      </c>
      <c r="H187" t="e">
        <f>#REF!</f>
        <v>#REF!</v>
      </c>
      <c r="I187" t="e">
        <f>#REF!</f>
        <v>#REF!</v>
      </c>
      <c r="J187" t="e">
        <f>#REF!</f>
        <v>#REF!</v>
      </c>
      <c r="K187" t="e">
        <f>#REF!</f>
        <v>#REF!</v>
      </c>
      <c r="L187" t="e">
        <f>#REF!</f>
        <v>#REF!</v>
      </c>
      <c r="M187" t="e">
        <f>#REF!</f>
        <v>#REF!</v>
      </c>
      <c r="N187" t="e">
        <f>#REF!</f>
        <v>#REF!</v>
      </c>
      <c r="O187" t="e">
        <f>#REF!</f>
        <v>#REF!</v>
      </c>
      <c r="P187" t="e">
        <f>#REF!</f>
        <v>#REF!</v>
      </c>
      <c r="Q187" t="e">
        <f>#REF!</f>
        <v>#REF!</v>
      </c>
      <c r="R187" t="e">
        <f>#REF!</f>
        <v>#REF!</v>
      </c>
      <c r="S187" t="e">
        <f>#REF!</f>
        <v>#REF!</v>
      </c>
      <c r="T187" t="e">
        <f>#REF!</f>
        <v>#REF!</v>
      </c>
      <c r="U187" t="e">
        <f>#REF!</f>
        <v>#REF!</v>
      </c>
      <c r="V187" t="e">
        <f>#REF!</f>
        <v>#REF!</v>
      </c>
      <c r="W187" t="e">
        <f>#REF!</f>
        <v>#REF!</v>
      </c>
      <c r="X187" t="e">
        <f>#REF!</f>
        <v>#REF!</v>
      </c>
      <c r="Y187" t="e">
        <f>#REF!</f>
        <v>#REF!</v>
      </c>
      <c r="Z187" t="e">
        <f>#REF!</f>
        <v>#REF!</v>
      </c>
      <c r="AA187" t="e">
        <f>#REF!</f>
        <v>#REF!</v>
      </c>
      <c r="AB187" t="e">
        <f>#REF!</f>
        <v>#REF!</v>
      </c>
      <c r="AC187" t="e">
        <f>#REF!</f>
        <v>#REF!</v>
      </c>
      <c r="AD187" t="e">
        <f>#REF!</f>
        <v>#REF!</v>
      </c>
      <c r="AE187" t="e">
        <f>#REF!</f>
        <v>#REF!</v>
      </c>
      <c r="AF187" t="e">
        <f>#REF!</f>
        <v>#REF!</v>
      </c>
      <c r="AG187" t="e">
        <f>#REF!</f>
        <v>#REF!</v>
      </c>
      <c r="AH187" t="e">
        <f>#REF!</f>
        <v>#REF!</v>
      </c>
      <c r="AI187" t="e">
        <f>#REF!</f>
        <v>#REF!</v>
      </c>
      <c r="AO187" s="159" t="e">
        <f>IF(#REF!="",0,#REF!)</f>
        <v>#REF!</v>
      </c>
      <c r="AP187" s="160" t="e">
        <f t="shared" si="5"/>
        <v>#REF!</v>
      </c>
    </row>
    <row r="188" spans="2:42" x14ac:dyDescent="0.25">
      <c r="B188" t="e">
        <f>#REF!</f>
        <v>#REF!</v>
      </c>
      <c r="C188" t="e">
        <f>#REF!</f>
        <v>#REF!</v>
      </c>
      <c r="D188" t="e">
        <f>#REF!</f>
        <v>#REF!</v>
      </c>
      <c r="E188" s="14" t="e">
        <f>#REF!</f>
        <v>#REF!</v>
      </c>
      <c r="F188" t="e">
        <f>#REF!</f>
        <v>#REF!</v>
      </c>
      <c r="G188" t="e">
        <f>#REF!</f>
        <v>#REF!</v>
      </c>
      <c r="H188" t="e">
        <f>#REF!</f>
        <v>#REF!</v>
      </c>
      <c r="I188" t="e">
        <f>#REF!</f>
        <v>#REF!</v>
      </c>
      <c r="J188" t="e">
        <f>#REF!</f>
        <v>#REF!</v>
      </c>
      <c r="K188" t="e">
        <f>#REF!</f>
        <v>#REF!</v>
      </c>
      <c r="L188" t="e">
        <f>#REF!</f>
        <v>#REF!</v>
      </c>
      <c r="M188" t="e">
        <f>#REF!</f>
        <v>#REF!</v>
      </c>
      <c r="N188" t="e">
        <f>#REF!</f>
        <v>#REF!</v>
      </c>
      <c r="O188" t="e">
        <f>#REF!</f>
        <v>#REF!</v>
      </c>
      <c r="P188" t="e">
        <f>#REF!</f>
        <v>#REF!</v>
      </c>
      <c r="Q188" t="e">
        <f>#REF!</f>
        <v>#REF!</v>
      </c>
      <c r="R188" t="e">
        <f>#REF!</f>
        <v>#REF!</v>
      </c>
      <c r="S188" t="e">
        <f>#REF!</f>
        <v>#REF!</v>
      </c>
      <c r="T188" t="e">
        <f>#REF!</f>
        <v>#REF!</v>
      </c>
      <c r="U188" t="e">
        <f>#REF!</f>
        <v>#REF!</v>
      </c>
      <c r="V188" t="e">
        <f>#REF!</f>
        <v>#REF!</v>
      </c>
      <c r="W188" t="e">
        <f>#REF!</f>
        <v>#REF!</v>
      </c>
      <c r="X188" t="e">
        <f>#REF!</f>
        <v>#REF!</v>
      </c>
      <c r="Y188" t="e">
        <f>#REF!</f>
        <v>#REF!</v>
      </c>
      <c r="Z188" t="e">
        <f>#REF!</f>
        <v>#REF!</v>
      </c>
      <c r="AA188" t="e">
        <f>#REF!</f>
        <v>#REF!</v>
      </c>
      <c r="AB188" t="e">
        <f>#REF!</f>
        <v>#REF!</v>
      </c>
      <c r="AC188" t="e">
        <f>#REF!</f>
        <v>#REF!</v>
      </c>
      <c r="AD188" t="e">
        <f>#REF!</f>
        <v>#REF!</v>
      </c>
      <c r="AE188" t="e">
        <f>#REF!</f>
        <v>#REF!</v>
      </c>
      <c r="AF188" t="e">
        <f>#REF!</f>
        <v>#REF!</v>
      </c>
      <c r="AG188" t="e">
        <f>#REF!</f>
        <v>#REF!</v>
      </c>
      <c r="AH188" t="e">
        <f>#REF!</f>
        <v>#REF!</v>
      </c>
      <c r="AI188" t="e">
        <f>#REF!</f>
        <v>#REF!</v>
      </c>
      <c r="AO188" s="159" t="e">
        <f>IF(#REF!="",0,#REF!)</f>
        <v>#REF!</v>
      </c>
      <c r="AP188" s="160" t="e">
        <f t="shared" si="5"/>
        <v>#REF!</v>
      </c>
    </row>
    <row r="189" spans="2:42" x14ac:dyDescent="0.25">
      <c r="B189" t="e">
        <f>#REF!</f>
        <v>#REF!</v>
      </c>
      <c r="C189" t="e">
        <f>#REF!</f>
        <v>#REF!</v>
      </c>
      <c r="D189" t="e">
        <f>#REF!</f>
        <v>#REF!</v>
      </c>
      <c r="E189" s="14" t="e">
        <f>#REF!</f>
        <v>#REF!</v>
      </c>
      <c r="F189" t="e">
        <f>#REF!</f>
        <v>#REF!</v>
      </c>
      <c r="G189" t="e">
        <f>#REF!</f>
        <v>#REF!</v>
      </c>
      <c r="H189" t="e">
        <f>#REF!</f>
        <v>#REF!</v>
      </c>
      <c r="I189" t="e">
        <f>#REF!</f>
        <v>#REF!</v>
      </c>
      <c r="J189" t="e">
        <f>#REF!</f>
        <v>#REF!</v>
      </c>
      <c r="K189" t="e">
        <f>#REF!</f>
        <v>#REF!</v>
      </c>
      <c r="L189" t="e">
        <f>#REF!</f>
        <v>#REF!</v>
      </c>
      <c r="M189" t="e">
        <f>#REF!</f>
        <v>#REF!</v>
      </c>
      <c r="N189" t="e">
        <f>#REF!</f>
        <v>#REF!</v>
      </c>
      <c r="O189" t="e">
        <f>#REF!</f>
        <v>#REF!</v>
      </c>
      <c r="P189" t="e">
        <f>#REF!</f>
        <v>#REF!</v>
      </c>
      <c r="Q189" t="e">
        <f>#REF!</f>
        <v>#REF!</v>
      </c>
      <c r="R189" t="e">
        <f>#REF!</f>
        <v>#REF!</v>
      </c>
      <c r="S189" t="e">
        <f>#REF!</f>
        <v>#REF!</v>
      </c>
      <c r="T189" t="e">
        <f>#REF!</f>
        <v>#REF!</v>
      </c>
      <c r="U189" t="e">
        <f>#REF!</f>
        <v>#REF!</v>
      </c>
      <c r="V189" t="e">
        <f>#REF!</f>
        <v>#REF!</v>
      </c>
      <c r="W189" t="e">
        <f>#REF!</f>
        <v>#REF!</v>
      </c>
      <c r="X189" t="e">
        <f>#REF!</f>
        <v>#REF!</v>
      </c>
      <c r="Y189" t="e">
        <f>#REF!</f>
        <v>#REF!</v>
      </c>
      <c r="Z189" t="e">
        <f>#REF!</f>
        <v>#REF!</v>
      </c>
      <c r="AA189" t="e">
        <f>#REF!</f>
        <v>#REF!</v>
      </c>
      <c r="AB189" t="e">
        <f>#REF!</f>
        <v>#REF!</v>
      </c>
      <c r="AC189" t="e">
        <f>#REF!</f>
        <v>#REF!</v>
      </c>
      <c r="AD189" t="e">
        <f>#REF!</f>
        <v>#REF!</v>
      </c>
      <c r="AE189" t="e">
        <f>#REF!</f>
        <v>#REF!</v>
      </c>
      <c r="AF189" t="e">
        <f>#REF!</f>
        <v>#REF!</v>
      </c>
      <c r="AG189" t="e">
        <f>#REF!</f>
        <v>#REF!</v>
      </c>
      <c r="AH189" t="e">
        <f>#REF!</f>
        <v>#REF!</v>
      </c>
      <c r="AI189" t="e">
        <f>#REF!</f>
        <v>#REF!</v>
      </c>
      <c r="AO189" s="159" t="e">
        <f>IF(#REF!="",0,#REF!)</f>
        <v>#REF!</v>
      </c>
      <c r="AP189" s="160" t="e">
        <f t="shared" si="5"/>
        <v>#REF!</v>
      </c>
    </row>
    <row r="190" spans="2:42" x14ac:dyDescent="0.25">
      <c r="B190" t="e">
        <f>#REF!</f>
        <v>#REF!</v>
      </c>
      <c r="C190" t="e">
        <f>#REF!</f>
        <v>#REF!</v>
      </c>
      <c r="D190" t="e">
        <f>#REF!</f>
        <v>#REF!</v>
      </c>
      <c r="E190" s="14" t="e">
        <f>#REF!</f>
        <v>#REF!</v>
      </c>
      <c r="F190" t="e">
        <f>#REF!</f>
        <v>#REF!</v>
      </c>
      <c r="G190" t="e">
        <f>#REF!</f>
        <v>#REF!</v>
      </c>
      <c r="H190" t="e">
        <f>#REF!</f>
        <v>#REF!</v>
      </c>
      <c r="I190" t="e">
        <f>#REF!</f>
        <v>#REF!</v>
      </c>
      <c r="J190" t="e">
        <f>#REF!</f>
        <v>#REF!</v>
      </c>
      <c r="K190" t="e">
        <f>#REF!</f>
        <v>#REF!</v>
      </c>
      <c r="L190" t="e">
        <f>#REF!</f>
        <v>#REF!</v>
      </c>
      <c r="M190" t="e">
        <f>#REF!</f>
        <v>#REF!</v>
      </c>
      <c r="N190" t="e">
        <f>#REF!</f>
        <v>#REF!</v>
      </c>
      <c r="O190" t="e">
        <f>#REF!</f>
        <v>#REF!</v>
      </c>
      <c r="P190" t="e">
        <f>#REF!</f>
        <v>#REF!</v>
      </c>
      <c r="Q190" t="e">
        <f>#REF!</f>
        <v>#REF!</v>
      </c>
      <c r="R190" t="e">
        <f>#REF!</f>
        <v>#REF!</v>
      </c>
      <c r="S190" t="e">
        <f>#REF!</f>
        <v>#REF!</v>
      </c>
      <c r="T190" t="e">
        <f>#REF!</f>
        <v>#REF!</v>
      </c>
      <c r="U190" t="e">
        <f>#REF!</f>
        <v>#REF!</v>
      </c>
      <c r="V190" t="e">
        <f>#REF!</f>
        <v>#REF!</v>
      </c>
      <c r="W190" t="e">
        <f>#REF!</f>
        <v>#REF!</v>
      </c>
      <c r="X190" t="e">
        <f>#REF!</f>
        <v>#REF!</v>
      </c>
      <c r="Y190" t="e">
        <f>#REF!</f>
        <v>#REF!</v>
      </c>
      <c r="Z190" t="e">
        <f>#REF!</f>
        <v>#REF!</v>
      </c>
      <c r="AA190" t="e">
        <f>#REF!</f>
        <v>#REF!</v>
      </c>
      <c r="AB190" t="e">
        <f>#REF!</f>
        <v>#REF!</v>
      </c>
      <c r="AC190" t="e">
        <f>#REF!</f>
        <v>#REF!</v>
      </c>
      <c r="AD190" t="e">
        <f>#REF!</f>
        <v>#REF!</v>
      </c>
      <c r="AE190" t="e">
        <f>#REF!</f>
        <v>#REF!</v>
      </c>
      <c r="AF190" t="e">
        <f>#REF!</f>
        <v>#REF!</v>
      </c>
      <c r="AG190" t="e">
        <f>#REF!</f>
        <v>#REF!</v>
      </c>
      <c r="AH190" t="e">
        <f>#REF!</f>
        <v>#REF!</v>
      </c>
      <c r="AI190" t="e">
        <f>#REF!</f>
        <v>#REF!</v>
      </c>
      <c r="AO190" s="159" t="e">
        <f>IF(#REF!="",0,#REF!)</f>
        <v>#REF!</v>
      </c>
      <c r="AP190" s="160" t="e">
        <f t="shared" si="5"/>
        <v>#REF!</v>
      </c>
    </row>
    <row r="191" spans="2:42" x14ac:dyDescent="0.25">
      <c r="B191" t="e">
        <f>#REF!</f>
        <v>#REF!</v>
      </c>
      <c r="C191" t="e">
        <f>#REF!</f>
        <v>#REF!</v>
      </c>
      <c r="D191" t="e">
        <f>#REF!</f>
        <v>#REF!</v>
      </c>
      <c r="E191" s="14" t="e">
        <f>#REF!</f>
        <v>#REF!</v>
      </c>
      <c r="F191" t="e">
        <f>#REF!</f>
        <v>#REF!</v>
      </c>
      <c r="G191" t="e">
        <f>#REF!</f>
        <v>#REF!</v>
      </c>
      <c r="H191" t="e">
        <f>#REF!</f>
        <v>#REF!</v>
      </c>
      <c r="I191" t="e">
        <f>#REF!</f>
        <v>#REF!</v>
      </c>
      <c r="J191" t="e">
        <f>#REF!</f>
        <v>#REF!</v>
      </c>
      <c r="K191" t="e">
        <f>#REF!</f>
        <v>#REF!</v>
      </c>
      <c r="L191" t="e">
        <f>#REF!</f>
        <v>#REF!</v>
      </c>
      <c r="M191" t="e">
        <f>#REF!</f>
        <v>#REF!</v>
      </c>
      <c r="N191" t="e">
        <f>#REF!</f>
        <v>#REF!</v>
      </c>
      <c r="O191" t="e">
        <f>#REF!</f>
        <v>#REF!</v>
      </c>
      <c r="P191" t="e">
        <f>#REF!</f>
        <v>#REF!</v>
      </c>
      <c r="Q191" t="e">
        <f>#REF!</f>
        <v>#REF!</v>
      </c>
      <c r="R191" t="e">
        <f>#REF!</f>
        <v>#REF!</v>
      </c>
      <c r="S191" t="e">
        <f>#REF!</f>
        <v>#REF!</v>
      </c>
      <c r="T191" t="e">
        <f>#REF!</f>
        <v>#REF!</v>
      </c>
      <c r="U191" t="e">
        <f>#REF!</f>
        <v>#REF!</v>
      </c>
      <c r="V191" t="e">
        <f>#REF!</f>
        <v>#REF!</v>
      </c>
      <c r="W191" t="e">
        <f>#REF!</f>
        <v>#REF!</v>
      </c>
      <c r="X191" t="e">
        <f>#REF!</f>
        <v>#REF!</v>
      </c>
      <c r="Y191" t="e">
        <f>#REF!</f>
        <v>#REF!</v>
      </c>
      <c r="Z191" t="e">
        <f>#REF!</f>
        <v>#REF!</v>
      </c>
      <c r="AA191" t="e">
        <f>#REF!</f>
        <v>#REF!</v>
      </c>
      <c r="AB191" t="e">
        <f>#REF!</f>
        <v>#REF!</v>
      </c>
      <c r="AC191" t="e">
        <f>#REF!</f>
        <v>#REF!</v>
      </c>
      <c r="AD191" t="e">
        <f>#REF!</f>
        <v>#REF!</v>
      </c>
      <c r="AE191" t="e">
        <f>#REF!</f>
        <v>#REF!</v>
      </c>
      <c r="AF191" t="e">
        <f>#REF!</f>
        <v>#REF!</v>
      </c>
      <c r="AG191" t="e">
        <f>#REF!</f>
        <v>#REF!</v>
      </c>
      <c r="AH191" t="e">
        <f>#REF!</f>
        <v>#REF!</v>
      </c>
      <c r="AI191" t="e">
        <f>#REF!</f>
        <v>#REF!</v>
      </c>
      <c r="AO191" s="159" t="e">
        <f>IF(#REF!="",0,#REF!)</f>
        <v>#REF!</v>
      </c>
      <c r="AP191" s="160" t="e">
        <f t="shared" si="5"/>
        <v>#REF!</v>
      </c>
    </row>
    <row r="192" spans="2:42" x14ac:dyDescent="0.25">
      <c r="B192" t="e">
        <f>#REF!</f>
        <v>#REF!</v>
      </c>
      <c r="C192" t="e">
        <f>#REF!</f>
        <v>#REF!</v>
      </c>
      <c r="D192" t="e">
        <f>#REF!</f>
        <v>#REF!</v>
      </c>
      <c r="E192" s="14" t="e">
        <f>#REF!</f>
        <v>#REF!</v>
      </c>
      <c r="F192" t="e">
        <f>#REF!</f>
        <v>#REF!</v>
      </c>
      <c r="G192" t="e">
        <f>#REF!</f>
        <v>#REF!</v>
      </c>
      <c r="H192" t="e">
        <f>#REF!</f>
        <v>#REF!</v>
      </c>
      <c r="I192" t="e">
        <f>#REF!</f>
        <v>#REF!</v>
      </c>
      <c r="J192" t="e">
        <f>#REF!</f>
        <v>#REF!</v>
      </c>
      <c r="K192" t="e">
        <f>#REF!</f>
        <v>#REF!</v>
      </c>
      <c r="L192" t="e">
        <f>#REF!</f>
        <v>#REF!</v>
      </c>
      <c r="M192" t="e">
        <f>#REF!</f>
        <v>#REF!</v>
      </c>
      <c r="N192" t="e">
        <f>#REF!</f>
        <v>#REF!</v>
      </c>
      <c r="O192" t="e">
        <f>#REF!</f>
        <v>#REF!</v>
      </c>
      <c r="P192" t="e">
        <f>#REF!</f>
        <v>#REF!</v>
      </c>
      <c r="Q192" t="e">
        <f>#REF!</f>
        <v>#REF!</v>
      </c>
      <c r="R192" t="e">
        <f>#REF!</f>
        <v>#REF!</v>
      </c>
      <c r="S192" t="e">
        <f>#REF!</f>
        <v>#REF!</v>
      </c>
      <c r="T192" t="e">
        <f>#REF!</f>
        <v>#REF!</v>
      </c>
      <c r="U192" t="e">
        <f>#REF!</f>
        <v>#REF!</v>
      </c>
      <c r="V192" t="e">
        <f>#REF!</f>
        <v>#REF!</v>
      </c>
      <c r="W192" t="e">
        <f>#REF!</f>
        <v>#REF!</v>
      </c>
      <c r="X192" t="e">
        <f>#REF!</f>
        <v>#REF!</v>
      </c>
      <c r="Y192" t="e">
        <f>#REF!</f>
        <v>#REF!</v>
      </c>
      <c r="Z192" t="e">
        <f>#REF!</f>
        <v>#REF!</v>
      </c>
      <c r="AA192" t="e">
        <f>#REF!</f>
        <v>#REF!</v>
      </c>
      <c r="AB192" t="e">
        <f>#REF!</f>
        <v>#REF!</v>
      </c>
      <c r="AC192" t="e">
        <f>#REF!</f>
        <v>#REF!</v>
      </c>
      <c r="AD192" t="e">
        <f>#REF!</f>
        <v>#REF!</v>
      </c>
      <c r="AE192" t="e">
        <f>#REF!</f>
        <v>#REF!</v>
      </c>
      <c r="AF192" t="e">
        <f>#REF!</f>
        <v>#REF!</v>
      </c>
      <c r="AG192" t="e">
        <f>#REF!</f>
        <v>#REF!</v>
      </c>
      <c r="AH192" t="e">
        <f>#REF!</f>
        <v>#REF!</v>
      </c>
      <c r="AI192" t="e">
        <f>#REF!</f>
        <v>#REF!</v>
      </c>
      <c r="AO192" s="159" t="e">
        <f>IF(#REF!="",0,#REF!)</f>
        <v>#REF!</v>
      </c>
      <c r="AP192" s="160" t="e">
        <f t="shared" si="5"/>
        <v>#REF!</v>
      </c>
    </row>
    <row r="193" spans="2:42" x14ac:dyDescent="0.25">
      <c r="B193" t="e">
        <f>#REF!</f>
        <v>#REF!</v>
      </c>
      <c r="C193" t="e">
        <f>#REF!</f>
        <v>#REF!</v>
      </c>
      <c r="D193" t="e">
        <f>#REF!</f>
        <v>#REF!</v>
      </c>
      <c r="E193" s="14" t="e">
        <f>#REF!</f>
        <v>#REF!</v>
      </c>
      <c r="F193" t="e">
        <f>#REF!</f>
        <v>#REF!</v>
      </c>
      <c r="G193" t="e">
        <f>#REF!</f>
        <v>#REF!</v>
      </c>
      <c r="H193" t="e">
        <f>#REF!</f>
        <v>#REF!</v>
      </c>
      <c r="I193" t="e">
        <f>#REF!</f>
        <v>#REF!</v>
      </c>
      <c r="J193" t="e">
        <f>#REF!</f>
        <v>#REF!</v>
      </c>
      <c r="K193" t="e">
        <f>#REF!</f>
        <v>#REF!</v>
      </c>
      <c r="L193" t="e">
        <f>#REF!</f>
        <v>#REF!</v>
      </c>
      <c r="M193" t="e">
        <f>#REF!</f>
        <v>#REF!</v>
      </c>
      <c r="N193" t="e">
        <f>#REF!</f>
        <v>#REF!</v>
      </c>
      <c r="O193" t="e">
        <f>#REF!</f>
        <v>#REF!</v>
      </c>
      <c r="P193" t="e">
        <f>#REF!</f>
        <v>#REF!</v>
      </c>
      <c r="Q193" t="e">
        <f>#REF!</f>
        <v>#REF!</v>
      </c>
      <c r="R193" t="e">
        <f>#REF!</f>
        <v>#REF!</v>
      </c>
      <c r="S193" t="e">
        <f>#REF!</f>
        <v>#REF!</v>
      </c>
      <c r="T193" t="e">
        <f>#REF!</f>
        <v>#REF!</v>
      </c>
      <c r="U193" t="e">
        <f>#REF!</f>
        <v>#REF!</v>
      </c>
      <c r="V193" t="e">
        <f>#REF!</f>
        <v>#REF!</v>
      </c>
      <c r="W193" t="e">
        <f>#REF!</f>
        <v>#REF!</v>
      </c>
      <c r="X193" t="e">
        <f>#REF!</f>
        <v>#REF!</v>
      </c>
      <c r="Y193" t="e">
        <f>#REF!</f>
        <v>#REF!</v>
      </c>
      <c r="Z193" t="e">
        <f>#REF!</f>
        <v>#REF!</v>
      </c>
      <c r="AA193" t="e">
        <f>#REF!</f>
        <v>#REF!</v>
      </c>
      <c r="AB193" t="e">
        <f>#REF!</f>
        <v>#REF!</v>
      </c>
      <c r="AC193" t="e">
        <f>#REF!</f>
        <v>#REF!</v>
      </c>
      <c r="AD193" t="e">
        <f>#REF!</f>
        <v>#REF!</v>
      </c>
      <c r="AE193" t="e">
        <f>#REF!</f>
        <v>#REF!</v>
      </c>
      <c r="AF193" t="e">
        <f>#REF!</f>
        <v>#REF!</v>
      </c>
      <c r="AG193" t="e">
        <f>#REF!</f>
        <v>#REF!</v>
      </c>
      <c r="AH193" t="e">
        <f>#REF!</f>
        <v>#REF!</v>
      </c>
      <c r="AI193" t="e">
        <f>#REF!</f>
        <v>#REF!</v>
      </c>
      <c r="AO193" s="159" t="e">
        <f>IF(#REF!="",0,#REF!)</f>
        <v>#REF!</v>
      </c>
      <c r="AP193" s="160" t="e">
        <f t="shared" si="5"/>
        <v>#REF!</v>
      </c>
    </row>
    <row r="194" spans="2:42" x14ac:dyDescent="0.25">
      <c r="B194" t="e">
        <f>#REF!</f>
        <v>#REF!</v>
      </c>
      <c r="C194" t="e">
        <f>#REF!</f>
        <v>#REF!</v>
      </c>
      <c r="D194" t="e">
        <f>#REF!</f>
        <v>#REF!</v>
      </c>
      <c r="E194" s="14" t="e">
        <f>#REF!</f>
        <v>#REF!</v>
      </c>
      <c r="F194" t="e">
        <f>#REF!</f>
        <v>#REF!</v>
      </c>
      <c r="G194" t="e">
        <f>#REF!</f>
        <v>#REF!</v>
      </c>
      <c r="H194" t="e">
        <f>#REF!</f>
        <v>#REF!</v>
      </c>
      <c r="I194" t="e">
        <f>#REF!</f>
        <v>#REF!</v>
      </c>
      <c r="J194" t="e">
        <f>#REF!</f>
        <v>#REF!</v>
      </c>
      <c r="K194" t="e">
        <f>#REF!</f>
        <v>#REF!</v>
      </c>
      <c r="L194" t="e">
        <f>#REF!</f>
        <v>#REF!</v>
      </c>
      <c r="M194" t="e">
        <f>#REF!</f>
        <v>#REF!</v>
      </c>
      <c r="N194" t="e">
        <f>#REF!</f>
        <v>#REF!</v>
      </c>
      <c r="O194" t="e">
        <f>#REF!</f>
        <v>#REF!</v>
      </c>
      <c r="P194" t="e">
        <f>#REF!</f>
        <v>#REF!</v>
      </c>
      <c r="Q194" t="e">
        <f>#REF!</f>
        <v>#REF!</v>
      </c>
      <c r="R194" t="e">
        <f>#REF!</f>
        <v>#REF!</v>
      </c>
      <c r="S194" t="e">
        <f>#REF!</f>
        <v>#REF!</v>
      </c>
      <c r="T194" t="e">
        <f>#REF!</f>
        <v>#REF!</v>
      </c>
      <c r="U194" t="e">
        <f>#REF!</f>
        <v>#REF!</v>
      </c>
      <c r="V194" t="e">
        <f>#REF!</f>
        <v>#REF!</v>
      </c>
      <c r="W194" t="e">
        <f>#REF!</f>
        <v>#REF!</v>
      </c>
      <c r="X194" t="e">
        <f>#REF!</f>
        <v>#REF!</v>
      </c>
      <c r="Y194" t="e">
        <f>#REF!</f>
        <v>#REF!</v>
      </c>
      <c r="Z194" t="e">
        <f>#REF!</f>
        <v>#REF!</v>
      </c>
      <c r="AA194" t="e">
        <f>#REF!</f>
        <v>#REF!</v>
      </c>
      <c r="AB194" t="e">
        <f>#REF!</f>
        <v>#REF!</v>
      </c>
      <c r="AC194" t="e">
        <f>#REF!</f>
        <v>#REF!</v>
      </c>
      <c r="AD194" t="e">
        <f>#REF!</f>
        <v>#REF!</v>
      </c>
      <c r="AE194" t="e">
        <f>#REF!</f>
        <v>#REF!</v>
      </c>
      <c r="AF194" t="e">
        <f>#REF!</f>
        <v>#REF!</v>
      </c>
      <c r="AG194" t="e">
        <f>#REF!</f>
        <v>#REF!</v>
      </c>
      <c r="AH194" t="e">
        <f>#REF!</f>
        <v>#REF!</v>
      </c>
      <c r="AI194" t="e">
        <f>#REF!</f>
        <v>#REF!</v>
      </c>
      <c r="AO194" s="159" t="e">
        <f>IF(#REF!="",0,#REF!)</f>
        <v>#REF!</v>
      </c>
      <c r="AP194" s="160" t="e">
        <f t="shared" si="5"/>
        <v>#REF!</v>
      </c>
    </row>
    <row r="195" spans="2:42" x14ac:dyDescent="0.25">
      <c r="B195" t="e">
        <f>#REF!</f>
        <v>#REF!</v>
      </c>
      <c r="C195" t="e">
        <f>#REF!</f>
        <v>#REF!</v>
      </c>
      <c r="D195" t="e">
        <f>#REF!</f>
        <v>#REF!</v>
      </c>
      <c r="E195" s="14" t="e">
        <f>#REF!</f>
        <v>#REF!</v>
      </c>
      <c r="F195" t="e">
        <f>#REF!</f>
        <v>#REF!</v>
      </c>
      <c r="G195" t="e">
        <f>#REF!</f>
        <v>#REF!</v>
      </c>
      <c r="H195" t="e">
        <f>#REF!</f>
        <v>#REF!</v>
      </c>
      <c r="I195" t="e">
        <f>#REF!</f>
        <v>#REF!</v>
      </c>
      <c r="J195" t="e">
        <f>#REF!</f>
        <v>#REF!</v>
      </c>
      <c r="K195" t="e">
        <f>#REF!</f>
        <v>#REF!</v>
      </c>
      <c r="L195" t="e">
        <f>#REF!</f>
        <v>#REF!</v>
      </c>
      <c r="M195" t="e">
        <f>#REF!</f>
        <v>#REF!</v>
      </c>
      <c r="N195" t="e">
        <f>#REF!</f>
        <v>#REF!</v>
      </c>
      <c r="O195" t="e">
        <f>#REF!</f>
        <v>#REF!</v>
      </c>
      <c r="P195" t="e">
        <f>#REF!</f>
        <v>#REF!</v>
      </c>
      <c r="Q195" t="e">
        <f>#REF!</f>
        <v>#REF!</v>
      </c>
      <c r="R195" t="e">
        <f>#REF!</f>
        <v>#REF!</v>
      </c>
      <c r="S195" t="e">
        <f>#REF!</f>
        <v>#REF!</v>
      </c>
      <c r="T195" t="e">
        <f>#REF!</f>
        <v>#REF!</v>
      </c>
      <c r="U195" t="e">
        <f>#REF!</f>
        <v>#REF!</v>
      </c>
      <c r="V195" t="e">
        <f>#REF!</f>
        <v>#REF!</v>
      </c>
      <c r="W195" t="e">
        <f>#REF!</f>
        <v>#REF!</v>
      </c>
      <c r="X195" t="e">
        <f>#REF!</f>
        <v>#REF!</v>
      </c>
      <c r="Y195" t="e">
        <f>#REF!</f>
        <v>#REF!</v>
      </c>
      <c r="Z195" t="e">
        <f>#REF!</f>
        <v>#REF!</v>
      </c>
      <c r="AA195" t="e">
        <f>#REF!</f>
        <v>#REF!</v>
      </c>
      <c r="AB195" t="e">
        <f>#REF!</f>
        <v>#REF!</v>
      </c>
      <c r="AC195" t="e">
        <f>#REF!</f>
        <v>#REF!</v>
      </c>
      <c r="AD195" t="e">
        <f>#REF!</f>
        <v>#REF!</v>
      </c>
      <c r="AE195" t="e">
        <f>#REF!</f>
        <v>#REF!</v>
      </c>
      <c r="AF195" t="e">
        <f>#REF!</f>
        <v>#REF!</v>
      </c>
      <c r="AG195" t="e">
        <f>#REF!</f>
        <v>#REF!</v>
      </c>
      <c r="AH195" t="e">
        <f>#REF!</f>
        <v>#REF!</v>
      </c>
      <c r="AI195" t="e">
        <f>#REF!</f>
        <v>#REF!</v>
      </c>
      <c r="AO195" s="159" t="e">
        <f>IF(#REF!="",0,#REF!)</f>
        <v>#REF!</v>
      </c>
      <c r="AP195" s="160" t="e">
        <f t="shared" si="5"/>
        <v>#REF!</v>
      </c>
    </row>
    <row r="196" spans="2:42" x14ac:dyDescent="0.25">
      <c r="B196" t="e">
        <f>#REF!</f>
        <v>#REF!</v>
      </c>
      <c r="C196" t="e">
        <f>#REF!</f>
        <v>#REF!</v>
      </c>
      <c r="D196" t="e">
        <f>#REF!</f>
        <v>#REF!</v>
      </c>
      <c r="E196" s="14" t="e">
        <f>#REF!</f>
        <v>#REF!</v>
      </c>
      <c r="F196" t="e">
        <f>#REF!</f>
        <v>#REF!</v>
      </c>
      <c r="G196" t="e">
        <f>#REF!</f>
        <v>#REF!</v>
      </c>
      <c r="H196" t="e">
        <f>#REF!</f>
        <v>#REF!</v>
      </c>
      <c r="I196" t="e">
        <f>#REF!</f>
        <v>#REF!</v>
      </c>
      <c r="J196" t="e">
        <f>#REF!</f>
        <v>#REF!</v>
      </c>
      <c r="K196" t="e">
        <f>#REF!</f>
        <v>#REF!</v>
      </c>
      <c r="L196" t="e">
        <f>#REF!</f>
        <v>#REF!</v>
      </c>
      <c r="M196" t="e">
        <f>#REF!</f>
        <v>#REF!</v>
      </c>
      <c r="N196" t="e">
        <f>#REF!</f>
        <v>#REF!</v>
      </c>
      <c r="O196" t="e">
        <f>#REF!</f>
        <v>#REF!</v>
      </c>
      <c r="P196" t="e">
        <f>#REF!</f>
        <v>#REF!</v>
      </c>
      <c r="Q196" t="e">
        <f>#REF!</f>
        <v>#REF!</v>
      </c>
      <c r="R196" t="e">
        <f>#REF!</f>
        <v>#REF!</v>
      </c>
      <c r="S196" t="e">
        <f>#REF!</f>
        <v>#REF!</v>
      </c>
      <c r="T196" t="e">
        <f>#REF!</f>
        <v>#REF!</v>
      </c>
      <c r="U196" t="e">
        <f>#REF!</f>
        <v>#REF!</v>
      </c>
      <c r="V196" t="e">
        <f>#REF!</f>
        <v>#REF!</v>
      </c>
      <c r="W196" t="e">
        <f>#REF!</f>
        <v>#REF!</v>
      </c>
      <c r="X196" t="e">
        <f>#REF!</f>
        <v>#REF!</v>
      </c>
      <c r="Y196" t="e">
        <f>#REF!</f>
        <v>#REF!</v>
      </c>
      <c r="Z196" t="e">
        <f>#REF!</f>
        <v>#REF!</v>
      </c>
      <c r="AA196" t="e">
        <f>#REF!</f>
        <v>#REF!</v>
      </c>
      <c r="AB196" t="e">
        <f>#REF!</f>
        <v>#REF!</v>
      </c>
      <c r="AC196" t="e">
        <f>#REF!</f>
        <v>#REF!</v>
      </c>
      <c r="AD196" t="e">
        <f>#REF!</f>
        <v>#REF!</v>
      </c>
      <c r="AE196" t="e">
        <f>#REF!</f>
        <v>#REF!</v>
      </c>
      <c r="AF196" t="e">
        <f>#REF!</f>
        <v>#REF!</v>
      </c>
      <c r="AG196" t="e">
        <f>#REF!</f>
        <v>#REF!</v>
      </c>
      <c r="AH196" t="e">
        <f>#REF!</f>
        <v>#REF!</v>
      </c>
      <c r="AI196" t="e">
        <f>#REF!</f>
        <v>#REF!</v>
      </c>
      <c r="AO196" s="159" t="e">
        <f>IF(#REF!="",0,#REF!)</f>
        <v>#REF!</v>
      </c>
      <c r="AP196" s="160" t="e">
        <f t="shared" si="5"/>
        <v>#REF!</v>
      </c>
    </row>
    <row r="197" spans="2:42" x14ac:dyDescent="0.25">
      <c r="B197" t="e">
        <f>#REF!</f>
        <v>#REF!</v>
      </c>
      <c r="C197" t="e">
        <f>#REF!</f>
        <v>#REF!</v>
      </c>
      <c r="D197" t="e">
        <f>#REF!</f>
        <v>#REF!</v>
      </c>
      <c r="E197" s="14" t="e">
        <f>#REF!</f>
        <v>#REF!</v>
      </c>
      <c r="F197" t="e">
        <f>#REF!</f>
        <v>#REF!</v>
      </c>
      <c r="G197" t="e">
        <f>#REF!</f>
        <v>#REF!</v>
      </c>
      <c r="H197" t="e">
        <f>#REF!</f>
        <v>#REF!</v>
      </c>
      <c r="I197" t="e">
        <f>#REF!</f>
        <v>#REF!</v>
      </c>
      <c r="J197" t="e">
        <f>#REF!</f>
        <v>#REF!</v>
      </c>
      <c r="K197" t="e">
        <f>#REF!</f>
        <v>#REF!</v>
      </c>
      <c r="L197" t="e">
        <f>#REF!</f>
        <v>#REF!</v>
      </c>
      <c r="M197" t="e">
        <f>#REF!</f>
        <v>#REF!</v>
      </c>
      <c r="N197" t="e">
        <f>#REF!</f>
        <v>#REF!</v>
      </c>
      <c r="O197" t="e">
        <f>#REF!</f>
        <v>#REF!</v>
      </c>
      <c r="P197" t="e">
        <f>#REF!</f>
        <v>#REF!</v>
      </c>
      <c r="Q197" t="e">
        <f>#REF!</f>
        <v>#REF!</v>
      </c>
      <c r="R197" t="e">
        <f>#REF!</f>
        <v>#REF!</v>
      </c>
      <c r="S197" t="e">
        <f>#REF!</f>
        <v>#REF!</v>
      </c>
      <c r="T197" t="e">
        <f>#REF!</f>
        <v>#REF!</v>
      </c>
      <c r="U197" t="e">
        <f>#REF!</f>
        <v>#REF!</v>
      </c>
      <c r="V197" t="e">
        <f>#REF!</f>
        <v>#REF!</v>
      </c>
      <c r="W197" t="e">
        <f>#REF!</f>
        <v>#REF!</v>
      </c>
      <c r="X197" t="e">
        <f>#REF!</f>
        <v>#REF!</v>
      </c>
      <c r="Y197" t="e">
        <f>#REF!</f>
        <v>#REF!</v>
      </c>
      <c r="Z197" t="e">
        <f>#REF!</f>
        <v>#REF!</v>
      </c>
      <c r="AA197" t="e">
        <f>#REF!</f>
        <v>#REF!</v>
      </c>
      <c r="AB197" t="e">
        <f>#REF!</f>
        <v>#REF!</v>
      </c>
      <c r="AC197" t="e">
        <f>#REF!</f>
        <v>#REF!</v>
      </c>
      <c r="AD197" t="e">
        <f>#REF!</f>
        <v>#REF!</v>
      </c>
      <c r="AE197" t="e">
        <f>#REF!</f>
        <v>#REF!</v>
      </c>
      <c r="AF197" t="e">
        <f>#REF!</f>
        <v>#REF!</v>
      </c>
      <c r="AG197" t="e">
        <f>#REF!</f>
        <v>#REF!</v>
      </c>
      <c r="AH197" t="e">
        <f>#REF!</f>
        <v>#REF!</v>
      </c>
      <c r="AI197" t="e">
        <f>#REF!</f>
        <v>#REF!</v>
      </c>
      <c r="AO197" s="159" t="e">
        <f>IF(#REF!="",0,#REF!)</f>
        <v>#REF!</v>
      </c>
      <c r="AP197" s="160" t="e">
        <f t="shared" si="5"/>
        <v>#REF!</v>
      </c>
    </row>
    <row r="198" spans="2:42" x14ac:dyDescent="0.25">
      <c r="B198" t="e">
        <f>#REF!</f>
        <v>#REF!</v>
      </c>
      <c r="C198" t="e">
        <f>#REF!</f>
        <v>#REF!</v>
      </c>
      <c r="D198" t="e">
        <f>#REF!</f>
        <v>#REF!</v>
      </c>
      <c r="E198" s="14" t="e">
        <f>#REF!</f>
        <v>#REF!</v>
      </c>
      <c r="F198" t="e">
        <f>#REF!</f>
        <v>#REF!</v>
      </c>
      <c r="G198" t="e">
        <f>#REF!</f>
        <v>#REF!</v>
      </c>
      <c r="H198" t="e">
        <f>#REF!</f>
        <v>#REF!</v>
      </c>
      <c r="I198" t="e">
        <f>#REF!</f>
        <v>#REF!</v>
      </c>
      <c r="J198" t="e">
        <f>#REF!</f>
        <v>#REF!</v>
      </c>
      <c r="K198" t="e">
        <f>#REF!</f>
        <v>#REF!</v>
      </c>
      <c r="L198" t="e">
        <f>#REF!</f>
        <v>#REF!</v>
      </c>
      <c r="M198" t="e">
        <f>#REF!</f>
        <v>#REF!</v>
      </c>
      <c r="N198" t="e">
        <f>#REF!</f>
        <v>#REF!</v>
      </c>
      <c r="O198" t="e">
        <f>#REF!</f>
        <v>#REF!</v>
      </c>
      <c r="P198" t="e">
        <f>#REF!</f>
        <v>#REF!</v>
      </c>
      <c r="Q198" t="e">
        <f>#REF!</f>
        <v>#REF!</v>
      </c>
      <c r="R198" t="e">
        <f>#REF!</f>
        <v>#REF!</v>
      </c>
      <c r="S198" t="e">
        <f>#REF!</f>
        <v>#REF!</v>
      </c>
      <c r="T198" t="e">
        <f>#REF!</f>
        <v>#REF!</v>
      </c>
      <c r="U198" t="e">
        <f>#REF!</f>
        <v>#REF!</v>
      </c>
      <c r="V198" t="e">
        <f>#REF!</f>
        <v>#REF!</v>
      </c>
      <c r="W198" t="e">
        <f>#REF!</f>
        <v>#REF!</v>
      </c>
      <c r="X198" t="e">
        <f>#REF!</f>
        <v>#REF!</v>
      </c>
      <c r="Y198" t="e">
        <f>#REF!</f>
        <v>#REF!</v>
      </c>
      <c r="Z198" t="e">
        <f>#REF!</f>
        <v>#REF!</v>
      </c>
      <c r="AA198" t="e">
        <f>#REF!</f>
        <v>#REF!</v>
      </c>
      <c r="AB198" t="e">
        <f>#REF!</f>
        <v>#REF!</v>
      </c>
      <c r="AC198" t="e">
        <f>#REF!</f>
        <v>#REF!</v>
      </c>
      <c r="AD198" t="e">
        <f>#REF!</f>
        <v>#REF!</v>
      </c>
      <c r="AE198" t="e">
        <f>#REF!</f>
        <v>#REF!</v>
      </c>
      <c r="AF198" t="e">
        <f>#REF!</f>
        <v>#REF!</v>
      </c>
      <c r="AG198" t="e">
        <f>#REF!</f>
        <v>#REF!</v>
      </c>
      <c r="AH198" t="e">
        <f>#REF!</f>
        <v>#REF!</v>
      </c>
      <c r="AI198" t="e">
        <f>#REF!</f>
        <v>#REF!</v>
      </c>
      <c r="AO198" s="159" t="e">
        <f>IF(#REF!="",0,#REF!)</f>
        <v>#REF!</v>
      </c>
      <c r="AP198" s="160" t="e">
        <f t="shared" si="5"/>
        <v>#REF!</v>
      </c>
    </row>
    <row r="199" spans="2:42" x14ac:dyDescent="0.25">
      <c r="B199" t="e">
        <f>#REF!</f>
        <v>#REF!</v>
      </c>
      <c r="C199" t="e">
        <f>#REF!</f>
        <v>#REF!</v>
      </c>
      <c r="D199" t="e">
        <f>#REF!</f>
        <v>#REF!</v>
      </c>
      <c r="E199" s="14" t="e">
        <f>#REF!</f>
        <v>#REF!</v>
      </c>
      <c r="F199" t="e">
        <f>#REF!</f>
        <v>#REF!</v>
      </c>
      <c r="G199" t="e">
        <f>#REF!</f>
        <v>#REF!</v>
      </c>
      <c r="H199" t="e">
        <f>#REF!</f>
        <v>#REF!</v>
      </c>
      <c r="I199" t="e">
        <f>#REF!</f>
        <v>#REF!</v>
      </c>
      <c r="J199" t="e">
        <f>#REF!</f>
        <v>#REF!</v>
      </c>
      <c r="K199" t="e">
        <f>#REF!</f>
        <v>#REF!</v>
      </c>
      <c r="L199" t="e">
        <f>#REF!</f>
        <v>#REF!</v>
      </c>
      <c r="M199" t="e">
        <f>#REF!</f>
        <v>#REF!</v>
      </c>
      <c r="N199" t="e">
        <f>#REF!</f>
        <v>#REF!</v>
      </c>
      <c r="O199" t="e">
        <f>#REF!</f>
        <v>#REF!</v>
      </c>
      <c r="P199" t="e">
        <f>#REF!</f>
        <v>#REF!</v>
      </c>
      <c r="Q199" t="e">
        <f>#REF!</f>
        <v>#REF!</v>
      </c>
      <c r="R199" t="e">
        <f>#REF!</f>
        <v>#REF!</v>
      </c>
      <c r="S199" t="e">
        <f>#REF!</f>
        <v>#REF!</v>
      </c>
      <c r="T199" t="e">
        <f>#REF!</f>
        <v>#REF!</v>
      </c>
      <c r="U199" t="e">
        <f>#REF!</f>
        <v>#REF!</v>
      </c>
      <c r="V199" t="e">
        <f>#REF!</f>
        <v>#REF!</v>
      </c>
      <c r="W199" t="e">
        <f>#REF!</f>
        <v>#REF!</v>
      </c>
      <c r="X199" t="e">
        <f>#REF!</f>
        <v>#REF!</v>
      </c>
      <c r="Y199" t="e">
        <f>#REF!</f>
        <v>#REF!</v>
      </c>
      <c r="Z199" t="e">
        <f>#REF!</f>
        <v>#REF!</v>
      </c>
      <c r="AA199" t="e">
        <f>#REF!</f>
        <v>#REF!</v>
      </c>
      <c r="AB199" t="e">
        <f>#REF!</f>
        <v>#REF!</v>
      </c>
      <c r="AC199" t="e">
        <f>#REF!</f>
        <v>#REF!</v>
      </c>
      <c r="AD199" t="e">
        <f>#REF!</f>
        <v>#REF!</v>
      </c>
      <c r="AE199" t="e">
        <f>#REF!</f>
        <v>#REF!</v>
      </c>
      <c r="AF199" t="e">
        <f>#REF!</f>
        <v>#REF!</v>
      </c>
      <c r="AG199" t="e">
        <f>#REF!</f>
        <v>#REF!</v>
      </c>
      <c r="AH199" t="e">
        <f>#REF!</f>
        <v>#REF!</v>
      </c>
      <c r="AI199" t="e">
        <f>#REF!</f>
        <v>#REF!</v>
      </c>
      <c r="AO199" s="159" t="e">
        <f>IF(#REF!="",0,#REF!)</f>
        <v>#REF!</v>
      </c>
      <c r="AP199" s="160" t="e">
        <f t="shared" si="5"/>
        <v>#REF!</v>
      </c>
    </row>
    <row r="200" spans="2:42" x14ac:dyDescent="0.25">
      <c r="B200" t="e">
        <f>#REF!</f>
        <v>#REF!</v>
      </c>
      <c r="C200" t="e">
        <f>#REF!</f>
        <v>#REF!</v>
      </c>
      <c r="D200" t="e">
        <f>#REF!</f>
        <v>#REF!</v>
      </c>
      <c r="E200" s="14" t="e">
        <f>#REF!</f>
        <v>#REF!</v>
      </c>
      <c r="F200" t="e">
        <f>#REF!</f>
        <v>#REF!</v>
      </c>
      <c r="G200" t="e">
        <f>#REF!</f>
        <v>#REF!</v>
      </c>
      <c r="H200" t="e">
        <f>#REF!</f>
        <v>#REF!</v>
      </c>
      <c r="I200" t="e">
        <f>#REF!</f>
        <v>#REF!</v>
      </c>
      <c r="J200" t="e">
        <f>#REF!</f>
        <v>#REF!</v>
      </c>
      <c r="K200" t="e">
        <f>#REF!</f>
        <v>#REF!</v>
      </c>
      <c r="L200" t="e">
        <f>#REF!</f>
        <v>#REF!</v>
      </c>
      <c r="M200" t="e">
        <f>#REF!</f>
        <v>#REF!</v>
      </c>
      <c r="N200" t="e">
        <f>#REF!</f>
        <v>#REF!</v>
      </c>
      <c r="O200" t="e">
        <f>#REF!</f>
        <v>#REF!</v>
      </c>
      <c r="P200" t="e">
        <f>#REF!</f>
        <v>#REF!</v>
      </c>
      <c r="Q200" t="e">
        <f>#REF!</f>
        <v>#REF!</v>
      </c>
      <c r="R200" t="e">
        <f>#REF!</f>
        <v>#REF!</v>
      </c>
      <c r="S200" t="e">
        <f>#REF!</f>
        <v>#REF!</v>
      </c>
      <c r="T200" t="e">
        <f>#REF!</f>
        <v>#REF!</v>
      </c>
      <c r="U200" t="e">
        <f>#REF!</f>
        <v>#REF!</v>
      </c>
      <c r="V200" t="e">
        <f>#REF!</f>
        <v>#REF!</v>
      </c>
      <c r="W200" t="e">
        <f>#REF!</f>
        <v>#REF!</v>
      </c>
      <c r="X200" t="e">
        <f>#REF!</f>
        <v>#REF!</v>
      </c>
      <c r="Y200" t="e">
        <f>#REF!</f>
        <v>#REF!</v>
      </c>
      <c r="Z200" t="e">
        <f>#REF!</f>
        <v>#REF!</v>
      </c>
      <c r="AA200" t="e">
        <f>#REF!</f>
        <v>#REF!</v>
      </c>
      <c r="AB200" t="e">
        <f>#REF!</f>
        <v>#REF!</v>
      </c>
      <c r="AC200" t="e">
        <f>#REF!</f>
        <v>#REF!</v>
      </c>
      <c r="AD200" t="e">
        <f>#REF!</f>
        <v>#REF!</v>
      </c>
      <c r="AE200" t="e">
        <f>#REF!</f>
        <v>#REF!</v>
      </c>
      <c r="AF200" t="e">
        <f>#REF!</f>
        <v>#REF!</v>
      </c>
      <c r="AG200" t="e">
        <f>#REF!</f>
        <v>#REF!</v>
      </c>
      <c r="AH200" t="e">
        <f>#REF!</f>
        <v>#REF!</v>
      </c>
      <c r="AI200" t="e">
        <f>#REF!</f>
        <v>#REF!</v>
      </c>
      <c r="AO200" s="159" t="e">
        <f>IF(#REF!="",0,#REF!)</f>
        <v>#REF!</v>
      </c>
      <c r="AP200" s="160" t="e">
        <f t="shared" si="5"/>
        <v>#REF!</v>
      </c>
    </row>
    <row r="201" spans="2:42" x14ac:dyDescent="0.25">
      <c r="B201" t="e">
        <f>#REF!</f>
        <v>#REF!</v>
      </c>
      <c r="C201" t="e">
        <f>#REF!</f>
        <v>#REF!</v>
      </c>
      <c r="D201" t="e">
        <f>#REF!</f>
        <v>#REF!</v>
      </c>
      <c r="E201" s="14" t="e">
        <f>#REF!</f>
        <v>#REF!</v>
      </c>
      <c r="F201" t="e">
        <f>#REF!</f>
        <v>#REF!</v>
      </c>
      <c r="G201" t="e">
        <f>#REF!</f>
        <v>#REF!</v>
      </c>
      <c r="H201" t="e">
        <f>#REF!</f>
        <v>#REF!</v>
      </c>
      <c r="I201" t="e">
        <f>#REF!</f>
        <v>#REF!</v>
      </c>
      <c r="J201" t="e">
        <f>#REF!</f>
        <v>#REF!</v>
      </c>
      <c r="K201" t="e">
        <f>#REF!</f>
        <v>#REF!</v>
      </c>
      <c r="L201" t="e">
        <f>#REF!</f>
        <v>#REF!</v>
      </c>
      <c r="M201" t="e">
        <f>#REF!</f>
        <v>#REF!</v>
      </c>
      <c r="N201" t="e">
        <f>#REF!</f>
        <v>#REF!</v>
      </c>
      <c r="O201" t="e">
        <f>#REF!</f>
        <v>#REF!</v>
      </c>
      <c r="P201" t="e">
        <f>#REF!</f>
        <v>#REF!</v>
      </c>
      <c r="Q201" t="e">
        <f>#REF!</f>
        <v>#REF!</v>
      </c>
      <c r="R201" t="e">
        <f>#REF!</f>
        <v>#REF!</v>
      </c>
      <c r="S201" t="e">
        <f>#REF!</f>
        <v>#REF!</v>
      </c>
      <c r="T201" t="e">
        <f>#REF!</f>
        <v>#REF!</v>
      </c>
      <c r="U201" t="e">
        <f>#REF!</f>
        <v>#REF!</v>
      </c>
      <c r="V201" t="e">
        <f>#REF!</f>
        <v>#REF!</v>
      </c>
      <c r="W201" t="e">
        <f>#REF!</f>
        <v>#REF!</v>
      </c>
      <c r="X201" t="e">
        <f>#REF!</f>
        <v>#REF!</v>
      </c>
      <c r="Y201" t="e">
        <f>#REF!</f>
        <v>#REF!</v>
      </c>
      <c r="Z201" t="e">
        <f>#REF!</f>
        <v>#REF!</v>
      </c>
      <c r="AA201" t="e">
        <f>#REF!</f>
        <v>#REF!</v>
      </c>
      <c r="AB201" t="e">
        <f>#REF!</f>
        <v>#REF!</v>
      </c>
      <c r="AC201" t="e">
        <f>#REF!</f>
        <v>#REF!</v>
      </c>
      <c r="AD201" t="e">
        <f>#REF!</f>
        <v>#REF!</v>
      </c>
      <c r="AE201" t="e">
        <f>#REF!</f>
        <v>#REF!</v>
      </c>
      <c r="AF201" t="e">
        <f>#REF!</f>
        <v>#REF!</v>
      </c>
      <c r="AG201" t="e">
        <f>#REF!</f>
        <v>#REF!</v>
      </c>
      <c r="AH201" t="e">
        <f>#REF!</f>
        <v>#REF!</v>
      </c>
      <c r="AI201" t="e">
        <f>#REF!</f>
        <v>#REF!</v>
      </c>
      <c r="AO201" s="159" t="e">
        <f>IF(#REF!="",0,#REF!)</f>
        <v>#REF!</v>
      </c>
      <c r="AP201" s="160" t="e">
        <f t="shared" si="5"/>
        <v>#REF!</v>
      </c>
    </row>
    <row r="202" spans="2:42" x14ac:dyDescent="0.25">
      <c r="B202" t="e">
        <f>#REF!</f>
        <v>#REF!</v>
      </c>
      <c r="C202" t="e">
        <f>#REF!</f>
        <v>#REF!</v>
      </c>
      <c r="D202" t="e">
        <f>#REF!</f>
        <v>#REF!</v>
      </c>
      <c r="E202" s="14" t="e">
        <f>#REF!</f>
        <v>#REF!</v>
      </c>
      <c r="F202" t="e">
        <f>#REF!</f>
        <v>#REF!</v>
      </c>
      <c r="G202" t="e">
        <f>#REF!</f>
        <v>#REF!</v>
      </c>
      <c r="H202" t="e">
        <f>#REF!</f>
        <v>#REF!</v>
      </c>
      <c r="I202" t="e">
        <f>#REF!</f>
        <v>#REF!</v>
      </c>
      <c r="J202" t="e">
        <f>#REF!</f>
        <v>#REF!</v>
      </c>
      <c r="K202" t="e">
        <f>#REF!</f>
        <v>#REF!</v>
      </c>
      <c r="L202" t="e">
        <f>#REF!</f>
        <v>#REF!</v>
      </c>
      <c r="M202" t="e">
        <f>#REF!</f>
        <v>#REF!</v>
      </c>
      <c r="N202" t="e">
        <f>#REF!</f>
        <v>#REF!</v>
      </c>
      <c r="O202" t="e">
        <f>#REF!</f>
        <v>#REF!</v>
      </c>
      <c r="P202" t="e">
        <f>#REF!</f>
        <v>#REF!</v>
      </c>
      <c r="Q202" t="e">
        <f>#REF!</f>
        <v>#REF!</v>
      </c>
      <c r="R202" t="e">
        <f>#REF!</f>
        <v>#REF!</v>
      </c>
      <c r="S202" t="e">
        <f>#REF!</f>
        <v>#REF!</v>
      </c>
      <c r="T202" t="e">
        <f>#REF!</f>
        <v>#REF!</v>
      </c>
      <c r="U202" t="e">
        <f>#REF!</f>
        <v>#REF!</v>
      </c>
      <c r="V202" t="e">
        <f>#REF!</f>
        <v>#REF!</v>
      </c>
      <c r="W202" t="e">
        <f>#REF!</f>
        <v>#REF!</v>
      </c>
      <c r="X202" t="e">
        <f>#REF!</f>
        <v>#REF!</v>
      </c>
      <c r="Y202" t="e">
        <f>#REF!</f>
        <v>#REF!</v>
      </c>
      <c r="Z202" t="e">
        <f>#REF!</f>
        <v>#REF!</v>
      </c>
      <c r="AA202" t="e">
        <f>#REF!</f>
        <v>#REF!</v>
      </c>
      <c r="AB202" t="e">
        <f>#REF!</f>
        <v>#REF!</v>
      </c>
      <c r="AC202" t="e">
        <f>#REF!</f>
        <v>#REF!</v>
      </c>
      <c r="AD202" t="e">
        <f>#REF!</f>
        <v>#REF!</v>
      </c>
      <c r="AE202" t="e">
        <f>#REF!</f>
        <v>#REF!</v>
      </c>
      <c r="AF202" t="e">
        <f>#REF!</f>
        <v>#REF!</v>
      </c>
      <c r="AG202" t="e">
        <f>#REF!</f>
        <v>#REF!</v>
      </c>
      <c r="AH202" t="e">
        <f>#REF!</f>
        <v>#REF!</v>
      </c>
      <c r="AI202" t="e">
        <f>#REF!</f>
        <v>#REF!</v>
      </c>
      <c r="AO202" s="159" t="e">
        <f>IF(#REF!="",0,#REF!)</f>
        <v>#REF!</v>
      </c>
      <c r="AP202" s="160" t="e">
        <f t="shared" si="5"/>
        <v>#REF!</v>
      </c>
    </row>
    <row r="203" spans="2:42" x14ac:dyDescent="0.25">
      <c r="B203" t="e">
        <f>#REF!</f>
        <v>#REF!</v>
      </c>
      <c r="C203" t="e">
        <f>#REF!</f>
        <v>#REF!</v>
      </c>
      <c r="D203" t="e">
        <f>#REF!</f>
        <v>#REF!</v>
      </c>
      <c r="E203" s="14" t="e">
        <f>#REF!</f>
        <v>#REF!</v>
      </c>
      <c r="F203" t="e">
        <f>#REF!</f>
        <v>#REF!</v>
      </c>
      <c r="G203" t="e">
        <f>#REF!</f>
        <v>#REF!</v>
      </c>
      <c r="H203" t="e">
        <f>#REF!</f>
        <v>#REF!</v>
      </c>
      <c r="I203" t="e">
        <f>#REF!</f>
        <v>#REF!</v>
      </c>
      <c r="J203" t="e">
        <f>#REF!</f>
        <v>#REF!</v>
      </c>
      <c r="K203" t="e">
        <f>#REF!</f>
        <v>#REF!</v>
      </c>
      <c r="L203" t="e">
        <f>#REF!</f>
        <v>#REF!</v>
      </c>
      <c r="M203" t="e">
        <f>#REF!</f>
        <v>#REF!</v>
      </c>
      <c r="N203" t="e">
        <f>#REF!</f>
        <v>#REF!</v>
      </c>
      <c r="O203" t="e">
        <f>#REF!</f>
        <v>#REF!</v>
      </c>
      <c r="P203" t="e">
        <f>#REF!</f>
        <v>#REF!</v>
      </c>
      <c r="Q203" t="e">
        <f>#REF!</f>
        <v>#REF!</v>
      </c>
      <c r="R203" t="e">
        <f>#REF!</f>
        <v>#REF!</v>
      </c>
      <c r="S203" t="e">
        <f>#REF!</f>
        <v>#REF!</v>
      </c>
      <c r="T203" t="e">
        <f>#REF!</f>
        <v>#REF!</v>
      </c>
      <c r="U203" t="e">
        <f>#REF!</f>
        <v>#REF!</v>
      </c>
      <c r="V203" t="e">
        <f>#REF!</f>
        <v>#REF!</v>
      </c>
      <c r="W203" t="e">
        <f>#REF!</f>
        <v>#REF!</v>
      </c>
      <c r="X203" t="e">
        <f>#REF!</f>
        <v>#REF!</v>
      </c>
      <c r="Y203" t="e">
        <f>#REF!</f>
        <v>#REF!</v>
      </c>
      <c r="Z203" t="e">
        <f>#REF!</f>
        <v>#REF!</v>
      </c>
      <c r="AA203" t="e">
        <f>#REF!</f>
        <v>#REF!</v>
      </c>
      <c r="AB203" t="e">
        <f>#REF!</f>
        <v>#REF!</v>
      </c>
      <c r="AC203" t="e">
        <f>#REF!</f>
        <v>#REF!</v>
      </c>
      <c r="AD203" t="e">
        <f>#REF!</f>
        <v>#REF!</v>
      </c>
      <c r="AE203" t="e">
        <f>#REF!</f>
        <v>#REF!</v>
      </c>
      <c r="AF203" t="e">
        <f>#REF!</f>
        <v>#REF!</v>
      </c>
      <c r="AG203" t="e">
        <f>#REF!</f>
        <v>#REF!</v>
      </c>
      <c r="AH203" t="e">
        <f>#REF!</f>
        <v>#REF!</v>
      </c>
      <c r="AI203" t="e">
        <f>#REF!</f>
        <v>#REF!</v>
      </c>
      <c r="AO203" s="159" t="e">
        <f>IF(#REF!="",0,#REF!)</f>
        <v>#REF!</v>
      </c>
      <c r="AP203" s="160" t="e">
        <f t="shared" si="5"/>
        <v>#REF!</v>
      </c>
    </row>
    <row r="204" spans="2:42" x14ac:dyDescent="0.25">
      <c r="B204" t="e">
        <f>#REF!</f>
        <v>#REF!</v>
      </c>
      <c r="C204" t="e">
        <f>#REF!</f>
        <v>#REF!</v>
      </c>
      <c r="D204" t="e">
        <f>#REF!</f>
        <v>#REF!</v>
      </c>
      <c r="E204" s="14" t="e">
        <f>#REF!</f>
        <v>#REF!</v>
      </c>
      <c r="F204" t="e">
        <f>#REF!</f>
        <v>#REF!</v>
      </c>
      <c r="G204" t="e">
        <f>#REF!</f>
        <v>#REF!</v>
      </c>
      <c r="H204" t="e">
        <f>#REF!</f>
        <v>#REF!</v>
      </c>
      <c r="I204" t="e">
        <f>#REF!</f>
        <v>#REF!</v>
      </c>
      <c r="J204" t="e">
        <f>#REF!</f>
        <v>#REF!</v>
      </c>
      <c r="K204" t="e">
        <f>#REF!</f>
        <v>#REF!</v>
      </c>
      <c r="L204" t="e">
        <f>#REF!</f>
        <v>#REF!</v>
      </c>
      <c r="M204" t="e">
        <f>#REF!</f>
        <v>#REF!</v>
      </c>
      <c r="N204" t="e">
        <f>#REF!</f>
        <v>#REF!</v>
      </c>
      <c r="O204" t="e">
        <f>#REF!</f>
        <v>#REF!</v>
      </c>
      <c r="P204" t="e">
        <f>#REF!</f>
        <v>#REF!</v>
      </c>
      <c r="Q204" t="e">
        <f>#REF!</f>
        <v>#REF!</v>
      </c>
      <c r="R204" t="e">
        <f>#REF!</f>
        <v>#REF!</v>
      </c>
      <c r="S204" t="e">
        <f>#REF!</f>
        <v>#REF!</v>
      </c>
      <c r="T204" t="e">
        <f>#REF!</f>
        <v>#REF!</v>
      </c>
      <c r="U204" t="e">
        <f>#REF!</f>
        <v>#REF!</v>
      </c>
      <c r="V204" t="e">
        <f>#REF!</f>
        <v>#REF!</v>
      </c>
      <c r="W204" t="e">
        <f>#REF!</f>
        <v>#REF!</v>
      </c>
      <c r="X204" t="e">
        <f>#REF!</f>
        <v>#REF!</v>
      </c>
      <c r="Y204" t="e">
        <f>#REF!</f>
        <v>#REF!</v>
      </c>
      <c r="Z204" t="e">
        <f>#REF!</f>
        <v>#REF!</v>
      </c>
      <c r="AA204" t="e">
        <f>#REF!</f>
        <v>#REF!</v>
      </c>
      <c r="AB204" t="e">
        <f>#REF!</f>
        <v>#REF!</v>
      </c>
      <c r="AC204" t="e">
        <f>#REF!</f>
        <v>#REF!</v>
      </c>
      <c r="AD204" t="e">
        <f>#REF!</f>
        <v>#REF!</v>
      </c>
      <c r="AE204" t="e">
        <f>#REF!</f>
        <v>#REF!</v>
      </c>
      <c r="AF204" t="e">
        <f>#REF!</f>
        <v>#REF!</v>
      </c>
      <c r="AG204" t="e">
        <f>#REF!</f>
        <v>#REF!</v>
      </c>
      <c r="AH204" t="e">
        <f>#REF!</f>
        <v>#REF!</v>
      </c>
      <c r="AI204" t="e">
        <f>#REF!</f>
        <v>#REF!</v>
      </c>
      <c r="AO204" s="159" t="e">
        <f>IF(#REF!="",0,#REF!)</f>
        <v>#REF!</v>
      </c>
      <c r="AP204" s="160" t="e">
        <f t="shared" si="5"/>
        <v>#REF!</v>
      </c>
    </row>
    <row r="205" spans="2:42" x14ac:dyDescent="0.25">
      <c r="AP205" s="161"/>
    </row>
    <row r="206" spans="2:42" x14ac:dyDescent="0.25">
      <c r="AP206" s="161"/>
    </row>
    <row r="207" spans="2:42" x14ac:dyDescent="0.25">
      <c r="AP207" s="161"/>
    </row>
    <row r="208" spans="2:42" x14ac:dyDescent="0.25">
      <c r="AP208" s="161"/>
    </row>
    <row r="209" spans="2:42" x14ac:dyDescent="0.25">
      <c r="B209" t="e">
        <f>#REF!</f>
        <v>#REF!</v>
      </c>
      <c r="C209" t="e">
        <f>#REF!</f>
        <v>#REF!</v>
      </c>
      <c r="D209" t="e">
        <f>#REF!</f>
        <v>#REF!</v>
      </c>
      <c r="E209" s="14" t="e">
        <f>#REF!</f>
        <v>#REF!</v>
      </c>
      <c r="F209" t="e">
        <f>#REF!</f>
        <v>#REF!</v>
      </c>
      <c r="G209" t="e">
        <f>#REF!</f>
        <v>#REF!</v>
      </c>
      <c r="H209" t="e">
        <f>#REF!</f>
        <v>#REF!</v>
      </c>
      <c r="I209" t="e">
        <f>#REF!</f>
        <v>#REF!</v>
      </c>
      <c r="J209" t="e">
        <f>#REF!</f>
        <v>#REF!</v>
      </c>
      <c r="K209" t="e">
        <f>#REF!</f>
        <v>#REF!</v>
      </c>
      <c r="L209" t="e">
        <f>#REF!</f>
        <v>#REF!</v>
      </c>
      <c r="M209" t="e">
        <f>#REF!</f>
        <v>#REF!</v>
      </c>
      <c r="N209" t="e">
        <f>#REF!</f>
        <v>#REF!</v>
      </c>
      <c r="O209" t="e">
        <f>#REF!</f>
        <v>#REF!</v>
      </c>
      <c r="P209" t="e">
        <f>#REF!</f>
        <v>#REF!</v>
      </c>
      <c r="Q209" t="e">
        <f>#REF!</f>
        <v>#REF!</v>
      </c>
      <c r="R209" t="e">
        <f>#REF!</f>
        <v>#REF!</v>
      </c>
      <c r="S209" t="e">
        <f>#REF!</f>
        <v>#REF!</v>
      </c>
      <c r="T209" t="e">
        <f>#REF!</f>
        <v>#REF!</v>
      </c>
      <c r="U209" t="e">
        <f>#REF!</f>
        <v>#REF!</v>
      </c>
      <c r="V209" t="e">
        <f>#REF!</f>
        <v>#REF!</v>
      </c>
      <c r="W209" t="e">
        <f>#REF!</f>
        <v>#REF!</v>
      </c>
      <c r="X209" t="e">
        <f>#REF!</f>
        <v>#REF!</v>
      </c>
      <c r="Y209" t="e">
        <f>#REF!</f>
        <v>#REF!</v>
      </c>
      <c r="Z209" t="e">
        <f>#REF!</f>
        <v>#REF!</v>
      </c>
      <c r="AA209" t="e">
        <f>#REF!</f>
        <v>#REF!</v>
      </c>
      <c r="AB209" t="e">
        <f>#REF!</f>
        <v>#REF!</v>
      </c>
      <c r="AC209" t="e">
        <f>#REF!</f>
        <v>#REF!</v>
      </c>
      <c r="AD209" t="e">
        <f>#REF!</f>
        <v>#REF!</v>
      </c>
      <c r="AE209" t="e">
        <f>#REF!</f>
        <v>#REF!</v>
      </c>
      <c r="AF209" t="e">
        <f>#REF!</f>
        <v>#REF!</v>
      </c>
      <c r="AG209" t="e">
        <f>#REF!</f>
        <v>#REF!</v>
      </c>
      <c r="AH209" t="e">
        <f>#REF!</f>
        <v>#REF!</v>
      </c>
      <c r="AI209" t="e">
        <f>#REF!</f>
        <v>#REF!</v>
      </c>
      <c r="AO209" s="159" t="e">
        <f>IF(#REF!="",0,#REF!)</f>
        <v>#REF!</v>
      </c>
      <c r="AP209" s="160" t="e">
        <f t="shared" ref="AP209:AP238" si="6">SUM(F209:AI209)-AO209</f>
        <v>#REF!</v>
      </c>
    </row>
    <row r="210" spans="2:42" x14ac:dyDescent="0.25">
      <c r="B210" t="e">
        <f>#REF!</f>
        <v>#REF!</v>
      </c>
      <c r="C210" t="e">
        <f>#REF!</f>
        <v>#REF!</v>
      </c>
      <c r="D210" t="e">
        <f>#REF!</f>
        <v>#REF!</v>
      </c>
      <c r="E210" s="14" t="e">
        <f>#REF!</f>
        <v>#REF!</v>
      </c>
      <c r="F210" t="e">
        <f>#REF!</f>
        <v>#REF!</v>
      </c>
      <c r="G210" t="e">
        <f>#REF!</f>
        <v>#REF!</v>
      </c>
      <c r="H210" t="e">
        <f>#REF!</f>
        <v>#REF!</v>
      </c>
      <c r="I210" t="e">
        <f>#REF!</f>
        <v>#REF!</v>
      </c>
      <c r="J210" t="e">
        <f>#REF!</f>
        <v>#REF!</v>
      </c>
      <c r="K210" t="e">
        <f>#REF!</f>
        <v>#REF!</v>
      </c>
      <c r="L210" t="e">
        <f>#REF!</f>
        <v>#REF!</v>
      </c>
      <c r="M210" t="e">
        <f>#REF!</f>
        <v>#REF!</v>
      </c>
      <c r="N210" t="e">
        <f>#REF!</f>
        <v>#REF!</v>
      </c>
      <c r="O210" t="e">
        <f>#REF!</f>
        <v>#REF!</v>
      </c>
      <c r="P210" t="e">
        <f>#REF!</f>
        <v>#REF!</v>
      </c>
      <c r="Q210" t="e">
        <f>#REF!</f>
        <v>#REF!</v>
      </c>
      <c r="R210" t="e">
        <f>#REF!</f>
        <v>#REF!</v>
      </c>
      <c r="S210" t="e">
        <f>#REF!</f>
        <v>#REF!</v>
      </c>
      <c r="T210" t="e">
        <f>#REF!</f>
        <v>#REF!</v>
      </c>
      <c r="U210" t="e">
        <f>#REF!</f>
        <v>#REF!</v>
      </c>
      <c r="V210" t="e">
        <f>#REF!</f>
        <v>#REF!</v>
      </c>
      <c r="W210" t="e">
        <f>#REF!</f>
        <v>#REF!</v>
      </c>
      <c r="X210" t="e">
        <f>#REF!</f>
        <v>#REF!</v>
      </c>
      <c r="Y210" t="e">
        <f>#REF!</f>
        <v>#REF!</v>
      </c>
      <c r="Z210" t="e">
        <f>#REF!</f>
        <v>#REF!</v>
      </c>
      <c r="AA210" t="e">
        <f>#REF!</f>
        <v>#REF!</v>
      </c>
      <c r="AB210" t="e">
        <f>#REF!</f>
        <v>#REF!</v>
      </c>
      <c r="AC210" t="e">
        <f>#REF!</f>
        <v>#REF!</v>
      </c>
      <c r="AD210" t="e">
        <f>#REF!</f>
        <v>#REF!</v>
      </c>
      <c r="AE210" t="e">
        <f>#REF!</f>
        <v>#REF!</v>
      </c>
      <c r="AF210" t="e">
        <f>#REF!</f>
        <v>#REF!</v>
      </c>
      <c r="AG210" t="e">
        <f>#REF!</f>
        <v>#REF!</v>
      </c>
      <c r="AH210" t="e">
        <f>#REF!</f>
        <v>#REF!</v>
      </c>
      <c r="AI210" t="e">
        <f>#REF!</f>
        <v>#REF!</v>
      </c>
      <c r="AO210" s="159" t="e">
        <f>IF(#REF!="",0,#REF!)</f>
        <v>#REF!</v>
      </c>
      <c r="AP210" s="160" t="e">
        <f t="shared" si="6"/>
        <v>#REF!</v>
      </c>
    </row>
    <row r="211" spans="2:42" x14ac:dyDescent="0.25">
      <c r="B211" t="e">
        <f>#REF!</f>
        <v>#REF!</v>
      </c>
      <c r="C211" t="e">
        <f>#REF!</f>
        <v>#REF!</v>
      </c>
      <c r="D211" t="e">
        <f>#REF!</f>
        <v>#REF!</v>
      </c>
      <c r="E211" s="14" t="e">
        <f>#REF!</f>
        <v>#REF!</v>
      </c>
      <c r="F211" t="e">
        <f>#REF!</f>
        <v>#REF!</v>
      </c>
      <c r="G211" t="e">
        <f>#REF!</f>
        <v>#REF!</v>
      </c>
      <c r="H211" t="e">
        <f>#REF!</f>
        <v>#REF!</v>
      </c>
      <c r="I211" t="e">
        <f>#REF!</f>
        <v>#REF!</v>
      </c>
      <c r="J211" t="e">
        <f>#REF!</f>
        <v>#REF!</v>
      </c>
      <c r="K211" t="e">
        <f>#REF!</f>
        <v>#REF!</v>
      </c>
      <c r="L211" t="e">
        <f>#REF!</f>
        <v>#REF!</v>
      </c>
      <c r="M211" t="e">
        <f>#REF!</f>
        <v>#REF!</v>
      </c>
      <c r="N211" t="e">
        <f>#REF!</f>
        <v>#REF!</v>
      </c>
      <c r="O211" t="e">
        <f>#REF!</f>
        <v>#REF!</v>
      </c>
      <c r="P211" t="e">
        <f>#REF!</f>
        <v>#REF!</v>
      </c>
      <c r="Q211" t="e">
        <f>#REF!</f>
        <v>#REF!</v>
      </c>
      <c r="R211" t="e">
        <f>#REF!</f>
        <v>#REF!</v>
      </c>
      <c r="S211" t="e">
        <f>#REF!</f>
        <v>#REF!</v>
      </c>
      <c r="T211" t="e">
        <f>#REF!</f>
        <v>#REF!</v>
      </c>
      <c r="U211" t="e">
        <f>#REF!</f>
        <v>#REF!</v>
      </c>
      <c r="V211" t="e">
        <f>#REF!</f>
        <v>#REF!</v>
      </c>
      <c r="W211" t="e">
        <f>#REF!</f>
        <v>#REF!</v>
      </c>
      <c r="X211" t="e">
        <f>#REF!</f>
        <v>#REF!</v>
      </c>
      <c r="Y211" t="e">
        <f>#REF!</f>
        <v>#REF!</v>
      </c>
      <c r="Z211" t="e">
        <f>#REF!</f>
        <v>#REF!</v>
      </c>
      <c r="AA211" t="e">
        <f>#REF!</f>
        <v>#REF!</v>
      </c>
      <c r="AB211" t="e">
        <f>#REF!</f>
        <v>#REF!</v>
      </c>
      <c r="AC211" t="e">
        <f>#REF!</f>
        <v>#REF!</v>
      </c>
      <c r="AD211" t="e">
        <f>#REF!</f>
        <v>#REF!</v>
      </c>
      <c r="AE211" t="e">
        <f>#REF!</f>
        <v>#REF!</v>
      </c>
      <c r="AF211" t="e">
        <f>#REF!</f>
        <v>#REF!</v>
      </c>
      <c r="AG211" t="e">
        <f>#REF!</f>
        <v>#REF!</v>
      </c>
      <c r="AH211" t="e">
        <f>#REF!</f>
        <v>#REF!</v>
      </c>
      <c r="AI211" t="e">
        <f>#REF!</f>
        <v>#REF!</v>
      </c>
      <c r="AO211" s="159" t="e">
        <f>IF(#REF!="",0,#REF!)</f>
        <v>#REF!</v>
      </c>
      <c r="AP211" s="160" t="e">
        <f t="shared" si="6"/>
        <v>#REF!</v>
      </c>
    </row>
    <row r="212" spans="2:42" x14ac:dyDescent="0.25">
      <c r="B212" t="e">
        <f>#REF!</f>
        <v>#REF!</v>
      </c>
      <c r="C212" t="e">
        <f>#REF!</f>
        <v>#REF!</v>
      </c>
      <c r="D212" t="e">
        <f>#REF!</f>
        <v>#REF!</v>
      </c>
      <c r="E212" s="14" t="e">
        <f>#REF!</f>
        <v>#REF!</v>
      </c>
      <c r="F212" t="e">
        <f>#REF!</f>
        <v>#REF!</v>
      </c>
      <c r="G212" t="e">
        <f>#REF!</f>
        <v>#REF!</v>
      </c>
      <c r="H212" t="e">
        <f>#REF!</f>
        <v>#REF!</v>
      </c>
      <c r="I212" t="e">
        <f>#REF!</f>
        <v>#REF!</v>
      </c>
      <c r="J212" t="e">
        <f>#REF!</f>
        <v>#REF!</v>
      </c>
      <c r="K212" t="e">
        <f>#REF!</f>
        <v>#REF!</v>
      </c>
      <c r="L212" t="e">
        <f>#REF!</f>
        <v>#REF!</v>
      </c>
      <c r="M212" t="e">
        <f>#REF!</f>
        <v>#REF!</v>
      </c>
      <c r="N212" t="e">
        <f>#REF!</f>
        <v>#REF!</v>
      </c>
      <c r="O212" t="e">
        <f>#REF!</f>
        <v>#REF!</v>
      </c>
      <c r="P212" t="e">
        <f>#REF!</f>
        <v>#REF!</v>
      </c>
      <c r="Q212" t="e">
        <f>#REF!</f>
        <v>#REF!</v>
      </c>
      <c r="R212" t="e">
        <f>#REF!</f>
        <v>#REF!</v>
      </c>
      <c r="S212" t="e">
        <f>#REF!</f>
        <v>#REF!</v>
      </c>
      <c r="T212" t="e">
        <f>#REF!</f>
        <v>#REF!</v>
      </c>
      <c r="U212" t="e">
        <f>#REF!</f>
        <v>#REF!</v>
      </c>
      <c r="V212" t="e">
        <f>#REF!</f>
        <v>#REF!</v>
      </c>
      <c r="W212" t="e">
        <f>#REF!</f>
        <v>#REF!</v>
      </c>
      <c r="X212" t="e">
        <f>#REF!</f>
        <v>#REF!</v>
      </c>
      <c r="Y212" t="e">
        <f>#REF!</f>
        <v>#REF!</v>
      </c>
      <c r="Z212" t="e">
        <f>#REF!</f>
        <v>#REF!</v>
      </c>
      <c r="AA212" t="e">
        <f>#REF!</f>
        <v>#REF!</v>
      </c>
      <c r="AB212" t="e">
        <f>#REF!</f>
        <v>#REF!</v>
      </c>
      <c r="AC212" t="e">
        <f>#REF!</f>
        <v>#REF!</v>
      </c>
      <c r="AD212" t="e">
        <f>#REF!</f>
        <v>#REF!</v>
      </c>
      <c r="AE212" t="e">
        <f>#REF!</f>
        <v>#REF!</v>
      </c>
      <c r="AF212" t="e">
        <f>#REF!</f>
        <v>#REF!</v>
      </c>
      <c r="AG212" t="e">
        <f>#REF!</f>
        <v>#REF!</v>
      </c>
      <c r="AH212" t="e">
        <f>#REF!</f>
        <v>#REF!</v>
      </c>
      <c r="AI212" t="e">
        <f>#REF!</f>
        <v>#REF!</v>
      </c>
      <c r="AO212" s="159" t="e">
        <f>IF(#REF!="",0,#REF!)</f>
        <v>#REF!</v>
      </c>
      <c r="AP212" s="160" t="e">
        <f t="shared" si="6"/>
        <v>#REF!</v>
      </c>
    </row>
    <row r="213" spans="2:42" x14ac:dyDescent="0.25">
      <c r="B213" t="e">
        <f>#REF!</f>
        <v>#REF!</v>
      </c>
      <c r="C213" t="e">
        <f>#REF!</f>
        <v>#REF!</v>
      </c>
      <c r="D213" t="e">
        <f>#REF!</f>
        <v>#REF!</v>
      </c>
      <c r="E213" s="14" t="e">
        <f>#REF!</f>
        <v>#REF!</v>
      </c>
      <c r="F213" t="e">
        <f>#REF!</f>
        <v>#REF!</v>
      </c>
      <c r="G213" t="e">
        <f>#REF!</f>
        <v>#REF!</v>
      </c>
      <c r="H213" t="e">
        <f>#REF!</f>
        <v>#REF!</v>
      </c>
      <c r="I213" t="e">
        <f>#REF!</f>
        <v>#REF!</v>
      </c>
      <c r="J213" t="e">
        <f>#REF!</f>
        <v>#REF!</v>
      </c>
      <c r="K213" t="e">
        <f>#REF!</f>
        <v>#REF!</v>
      </c>
      <c r="L213" t="e">
        <f>#REF!</f>
        <v>#REF!</v>
      </c>
      <c r="M213" t="e">
        <f>#REF!</f>
        <v>#REF!</v>
      </c>
      <c r="N213" t="e">
        <f>#REF!</f>
        <v>#REF!</v>
      </c>
      <c r="O213" t="e">
        <f>#REF!</f>
        <v>#REF!</v>
      </c>
      <c r="P213" t="e">
        <f>#REF!</f>
        <v>#REF!</v>
      </c>
      <c r="Q213" t="e">
        <f>#REF!</f>
        <v>#REF!</v>
      </c>
      <c r="R213" t="e">
        <f>#REF!</f>
        <v>#REF!</v>
      </c>
      <c r="S213" t="e">
        <f>#REF!</f>
        <v>#REF!</v>
      </c>
      <c r="T213" t="e">
        <f>#REF!</f>
        <v>#REF!</v>
      </c>
      <c r="U213" t="e">
        <f>#REF!</f>
        <v>#REF!</v>
      </c>
      <c r="V213" t="e">
        <f>#REF!</f>
        <v>#REF!</v>
      </c>
      <c r="W213" t="e">
        <f>#REF!</f>
        <v>#REF!</v>
      </c>
      <c r="X213" t="e">
        <f>#REF!</f>
        <v>#REF!</v>
      </c>
      <c r="Y213" t="e">
        <f>#REF!</f>
        <v>#REF!</v>
      </c>
      <c r="Z213" t="e">
        <f>#REF!</f>
        <v>#REF!</v>
      </c>
      <c r="AA213" t="e">
        <f>#REF!</f>
        <v>#REF!</v>
      </c>
      <c r="AB213" t="e">
        <f>#REF!</f>
        <v>#REF!</v>
      </c>
      <c r="AC213" t="e">
        <f>#REF!</f>
        <v>#REF!</v>
      </c>
      <c r="AD213" t="e">
        <f>#REF!</f>
        <v>#REF!</v>
      </c>
      <c r="AE213" t="e">
        <f>#REF!</f>
        <v>#REF!</v>
      </c>
      <c r="AF213" t="e">
        <f>#REF!</f>
        <v>#REF!</v>
      </c>
      <c r="AG213" t="e">
        <f>#REF!</f>
        <v>#REF!</v>
      </c>
      <c r="AH213" t="e">
        <f>#REF!</f>
        <v>#REF!</v>
      </c>
      <c r="AI213" t="e">
        <f>#REF!</f>
        <v>#REF!</v>
      </c>
      <c r="AO213" s="159" t="e">
        <f>IF(#REF!="",0,#REF!)</f>
        <v>#REF!</v>
      </c>
      <c r="AP213" s="160" t="e">
        <f t="shared" si="6"/>
        <v>#REF!</v>
      </c>
    </row>
    <row r="214" spans="2:42" x14ac:dyDescent="0.25">
      <c r="B214" t="e">
        <f>#REF!</f>
        <v>#REF!</v>
      </c>
      <c r="C214" t="e">
        <f>#REF!</f>
        <v>#REF!</v>
      </c>
      <c r="D214" t="e">
        <f>#REF!</f>
        <v>#REF!</v>
      </c>
      <c r="E214" s="14" t="e">
        <f>#REF!</f>
        <v>#REF!</v>
      </c>
      <c r="F214" t="e">
        <f>#REF!</f>
        <v>#REF!</v>
      </c>
      <c r="G214" t="e">
        <f>#REF!</f>
        <v>#REF!</v>
      </c>
      <c r="H214" t="e">
        <f>#REF!</f>
        <v>#REF!</v>
      </c>
      <c r="I214" t="e">
        <f>#REF!</f>
        <v>#REF!</v>
      </c>
      <c r="J214" t="e">
        <f>#REF!</f>
        <v>#REF!</v>
      </c>
      <c r="K214" t="e">
        <f>#REF!</f>
        <v>#REF!</v>
      </c>
      <c r="L214" t="e">
        <f>#REF!</f>
        <v>#REF!</v>
      </c>
      <c r="M214" t="e">
        <f>#REF!</f>
        <v>#REF!</v>
      </c>
      <c r="N214" t="e">
        <f>#REF!</f>
        <v>#REF!</v>
      </c>
      <c r="O214" t="e">
        <f>#REF!</f>
        <v>#REF!</v>
      </c>
      <c r="P214" t="e">
        <f>#REF!</f>
        <v>#REF!</v>
      </c>
      <c r="Q214" t="e">
        <f>#REF!</f>
        <v>#REF!</v>
      </c>
      <c r="R214" t="e">
        <f>#REF!</f>
        <v>#REF!</v>
      </c>
      <c r="S214" t="e">
        <f>#REF!</f>
        <v>#REF!</v>
      </c>
      <c r="T214" t="e">
        <f>#REF!</f>
        <v>#REF!</v>
      </c>
      <c r="U214" t="e">
        <f>#REF!</f>
        <v>#REF!</v>
      </c>
      <c r="V214" t="e">
        <f>#REF!</f>
        <v>#REF!</v>
      </c>
      <c r="W214" t="e">
        <f>#REF!</f>
        <v>#REF!</v>
      </c>
      <c r="X214" t="e">
        <f>#REF!</f>
        <v>#REF!</v>
      </c>
      <c r="Y214" t="e">
        <f>#REF!</f>
        <v>#REF!</v>
      </c>
      <c r="Z214" t="e">
        <f>#REF!</f>
        <v>#REF!</v>
      </c>
      <c r="AA214" t="e">
        <f>#REF!</f>
        <v>#REF!</v>
      </c>
      <c r="AB214" t="e">
        <f>#REF!</f>
        <v>#REF!</v>
      </c>
      <c r="AC214" t="e">
        <f>#REF!</f>
        <v>#REF!</v>
      </c>
      <c r="AD214" t="e">
        <f>#REF!</f>
        <v>#REF!</v>
      </c>
      <c r="AE214" t="e">
        <f>#REF!</f>
        <v>#REF!</v>
      </c>
      <c r="AF214" t="e">
        <f>#REF!</f>
        <v>#REF!</v>
      </c>
      <c r="AG214" t="e">
        <f>#REF!</f>
        <v>#REF!</v>
      </c>
      <c r="AH214" t="e">
        <f>#REF!</f>
        <v>#REF!</v>
      </c>
      <c r="AI214" t="e">
        <f>#REF!</f>
        <v>#REF!</v>
      </c>
      <c r="AO214" s="159" t="e">
        <f>IF(#REF!="",0,#REF!)</f>
        <v>#REF!</v>
      </c>
      <c r="AP214" s="160" t="e">
        <f t="shared" si="6"/>
        <v>#REF!</v>
      </c>
    </row>
    <row r="215" spans="2:42" x14ac:dyDescent="0.25">
      <c r="B215" t="e">
        <f>#REF!</f>
        <v>#REF!</v>
      </c>
      <c r="C215" t="e">
        <f>#REF!</f>
        <v>#REF!</v>
      </c>
      <c r="D215" t="e">
        <f>#REF!</f>
        <v>#REF!</v>
      </c>
      <c r="E215" s="14" t="e">
        <f>#REF!</f>
        <v>#REF!</v>
      </c>
      <c r="F215" t="e">
        <f>#REF!</f>
        <v>#REF!</v>
      </c>
      <c r="G215" t="e">
        <f>#REF!</f>
        <v>#REF!</v>
      </c>
      <c r="H215" t="e">
        <f>#REF!</f>
        <v>#REF!</v>
      </c>
      <c r="I215" t="e">
        <f>#REF!</f>
        <v>#REF!</v>
      </c>
      <c r="J215" t="e">
        <f>#REF!</f>
        <v>#REF!</v>
      </c>
      <c r="K215" t="e">
        <f>#REF!</f>
        <v>#REF!</v>
      </c>
      <c r="L215" t="e">
        <f>#REF!</f>
        <v>#REF!</v>
      </c>
      <c r="M215" t="e">
        <f>#REF!</f>
        <v>#REF!</v>
      </c>
      <c r="N215" t="e">
        <f>#REF!</f>
        <v>#REF!</v>
      </c>
      <c r="O215" t="e">
        <f>#REF!</f>
        <v>#REF!</v>
      </c>
      <c r="P215" t="e">
        <f>#REF!</f>
        <v>#REF!</v>
      </c>
      <c r="Q215" t="e">
        <f>#REF!</f>
        <v>#REF!</v>
      </c>
      <c r="R215" t="e">
        <f>#REF!</f>
        <v>#REF!</v>
      </c>
      <c r="S215" t="e">
        <f>#REF!</f>
        <v>#REF!</v>
      </c>
      <c r="T215" t="e">
        <f>#REF!</f>
        <v>#REF!</v>
      </c>
      <c r="U215" t="e">
        <f>#REF!</f>
        <v>#REF!</v>
      </c>
      <c r="V215" t="e">
        <f>#REF!</f>
        <v>#REF!</v>
      </c>
      <c r="W215" t="e">
        <f>#REF!</f>
        <v>#REF!</v>
      </c>
      <c r="X215" t="e">
        <f>#REF!</f>
        <v>#REF!</v>
      </c>
      <c r="Y215" t="e">
        <f>#REF!</f>
        <v>#REF!</v>
      </c>
      <c r="Z215" t="e">
        <f>#REF!</f>
        <v>#REF!</v>
      </c>
      <c r="AA215" t="e">
        <f>#REF!</f>
        <v>#REF!</v>
      </c>
      <c r="AB215" t="e">
        <f>#REF!</f>
        <v>#REF!</v>
      </c>
      <c r="AC215" t="e">
        <f>#REF!</f>
        <v>#REF!</v>
      </c>
      <c r="AD215" t="e">
        <f>#REF!</f>
        <v>#REF!</v>
      </c>
      <c r="AE215" t="e">
        <f>#REF!</f>
        <v>#REF!</v>
      </c>
      <c r="AF215" t="e">
        <f>#REF!</f>
        <v>#REF!</v>
      </c>
      <c r="AG215" t="e">
        <f>#REF!</f>
        <v>#REF!</v>
      </c>
      <c r="AH215" t="e">
        <f>#REF!</f>
        <v>#REF!</v>
      </c>
      <c r="AI215" t="e">
        <f>#REF!</f>
        <v>#REF!</v>
      </c>
      <c r="AO215" s="159" t="e">
        <f>IF(#REF!="",0,#REF!)</f>
        <v>#REF!</v>
      </c>
      <c r="AP215" s="160" t="e">
        <f t="shared" si="6"/>
        <v>#REF!</v>
      </c>
    </row>
    <row r="216" spans="2:42" x14ac:dyDescent="0.25">
      <c r="B216" t="e">
        <f>#REF!</f>
        <v>#REF!</v>
      </c>
      <c r="C216" t="e">
        <f>#REF!</f>
        <v>#REF!</v>
      </c>
      <c r="D216" t="e">
        <f>#REF!</f>
        <v>#REF!</v>
      </c>
      <c r="E216" s="14" t="e">
        <f>#REF!</f>
        <v>#REF!</v>
      </c>
      <c r="F216" t="e">
        <f>#REF!</f>
        <v>#REF!</v>
      </c>
      <c r="G216" t="e">
        <f>#REF!</f>
        <v>#REF!</v>
      </c>
      <c r="H216" t="e">
        <f>#REF!</f>
        <v>#REF!</v>
      </c>
      <c r="I216" t="e">
        <f>#REF!</f>
        <v>#REF!</v>
      </c>
      <c r="J216" t="e">
        <f>#REF!</f>
        <v>#REF!</v>
      </c>
      <c r="K216" t="e">
        <f>#REF!</f>
        <v>#REF!</v>
      </c>
      <c r="L216" t="e">
        <f>#REF!</f>
        <v>#REF!</v>
      </c>
      <c r="M216" t="e">
        <f>#REF!</f>
        <v>#REF!</v>
      </c>
      <c r="N216" t="e">
        <f>#REF!</f>
        <v>#REF!</v>
      </c>
      <c r="O216" t="e">
        <f>#REF!</f>
        <v>#REF!</v>
      </c>
      <c r="P216" t="e">
        <f>#REF!</f>
        <v>#REF!</v>
      </c>
      <c r="Q216" t="e">
        <f>#REF!</f>
        <v>#REF!</v>
      </c>
      <c r="R216" t="e">
        <f>#REF!</f>
        <v>#REF!</v>
      </c>
      <c r="S216" t="e">
        <f>#REF!</f>
        <v>#REF!</v>
      </c>
      <c r="T216" t="e">
        <f>#REF!</f>
        <v>#REF!</v>
      </c>
      <c r="U216" t="e">
        <f>#REF!</f>
        <v>#REF!</v>
      </c>
      <c r="V216" t="e">
        <f>#REF!</f>
        <v>#REF!</v>
      </c>
      <c r="W216" t="e">
        <f>#REF!</f>
        <v>#REF!</v>
      </c>
      <c r="X216" t="e">
        <f>#REF!</f>
        <v>#REF!</v>
      </c>
      <c r="Y216" t="e">
        <f>#REF!</f>
        <v>#REF!</v>
      </c>
      <c r="Z216" t="e">
        <f>#REF!</f>
        <v>#REF!</v>
      </c>
      <c r="AA216" t="e">
        <f>#REF!</f>
        <v>#REF!</v>
      </c>
      <c r="AB216" t="e">
        <f>#REF!</f>
        <v>#REF!</v>
      </c>
      <c r="AC216" t="e">
        <f>#REF!</f>
        <v>#REF!</v>
      </c>
      <c r="AD216" t="e">
        <f>#REF!</f>
        <v>#REF!</v>
      </c>
      <c r="AE216" t="e">
        <f>#REF!</f>
        <v>#REF!</v>
      </c>
      <c r="AF216" t="e">
        <f>#REF!</f>
        <v>#REF!</v>
      </c>
      <c r="AG216" t="e">
        <f>#REF!</f>
        <v>#REF!</v>
      </c>
      <c r="AH216" t="e">
        <f>#REF!</f>
        <v>#REF!</v>
      </c>
      <c r="AI216" t="e">
        <f>#REF!</f>
        <v>#REF!</v>
      </c>
      <c r="AO216" s="159" t="e">
        <f>IF(#REF!="",0,#REF!)</f>
        <v>#REF!</v>
      </c>
      <c r="AP216" s="160" t="e">
        <f t="shared" si="6"/>
        <v>#REF!</v>
      </c>
    </row>
    <row r="217" spans="2:42" x14ac:dyDescent="0.25">
      <c r="B217" t="e">
        <f>#REF!</f>
        <v>#REF!</v>
      </c>
      <c r="C217" t="e">
        <f>#REF!</f>
        <v>#REF!</v>
      </c>
      <c r="D217" t="e">
        <f>#REF!</f>
        <v>#REF!</v>
      </c>
      <c r="E217" s="14" t="e">
        <f>#REF!</f>
        <v>#REF!</v>
      </c>
      <c r="F217" t="e">
        <f>#REF!</f>
        <v>#REF!</v>
      </c>
      <c r="G217" t="e">
        <f>#REF!</f>
        <v>#REF!</v>
      </c>
      <c r="H217" t="e">
        <f>#REF!</f>
        <v>#REF!</v>
      </c>
      <c r="I217" t="e">
        <f>#REF!</f>
        <v>#REF!</v>
      </c>
      <c r="J217" t="e">
        <f>#REF!</f>
        <v>#REF!</v>
      </c>
      <c r="K217" t="e">
        <f>#REF!</f>
        <v>#REF!</v>
      </c>
      <c r="L217" t="e">
        <f>#REF!</f>
        <v>#REF!</v>
      </c>
      <c r="M217" t="e">
        <f>#REF!</f>
        <v>#REF!</v>
      </c>
      <c r="N217" t="e">
        <f>#REF!</f>
        <v>#REF!</v>
      </c>
      <c r="O217" t="e">
        <f>#REF!</f>
        <v>#REF!</v>
      </c>
      <c r="P217" t="e">
        <f>#REF!</f>
        <v>#REF!</v>
      </c>
      <c r="Q217" t="e">
        <f>#REF!</f>
        <v>#REF!</v>
      </c>
      <c r="R217" t="e">
        <f>#REF!</f>
        <v>#REF!</v>
      </c>
      <c r="S217" t="e">
        <f>#REF!</f>
        <v>#REF!</v>
      </c>
      <c r="T217" t="e">
        <f>#REF!</f>
        <v>#REF!</v>
      </c>
      <c r="U217" t="e">
        <f>#REF!</f>
        <v>#REF!</v>
      </c>
      <c r="V217" t="e">
        <f>#REF!</f>
        <v>#REF!</v>
      </c>
      <c r="W217" t="e">
        <f>#REF!</f>
        <v>#REF!</v>
      </c>
      <c r="X217" t="e">
        <f>#REF!</f>
        <v>#REF!</v>
      </c>
      <c r="Y217" t="e">
        <f>#REF!</f>
        <v>#REF!</v>
      </c>
      <c r="Z217" t="e">
        <f>#REF!</f>
        <v>#REF!</v>
      </c>
      <c r="AA217" t="e">
        <f>#REF!</f>
        <v>#REF!</v>
      </c>
      <c r="AB217" t="e">
        <f>#REF!</f>
        <v>#REF!</v>
      </c>
      <c r="AC217" t="e">
        <f>#REF!</f>
        <v>#REF!</v>
      </c>
      <c r="AD217" t="e">
        <f>#REF!</f>
        <v>#REF!</v>
      </c>
      <c r="AE217" t="e">
        <f>#REF!</f>
        <v>#REF!</v>
      </c>
      <c r="AF217" t="e">
        <f>#REF!</f>
        <v>#REF!</v>
      </c>
      <c r="AG217" t="e">
        <f>#REF!</f>
        <v>#REF!</v>
      </c>
      <c r="AH217" t="e">
        <f>#REF!</f>
        <v>#REF!</v>
      </c>
      <c r="AI217" t="e">
        <f>#REF!</f>
        <v>#REF!</v>
      </c>
      <c r="AO217" s="159" t="e">
        <f>IF(#REF!="",0,#REF!)</f>
        <v>#REF!</v>
      </c>
      <c r="AP217" s="160" t="e">
        <f t="shared" si="6"/>
        <v>#REF!</v>
      </c>
    </row>
    <row r="218" spans="2:42" x14ac:dyDescent="0.25">
      <c r="B218" t="e">
        <f>#REF!</f>
        <v>#REF!</v>
      </c>
      <c r="C218" t="e">
        <f>#REF!</f>
        <v>#REF!</v>
      </c>
      <c r="D218" t="e">
        <f>#REF!</f>
        <v>#REF!</v>
      </c>
      <c r="E218" s="14" t="e">
        <f>#REF!</f>
        <v>#REF!</v>
      </c>
      <c r="F218" t="e">
        <f>#REF!</f>
        <v>#REF!</v>
      </c>
      <c r="G218" t="e">
        <f>#REF!</f>
        <v>#REF!</v>
      </c>
      <c r="H218" t="e">
        <f>#REF!</f>
        <v>#REF!</v>
      </c>
      <c r="I218" t="e">
        <f>#REF!</f>
        <v>#REF!</v>
      </c>
      <c r="J218" t="e">
        <f>#REF!</f>
        <v>#REF!</v>
      </c>
      <c r="K218" t="e">
        <f>#REF!</f>
        <v>#REF!</v>
      </c>
      <c r="L218" t="e">
        <f>#REF!</f>
        <v>#REF!</v>
      </c>
      <c r="M218" t="e">
        <f>#REF!</f>
        <v>#REF!</v>
      </c>
      <c r="N218" t="e">
        <f>#REF!</f>
        <v>#REF!</v>
      </c>
      <c r="O218" t="e">
        <f>#REF!</f>
        <v>#REF!</v>
      </c>
      <c r="P218" t="e">
        <f>#REF!</f>
        <v>#REF!</v>
      </c>
      <c r="Q218" t="e">
        <f>#REF!</f>
        <v>#REF!</v>
      </c>
      <c r="R218" t="e">
        <f>#REF!</f>
        <v>#REF!</v>
      </c>
      <c r="S218" t="e">
        <f>#REF!</f>
        <v>#REF!</v>
      </c>
      <c r="T218" t="e">
        <f>#REF!</f>
        <v>#REF!</v>
      </c>
      <c r="U218" t="e">
        <f>#REF!</f>
        <v>#REF!</v>
      </c>
      <c r="V218" t="e">
        <f>#REF!</f>
        <v>#REF!</v>
      </c>
      <c r="W218" t="e">
        <f>#REF!</f>
        <v>#REF!</v>
      </c>
      <c r="X218" t="e">
        <f>#REF!</f>
        <v>#REF!</v>
      </c>
      <c r="Y218" t="e">
        <f>#REF!</f>
        <v>#REF!</v>
      </c>
      <c r="Z218" t="e">
        <f>#REF!</f>
        <v>#REF!</v>
      </c>
      <c r="AA218" t="e">
        <f>#REF!</f>
        <v>#REF!</v>
      </c>
      <c r="AB218" t="e">
        <f>#REF!</f>
        <v>#REF!</v>
      </c>
      <c r="AC218" t="e">
        <f>#REF!</f>
        <v>#REF!</v>
      </c>
      <c r="AD218" t="e">
        <f>#REF!</f>
        <v>#REF!</v>
      </c>
      <c r="AE218" t="e">
        <f>#REF!</f>
        <v>#REF!</v>
      </c>
      <c r="AF218" t="e">
        <f>#REF!</f>
        <v>#REF!</v>
      </c>
      <c r="AG218" t="e">
        <f>#REF!</f>
        <v>#REF!</v>
      </c>
      <c r="AH218" t="e">
        <f>#REF!</f>
        <v>#REF!</v>
      </c>
      <c r="AI218" t="e">
        <f>#REF!</f>
        <v>#REF!</v>
      </c>
      <c r="AO218" s="159" t="e">
        <f>IF(#REF!="",0,#REF!)</f>
        <v>#REF!</v>
      </c>
      <c r="AP218" s="160" t="e">
        <f t="shared" si="6"/>
        <v>#REF!</v>
      </c>
    </row>
    <row r="219" spans="2:42" x14ac:dyDescent="0.25">
      <c r="B219" t="e">
        <f>#REF!</f>
        <v>#REF!</v>
      </c>
      <c r="C219" t="e">
        <f>#REF!</f>
        <v>#REF!</v>
      </c>
      <c r="D219" t="e">
        <f>#REF!</f>
        <v>#REF!</v>
      </c>
      <c r="E219" s="14" t="e">
        <f>#REF!</f>
        <v>#REF!</v>
      </c>
      <c r="F219" t="e">
        <f>#REF!</f>
        <v>#REF!</v>
      </c>
      <c r="G219" t="e">
        <f>#REF!</f>
        <v>#REF!</v>
      </c>
      <c r="H219" t="e">
        <f>#REF!</f>
        <v>#REF!</v>
      </c>
      <c r="I219" t="e">
        <f>#REF!</f>
        <v>#REF!</v>
      </c>
      <c r="J219" t="e">
        <f>#REF!</f>
        <v>#REF!</v>
      </c>
      <c r="K219" t="e">
        <f>#REF!</f>
        <v>#REF!</v>
      </c>
      <c r="L219" t="e">
        <f>#REF!</f>
        <v>#REF!</v>
      </c>
      <c r="M219" t="e">
        <f>#REF!</f>
        <v>#REF!</v>
      </c>
      <c r="N219" t="e">
        <f>#REF!</f>
        <v>#REF!</v>
      </c>
      <c r="O219" t="e">
        <f>#REF!</f>
        <v>#REF!</v>
      </c>
      <c r="P219" t="e">
        <f>#REF!</f>
        <v>#REF!</v>
      </c>
      <c r="Q219" t="e">
        <f>#REF!</f>
        <v>#REF!</v>
      </c>
      <c r="R219" t="e">
        <f>#REF!</f>
        <v>#REF!</v>
      </c>
      <c r="S219" t="e">
        <f>#REF!</f>
        <v>#REF!</v>
      </c>
      <c r="T219" t="e">
        <f>#REF!</f>
        <v>#REF!</v>
      </c>
      <c r="U219" t="e">
        <f>#REF!</f>
        <v>#REF!</v>
      </c>
      <c r="V219" t="e">
        <f>#REF!</f>
        <v>#REF!</v>
      </c>
      <c r="W219" t="e">
        <f>#REF!</f>
        <v>#REF!</v>
      </c>
      <c r="X219" t="e">
        <f>#REF!</f>
        <v>#REF!</v>
      </c>
      <c r="Y219" t="e">
        <f>#REF!</f>
        <v>#REF!</v>
      </c>
      <c r="Z219" t="e">
        <f>#REF!</f>
        <v>#REF!</v>
      </c>
      <c r="AA219" t="e">
        <f>#REF!</f>
        <v>#REF!</v>
      </c>
      <c r="AB219" t="e">
        <f>#REF!</f>
        <v>#REF!</v>
      </c>
      <c r="AC219" t="e">
        <f>#REF!</f>
        <v>#REF!</v>
      </c>
      <c r="AD219" t="e">
        <f>#REF!</f>
        <v>#REF!</v>
      </c>
      <c r="AE219" t="e">
        <f>#REF!</f>
        <v>#REF!</v>
      </c>
      <c r="AF219" t="e">
        <f>#REF!</f>
        <v>#REF!</v>
      </c>
      <c r="AG219" t="e">
        <f>#REF!</f>
        <v>#REF!</v>
      </c>
      <c r="AH219" t="e">
        <f>#REF!</f>
        <v>#REF!</v>
      </c>
      <c r="AI219" t="e">
        <f>#REF!</f>
        <v>#REF!</v>
      </c>
      <c r="AO219" s="159" t="e">
        <f>IF(#REF!="",0,#REF!)</f>
        <v>#REF!</v>
      </c>
      <c r="AP219" s="160" t="e">
        <f t="shared" si="6"/>
        <v>#REF!</v>
      </c>
    </row>
    <row r="220" spans="2:42" x14ac:dyDescent="0.25">
      <c r="B220" t="e">
        <f>#REF!</f>
        <v>#REF!</v>
      </c>
      <c r="C220" t="e">
        <f>#REF!</f>
        <v>#REF!</v>
      </c>
      <c r="D220" t="e">
        <f>#REF!</f>
        <v>#REF!</v>
      </c>
      <c r="E220" s="14" t="e">
        <f>#REF!</f>
        <v>#REF!</v>
      </c>
      <c r="F220" t="e">
        <f>#REF!</f>
        <v>#REF!</v>
      </c>
      <c r="G220" t="e">
        <f>#REF!</f>
        <v>#REF!</v>
      </c>
      <c r="H220" t="e">
        <f>#REF!</f>
        <v>#REF!</v>
      </c>
      <c r="I220" t="e">
        <f>#REF!</f>
        <v>#REF!</v>
      </c>
      <c r="J220" t="e">
        <f>#REF!</f>
        <v>#REF!</v>
      </c>
      <c r="K220" t="e">
        <f>#REF!</f>
        <v>#REF!</v>
      </c>
      <c r="L220" t="e">
        <f>#REF!</f>
        <v>#REF!</v>
      </c>
      <c r="M220" t="e">
        <f>#REF!</f>
        <v>#REF!</v>
      </c>
      <c r="N220" t="e">
        <f>#REF!</f>
        <v>#REF!</v>
      </c>
      <c r="O220" t="e">
        <f>#REF!</f>
        <v>#REF!</v>
      </c>
      <c r="P220" t="e">
        <f>#REF!</f>
        <v>#REF!</v>
      </c>
      <c r="Q220" t="e">
        <f>#REF!</f>
        <v>#REF!</v>
      </c>
      <c r="R220" t="e">
        <f>#REF!</f>
        <v>#REF!</v>
      </c>
      <c r="S220" t="e">
        <f>#REF!</f>
        <v>#REF!</v>
      </c>
      <c r="T220" t="e">
        <f>#REF!</f>
        <v>#REF!</v>
      </c>
      <c r="U220" t="e">
        <f>#REF!</f>
        <v>#REF!</v>
      </c>
      <c r="V220" t="e">
        <f>#REF!</f>
        <v>#REF!</v>
      </c>
      <c r="W220" t="e">
        <f>#REF!</f>
        <v>#REF!</v>
      </c>
      <c r="X220" t="e">
        <f>#REF!</f>
        <v>#REF!</v>
      </c>
      <c r="Y220" t="e">
        <f>#REF!</f>
        <v>#REF!</v>
      </c>
      <c r="Z220" t="e">
        <f>#REF!</f>
        <v>#REF!</v>
      </c>
      <c r="AA220" t="e">
        <f>#REF!</f>
        <v>#REF!</v>
      </c>
      <c r="AB220" t="e">
        <f>#REF!</f>
        <v>#REF!</v>
      </c>
      <c r="AC220" t="e">
        <f>#REF!</f>
        <v>#REF!</v>
      </c>
      <c r="AD220" t="e">
        <f>#REF!</f>
        <v>#REF!</v>
      </c>
      <c r="AE220" t="e">
        <f>#REF!</f>
        <v>#REF!</v>
      </c>
      <c r="AF220" t="e">
        <f>#REF!</f>
        <v>#REF!</v>
      </c>
      <c r="AG220" t="e">
        <f>#REF!</f>
        <v>#REF!</v>
      </c>
      <c r="AH220" t="e">
        <f>#REF!</f>
        <v>#REF!</v>
      </c>
      <c r="AI220" t="e">
        <f>#REF!</f>
        <v>#REF!</v>
      </c>
      <c r="AO220" s="159" t="e">
        <f>IF(#REF!="",0,#REF!)</f>
        <v>#REF!</v>
      </c>
      <c r="AP220" s="160" t="e">
        <f t="shared" si="6"/>
        <v>#REF!</v>
      </c>
    </row>
    <row r="221" spans="2:42" x14ac:dyDescent="0.25">
      <c r="B221" t="e">
        <f>#REF!</f>
        <v>#REF!</v>
      </c>
      <c r="C221" t="e">
        <f>#REF!</f>
        <v>#REF!</v>
      </c>
      <c r="D221" t="e">
        <f>#REF!</f>
        <v>#REF!</v>
      </c>
      <c r="E221" s="14" t="e">
        <f>#REF!</f>
        <v>#REF!</v>
      </c>
      <c r="F221" t="e">
        <f>#REF!</f>
        <v>#REF!</v>
      </c>
      <c r="G221" t="e">
        <f>#REF!</f>
        <v>#REF!</v>
      </c>
      <c r="H221" t="e">
        <f>#REF!</f>
        <v>#REF!</v>
      </c>
      <c r="I221" t="e">
        <f>#REF!</f>
        <v>#REF!</v>
      </c>
      <c r="J221" t="e">
        <f>#REF!</f>
        <v>#REF!</v>
      </c>
      <c r="K221" t="e">
        <f>#REF!</f>
        <v>#REF!</v>
      </c>
      <c r="L221" t="e">
        <f>#REF!</f>
        <v>#REF!</v>
      </c>
      <c r="M221" t="e">
        <f>#REF!</f>
        <v>#REF!</v>
      </c>
      <c r="N221" t="e">
        <f>#REF!</f>
        <v>#REF!</v>
      </c>
      <c r="O221" t="e">
        <f>#REF!</f>
        <v>#REF!</v>
      </c>
      <c r="P221" t="e">
        <f>#REF!</f>
        <v>#REF!</v>
      </c>
      <c r="Q221" t="e">
        <f>#REF!</f>
        <v>#REF!</v>
      </c>
      <c r="R221" t="e">
        <f>#REF!</f>
        <v>#REF!</v>
      </c>
      <c r="S221" t="e">
        <f>#REF!</f>
        <v>#REF!</v>
      </c>
      <c r="T221" t="e">
        <f>#REF!</f>
        <v>#REF!</v>
      </c>
      <c r="U221" t="e">
        <f>#REF!</f>
        <v>#REF!</v>
      </c>
      <c r="V221" t="e">
        <f>#REF!</f>
        <v>#REF!</v>
      </c>
      <c r="W221" t="e">
        <f>#REF!</f>
        <v>#REF!</v>
      </c>
      <c r="X221" t="e">
        <f>#REF!</f>
        <v>#REF!</v>
      </c>
      <c r="Y221" t="e">
        <f>#REF!</f>
        <v>#REF!</v>
      </c>
      <c r="Z221" t="e">
        <f>#REF!</f>
        <v>#REF!</v>
      </c>
      <c r="AA221" t="e">
        <f>#REF!</f>
        <v>#REF!</v>
      </c>
      <c r="AB221" t="e">
        <f>#REF!</f>
        <v>#REF!</v>
      </c>
      <c r="AC221" t="e">
        <f>#REF!</f>
        <v>#REF!</v>
      </c>
      <c r="AD221" t="e">
        <f>#REF!</f>
        <v>#REF!</v>
      </c>
      <c r="AE221" t="e">
        <f>#REF!</f>
        <v>#REF!</v>
      </c>
      <c r="AF221" t="e">
        <f>#REF!</f>
        <v>#REF!</v>
      </c>
      <c r="AG221" t="e">
        <f>#REF!</f>
        <v>#REF!</v>
      </c>
      <c r="AH221" t="e">
        <f>#REF!</f>
        <v>#REF!</v>
      </c>
      <c r="AI221" t="e">
        <f>#REF!</f>
        <v>#REF!</v>
      </c>
      <c r="AO221" s="159" t="e">
        <f>IF(#REF!="",0,#REF!)</f>
        <v>#REF!</v>
      </c>
      <c r="AP221" s="160" t="e">
        <f t="shared" si="6"/>
        <v>#REF!</v>
      </c>
    </row>
    <row r="222" spans="2:42" x14ac:dyDescent="0.25">
      <c r="B222" t="e">
        <f>#REF!</f>
        <v>#REF!</v>
      </c>
      <c r="C222" t="e">
        <f>#REF!</f>
        <v>#REF!</v>
      </c>
      <c r="D222" t="e">
        <f>#REF!</f>
        <v>#REF!</v>
      </c>
      <c r="E222" s="14" t="e">
        <f>#REF!</f>
        <v>#REF!</v>
      </c>
      <c r="F222" t="e">
        <f>#REF!</f>
        <v>#REF!</v>
      </c>
      <c r="G222" t="e">
        <f>#REF!</f>
        <v>#REF!</v>
      </c>
      <c r="H222" t="e">
        <f>#REF!</f>
        <v>#REF!</v>
      </c>
      <c r="I222" t="e">
        <f>#REF!</f>
        <v>#REF!</v>
      </c>
      <c r="J222" t="e">
        <f>#REF!</f>
        <v>#REF!</v>
      </c>
      <c r="K222" t="e">
        <f>#REF!</f>
        <v>#REF!</v>
      </c>
      <c r="L222" t="e">
        <f>#REF!</f>
        <v>#REF!</v>
      </c>
      <c r="M222" t="e">
        <f>#REF!</f>
        <v>#REF!</v>
      </c>
      <c r="N222" t="e">
        <f>#REF!</f>
        <v>#REF!</v>
      </c>
      <c r="O222" t="e">
        <f>#REF!</f>
        <v>#REF!</v>
      </c>
      <c r="P222" t="e">
        <f>#REF!</f>
        <v>#REF!</v>
      </c>
      <c r="Q222" t="e">
        <f>#REF!</f>
        <v>#REF!</v>
      </c>
      <c r="R222" t="e">
        <f>#REF!</f>
        <v>#REF!</v>
      </c>
      <c r="S222" t="e">
        <f>#REF!</f>
        <v>#REF!</v>
      </c>
      <c r="T222" t="e">
        <f>#REF!</f>
        <v>#REF!</v>
      </c>
      <c r="U222" t="e">
        <f>#REF!</f>
        <v>#REF!</v>
      </c>
      <c r="V222" t="e">
        <f>#REF!</f>
        <v>#REF!</v>
      </c>
      <c r="W222" t="e">
        <f>#REF!</f>
        <v>#REF!</v>
      </c>
      <c r="X222" t="e">
        <f>#REF!</f>
        <v>#REF!</v>
      </c>
      <c r="Y222" t="e">
        <f>#REF!</f>
        <v>#REF!</v>
      </c>
      <c r="Z222" t="e">
        <f>#REF!</f>
        <v>#REF!</v>
      </c>
      <c r="AA222" t="e">
        <f>#REF!</f>
        <v>#REF!</v>
      </c>
      <c r="AB222" t="e">
        <f>#REF!</f>
        <v>#REF!</v>
      </c>
      <c r="AC222" t="e">
        <f>#REF!</f>
        <v>#REF!</v>
      </c>
      <c r="AD222" t="e">
        <f>#REF!</f>
        <v>#REF!</v>
      </c>
      <c r="AE222" t="e">
        <f>#REF!</f>
        <v>#REF!</v>
      </c>
      <c r="AF222" t="e">
        <f>#REF!</f>
        <v>#REF!</v>
      </c>
      <c r="AG222" t="e">
        <f>#REF!</f>
        <v>#REF!</v>
      </c>
      <c r="AH222" t="e">
        <f>#REF!</f>
        <v>#REF!</v>
      </c>
      <c r="AI222" t="e">
        <f>#REF!</f>
        <v>#REF!</v>
      </c>
      <c r="AO222" s="159" t="e">
        <f>IF(#REF!="",0,#REF!)</f>
        <v>#REF!</v>
      </c>
      <c r="AP222" s="160" t="e">
        <f t="shared" si="6"/>
        <v>#REF!</v>
      </c>
    </row>
    <row r="223" spans="2:42" x14ac:dyDescent="0.25">
      <c r="B223" t="e">
        <f>#REF!</f>
        <v>#REF!</v>
      </c>
      <c r="C223" t="e">
        <f>#REF!</f>
        <v>#REF!</v>
      </c>
      <c r="D223" t="e">
        <f>#REF!</f>
        <v>#REF!</v>
      </c>
      <c r="E223" s="14" t="e">
        <f>#REF!</f>
        <v>#REF!</v>
      </c>
      <c r="F223" t="e">
        <f>#REF!</f>
        <v>#REF!</v>
      </c>
      <c r="G223" t="e">
        <f>#REF!</f>
        <v>#REF!</v>
      </c>
      <c r="H223" t="e">
        <f>#REF!</f>
        <v>#REF!</v>
      </c>
      <c r="I223" t="e">
        <f>#REF!</f>
        <v>#REF!</v>
      </c>
      <c r="J223" t="e">
        <f>#REF!</f>
        <v>#REF!</v>
      </c>
      <c r="K223" t="e">
        <f>#REF!</f>
        <v>#REF!</v>
      </c>
      <c r="L223" t="e">
        <f>#REF!</f>
        <v>#REF!</v>
      </c>
      <c r="M223" t="e">
        <f>#REF!</f>
        <v>#REF!</v>
      </c>
      <c r="N223" t="e">
        <f>#REF!</f>
        <v>#REF!</v>
      </c>
      <c r="O223" t="e">
        <f>#REF!</f>
        <v>#REF!</v>
      </c>
      <c r="P223" t="e">
        <f>#REF!</f>
        <v>#REF!</v>
      </c>
      <c r="Q223" t="e">
        <f>#REF!</f>
        <v>#REF!</v>
      </c>
      <c r="R223" t="e">
        <f>#REF!</f>
        <v>#REF!</v>
      </c>
      <c r="S223" t="e">
        <f>#REF!</f>
        <v>#REF!</v>
      </c>
      <c r="T223" t="e">
        <f>#REF!</f>
        <v>#REF!</v>
      </c>
      <c r="U223" t="e">
        <f>#REF!</f>
        <v>#REF!</v>
      </c>
      <c r="V223" t="e">
        <f>#REF!</f>
        <v>#REF!</v>
      </c>
      <c r="W223" t="e">
        <f>#REF!</f>
        <v>#REF!</v>
      </c>
      <c r="X223" t="e">
        <f>#REF!</f>
        <v>#REF!</v>
      </c>
      <c r="Y223" t="e">
        <f>#REF!</f>
        <v>#REF!</v>
      </c>
      <c r="Z223" t="e">
        <f>#REF!</f>
        <v>#REF!</v>
      </c>
      <c r="AA223" t="e">
        <f>#REF!</f>
        <v>#REF!</v>
      </c>
      <c r="AB223" t="e">
        <f>#REF!</f>
        <v>#REF!</v>
      </c>
      <c r="AC223" t="e">
        <f>#REF!</f>
        <v>#REF!</v>
      </c>
      <c r="AD223" t="e">
        <f>#REF!</f>
        <v>#REF!</v>
      </c>
      <c r="AE223" t="e">
        <f>#REF!</f>
        <v>#REF!</v>
      </c>
      <c r="AF223" t="e">
        <f>#REF!</f>
        <v>#REF!</v>
      </c>
      <c r="AG223" t="e">
        <f>#REF!</f>
        <v>#REF!</v>
      </c>
      <c r="AH223" t="e">
        <f>#REF!</f>
        <v>#REF!</v>
      </c>
      <c r="AI223" t="e">
        <f>#REF!</f>
        <v>#REF!</v>
      </c>
      <c r="AO223" s="159" t="e">
        <f>IF(#REF!="",0,#REF!)</f>
        <v>#REF!</v>
      </c>
      <c r="AP223" s="160" t="e">
        <f t="shared" si="6"/>
        <v>#REF!</v>
      </c>
    </row>
    <row r="224" spans="2:42" x14ac:dyDescent="0.25">
      <c r="B224" t="e">
        <f>#REF!</f>
        <v>#REF!</v>
      </c>
      <c r="C224" t="e">
        <f>#REF!</f>
        <v>#REF!</v>
      </c>
      <c r="D224" t="e">
        <f>#REF!</f>
        <v>#REF!</v>
      </c>
      <c r="E224" s="14" t="e">
        <f>#REF!</f>
        <v>#REF!</v>
      </c>
      <c r="F224" t="e">
        <f>#REF!</f>
        <v>#REF!</v>
      </c>
      <c r="G224" t="e">
        <f>#REF!</f>
        <v>#REF!</v>
      </c>
      <c r="H224" t="e">
        <f>#REF!</f>
        <v>#REF!</v>
      </c>
      <c r="I224" t="e">
        <f>#REF!</f>
        <v>#REF!</v>
      </c>
      <c r="J224" t="e">
        <f>#REF!</f>
        <v>#REF!</v>
      </c>
      <c r="K224" t="e">
        <f>#REF!</f>
        <v>#REF!</v>
      </c>
      <c r="L224" t="e">
        <f>#REF!</f>
        <v>#REF!</v>
      </c>
      <c r="M224" t="e">
        <f>#REF!</f>
        <v>#REF!</v>
      </c>
      <c r="N224" t="e">
        <f>#REF!</f>
        <v>#REF!</v>
      </c>
      <c r="O224" t="e">
        <f>#REF!</f>
        <v>#REF!</v>
      </c>
      <c r="P224" t="e">
        <f>#REF!</f>
        <v>#REF!</v>
      </c>
      <c r="Q224" t="e">
        <f>#REF!</f>
        <v>#REF!</v>
      </c>
      <c r="R224" t="e">
        <f>#REF!</f>
        <v>#REF!</v>
      </c>
      <c r="S224" t="e">
        <f>#REF!</f>
        <v>#REF!</v>
      </c>
      <c r="T224" t="e">
        <f>#REF!</f>
        <v>#REF!</v>
      </c>
      <c r="U224" t="e">
        <f>#REF!</f>
        <v>#REF!</v>
      </c>
      <c r="V224" t="e">
        <f>#REF!</f>
        <v>#REF!</v>
      </c>
      <c r="W224" t="e">
        <f>#REF!</f>
        <v>#REF!</v>
      </c>
      <c r="X224" t="e">
        <f>#REF!</f>
        <v>#REF!</v>
      </c>
      <c r="Y224" t="e">
        <f>#REF!</f>
        <v>#REF!</v>
      </c>
      <c r="Z224" t="e">
        <f>#REF!</f>
        <v>#REF!</v>
      </c>
      <c r="AA224" t="e">
        <f>#REF!</f>
        <v>#REF!</v>
      </c>
      <c r="AB224" t="e">
        <f>#REF!</f>
        <v>#REF!</v>
      </c>
      <c r="AC224" t="e">
        <f>#REF!</f>
        <v>#REF!</v>
      </c>
      <c r="AD224" t="e">
        <f>#REF!</f>
        <v>#REF!</v>
      </c>
      <c r="AE224" t="e">
        <f>#REF!</f>
        <v>#REF!</v>
      </c>
      <c r="AF224" t="e">
        <f>#REF!</f>
        <v>#REF!</v>
      </c>
      <c r="AG224" t="e">
        <f>#REF!</f>
        <v>#REF!</v>
      </c>
      <c r="AH224" t="e">
        <f>#REF!</f>
        <v>#REF!</v>
      </c>
      <c r="AI224" t="e">
        <f>#REF!</f>
        <v>#REF!</v>
      </c>
      <c r="AO224" s="159" t="e">
        <f>IF(#REF!="",0,#REF!)</f>
        <v>#REF!</v>
      </c>
      <c r="AP224" s="160" t="e">
        <f t="shared" si="6"/>
        <v>#REF!</v>
      </c>
    </row>
    <row r="225" spans="2:42" x14ac:dyDescent="0.25">
      <c r="B225" t="e">
        <f>#REF!</f>
        <v>#REF!</v>
      </c>
      <c r="C225" t="e">
        <f>#REF!</f>
        <v>#REF!</v>
      </c>
      <c r="D225" t="e">
        <f>#REF!</f>
        <v>#REF!</v>
      </c>
      <c r="E225" s="14" t="e">
        <f>#REF!</f>
        <v>#REF!</v>
      </c>
      <c r="F225" t="e">
        <f>#REF!</f>
        <v>#REF!</v>
      </c>
      <c r="G225" t="e">
        <f>#REF!</f>
        <v>#REF!</v>
      </c>
      <c r="H225" t="e">
        <f>#REF!</f>
        <v>#REF!</v>
      </c>
      <c r="I225" t="e">
        <f>#REF!</f>
        <v>#REF!</v>
      </c>
      <c r="J225" t="e">
        <f>#REF!</f>
        <v>#REF!</v>
      </c>
      <c r="K225" t="e">
        <f>#REF!</f>
        <v>#REF!</v>
      </c>
      <c r="L225" t="e">
        <f>#REF!</f>
        <v>#REF!</v>
      </c>
      <c r="M225" t="e">
        <f>#REF!</f>
        <v>#REF!</v>
      </c>
      <c r="N225" t="e">
        <f>#REF!</f>
        <v>#REF!</v>
      </c>
      <c r="O225" t="e">
        <f>#REF!</f>
        <v>#REF!</v>
      </c>
      <c r="P225" t="e">
        <f>#REF!</f>
        <v>#REF!</v>
      </c>
      <c r="Q225" t="e">
        <f>#REF!</f>
        <v>#REF!</v>
      </c>
      <c r="R225" t="e">
        <f>#REF!</f>
        <v>#REF!</v>
      </c>
      <c r="S225" t="e">
        <f>#REF!</f>
        <v>#REF!</v>
      </c>
      <c r="T225" t="e">
        <f>#REF!</f>
        <v>#REF!</v>
      </c>
      <c r="U225" t="e">
        <f>#REF!</f>
        <v>#REF!</v>
      </c>
      <c r="V225" t="e">
        <f>#REF!</f>
        <v>#REF!</v>
      </c>
      <c r="W225" t="e">
        <f>#REF!</f>
        <v>#REF!</v>
      </c>
      <c r="X225" t="e">
        <f>#REF!</f>
        <v>#REF!</v>
      </c>
      <c r="Y225" t="e">
        <f>#REF!</f>
        <v>#REF!</v>
      </c>
      <c r="Z225" t="e">
        <f>#REF!</f>
        <v>#REF!</v>
      </c>
      <c r="AA225" t="e">
        <f>#REF!</f>
        <v>#REF!</v>
      </c>
      <c r="AB225" t="e">
        <f>#REF!</f>
        <v>#REF!</v>
      </c>
      <c r="AC225" t="e">
        <f>#REF!</f>
        <v>#REF!</v>
      </c>
      <c r="AD225" t="e">
        <f>#REF!</f>
        <v>#REF!</v>
      </c>
      <c r="AE225" t="e">
        <f>#REF!</f>
        <v>#REF!</v>
      </c>
      <c r="AF225" t="e">
        <f>#REF!</f>
        <v>#REF!</v>
      </c>
      <c r="AG225" t="e">
        <f>#REF!</f>
        <v>#REF!</v>
      </c>
      <c r="AH225" t="e">
        <f>#REF!</f>
        <v>#REF!</v>
      </c>
      <c r="AI225" t="e">
        <f>#REF!</f>
        <v>#REF!</v>
      </c>
      <c r="AO225" s="159" t="e">
        <f>IF(#REF!="",0,#REF!)</f>
        <v>#REF!</v>
      </c>
      <c r="AP225" s="160" t="e">
        <f t="shared" si="6"/>
        <v>#REF!</v>
      </c>
    </row>
    <row r="226" spans="2:42" x14ac:dyDescent="0.25">
      <c r="B226" t="e">
        <f>#REF!</f>
        <v>#REF!</v>
      </c>
      <c r="C226" t="e">
        <f>#REF!</f>
        <v>#REF!</v>
      </c>
      <c r="D226" t="e">
        <f>#REF!</f>
        <v>#REF!</v>
      </c>
      <c r="E226" s="14" t="e">
        <f>#REF!</f>
        <v>#REF!</v>
      </c>
      <c r="F226" t="e">
        <f>#REF!</f>
        <v>#REF!</v>
      </c>
      <c r="G226" t="e">
        <f>#REF!</f>
        <v>#REF!</v>
      </c>
      <c r="H226" t="e">
        <f>#REF!</f>
        <v>#REF!</v>
      </c>
      <c r="I226" t="e">
        <f>#REF!</f>
        <v>#REF!</v>
      </c>
      <c r="J226" t="e">
        <f>#REF!</f>
        <v>#REF!</v>
      </c>
      <c r="K226" t="e">
        <f>#REF!</f>
        <v>#REF!</v>
      </c>
      <c r="L226" t="e">
        <f>#REF!</f>
        <v>#REF!</v>
      </c>
      <c r="M226" t="e">
        <f>#REF!</f>
        <v>#REF!</v>
      </c>
      <c r="N226" t="e">
        <f>#REF!</f>
        <v>#REF!</v>
      </c>
      <c r="O226" t="e">
        <f>#REF!</f>
        <v>#REF!</v>
      </c>
      <c r="P226" t="e">
        <f>#REF!</f>
        <v>#REF!</v>
      </c>
      <c r="Q226" t="e">
        <f>#REF!</f>
        <v>#REF!</v>
      </c>
      <c r="R226" t="e">
        <f>#REF!</f>
        <v>#REF!</v>
      </c>
      <c r="S226" t="e">
        <f>#REF!</f>
        <v>#REF!</v>
      </c>
      <c r="T226" t="e">
        <f>#REF!</f>
        <v>#REF!</v>
      </c>
      <c r="U226" t="e">
        <f>#REF!</f>
        <v>#REF!</v>
      </c>
      <c r="V226" t="e">
        <f>#REF!</f>
        <v>#REF!</v>
      </c>
      <c r="W226" t="e">
        <f>#REF!</f>
        <v>#REF!</v>
      </c>
      <c r="X226" t="e">
        <f>#REF!</f>
        <v>#REF!</v>
      </c>
      <c r="Y226" t="e">
        <f>#REF!</f>
        <v>#REF!</v>
      </c>
      <c r="Z226" t="e">
        <f>#REF!</f>
        <v>#REF!</v>
      </c>
      <c r="AA226" t="e">
        <f>#REF!</f>
        <v>#REF!</v>
      </c>
      <c r="AB226" t="e">
        <f>#REF!</f>
        <v>#REF!</v>
      </c>
      <c r="AC226" t="e">
        <f>#REF!</f>
        <v>#REF!</v>
      </c>
      <c r="AD226" t="e">
        <f>#REF!</f>
        <v>#REF!</v>
      </c>
      <c r="AE226" t="e">
        <f>#REF!</f>
        <v>#REF!</v>
      </c>
      <c r="AF226" t="e">
        <f>#REF!</f>
        <v>#REF!</v>
      </c>
      <c r="AG226" t="e">
        <f>#REF!</f>
        <v>#REF!</v>
      </c>
      <c r="AH226" t="e">
        <f>#REF!</f>
        <v>#REF!</v>
      </c>
      <c r="AI226" t="e">
        <f>#REF!</f>
        <v>#REF!</v>
      </c>
      <c r="AO226" s="159" t="e">
        <f>IF(#REF!="",0,#REF!)</f>
        <v>#REF!</v>
      </c>
      <c r="AP226" s="160" t="e">
        <f t="shared" si="6"/>
        <v>#REF!</v>
      </c>
    </row>
    <row r="227" spans="2:42" x14ac:dyDescent="0.25">
      <c r="B227" t="e">
        <f>#REF!</f>
        <v>#REF!</v>
      </c>
      <c r="C227" t="e">
        <f>#REF!</f>
        <v>#REF!</v>
      </c>
      <c r="D227" t="e">
        <f>#REF!</f>
        <v>#REF!</v>
      </c>
      <c r="E227" s="14" t="e">
        <f>#REF!</f>
        <v>#REF!</v>
      </c>
      <c r="F227" t="e">
        <f>#REF!</f>
        <v>#REF!</v>
      </c>
      <c r="G227" t="e">
        <f>#REF!</f>
        <v>#REF!</v>
      </c>
      <c r="H227" t="e">
        <f>#REF!</f>
        <v>#REF!</v>
      </c>
      <c r="I227" t="e">
        <f>#REF!</f>
        <v>#REF!</v>
      </c>
      <c r="J227" t="e">
        <f>#REF!</f>
        <v>#REF!</v>
      </c>
      <c r="K227" t="e">
        <f>#REF!</f>
        <v>#REF!</v>
      </c>
      <c r="L227" t="e">
        <f>#REF!</f>
        <v>#REF!</v>
      </c>
      <c r="M227" t="e">
        <f>#REF!</f>
        <v>#REF!</v>
      </c>
      <c r="N227" t="e">
        <f>#REF!</f>
        <v>#REF!</v>
      </c>
      <c r="O227" t="e">
        <f>#REF!</f>
        <v>#REF!</v>
      </c>
      <c r="P227" t="e">
        <f>#REF!</f>
        <v>#REF!</v>
      </c>
      <c r="Q227" t="e">
        <f>#REF!</f>
        <v>#REF!</v>
      </c>
      <c r="R227" t="e">
        <f>#REF!</f>
        <v>#REF!</v>
      </c>
      <c r="S227" t="e">
        <f>#REF!</f>
        <v>#REF!</v>
      </c>
      <c r="T227" t="e">
        <f>#REF!</f>
        <v>#REF!</v>
      </c>
      <c r="U227" t="e">
        <f>#REF!</f>
        <v>#REF!</v>
      </c>
      <c r="V227" t="e">
        <f>#REF!</f>
        <v>#REF!</v>
      </c>
      <c r="W227" t="e">
        <f>#REF!</f>
        <v>#REF!</v>
      </c>
      <c r="X227" t="e">
        <f>#REF!</f>
        <v>#REF!</v>
      </c>
      <c r="Y227" t="e">
        <f>#REF!</f>
        <v>#REF!</v>
      </c>
      <c r="Z227" t="e">
        <f>#REF!</f>
        <v>#REF!</v>
      </c>
      <c r="AA227" t="e">
        <f>#REF!</f>
        <v>#REF!</v>
      </c>
      <c r="AB227" t="e">
        <f>#REF!</f>
        <v>#REF!</v>
      </c>
      <c r="AC227" t="e">
        <f>#REF!</f>
        <v>#REF!</v>
      </c>
      <c r="AD227" t="e">
        <f>#REF!</f>
        <v>#REF!</v>
      </c>
      <c r="AE227" t="e">
        <f>#REF!</f>
        <v>#REF!</v>
      </c>
      <c r="AF227" t="e">
        <f>#REF!</f>
        <v>#REF!</v>
      </c>
      <c r="AG227" t="e">
        <f>#REF!</f>
        <v>#REF!</v>
      </c>
      <c r="AH227" t="e">
        <f>#REF!</f>
        <v>#REF!</v>
      </c>
      <c r="AI227" t="e">
        <f>#REF!</f>
        <v>#REF!</v>
      </c>
      <c r="AO227" s="159" t="e">
        <f>IF(#REF!="",0,#REF!)</f>
        <v>#REF!</v>
      </c>
      <c r="AP227" s="160" t="e">
        <f t="shared" si="6"/>
        <v>#REF!</v>
      </c>
    </row>
    <row r="228" spans="2:42" x14ac:dyDescent="0.25">
      <c r="B228" t="e">
        <f>#REF!</f>
        <v>#REF!</v>
      </c>
      <c r="C228" t="e">
        <f>#REF!</f>
        <v>#REF!</v>
      </c>
      <c r="D228" t="e">
        <f>#REF!</f>
        <v>#REF!</v>
      </c>
      <c r="E228" s="14" t="e">
        <f>#REF!</f>
        <v>#REF!</v>
      </c>
      <c r="F228" t="e">
        <f>#REF!</f>
        <v>#REF!</v>
      </c>
      <c r="G228" t="e">
        <f>#REF!</f>
        <v>#REF!</v>
      </c>
      <c r="H228" t="e">
        <f>#REF!</f>
        <v>#REF!</v>
      </c>
      <c r="I228" t="e">
        <f>#REF!</f>
        <v>#REF!</v>
      </c>
      <c r="J228" t="e">
        <f>#REF!</f>
        <v>#REF!</v>
      </c>
      <c r="K228" t="e">
        <f>#REF!</f>
        <v>#REF!</v>
      </c>
      <c r="L228" t="e">
        <f>#REF!</f>
        <v>#REF!</v>
      </c>
      <c r="M228" t="e">
        <f>#REF!</f>
        <v>#REF!</v>
      </c>
      <c r="N228" t="e">
        <f>#REF!</f>
        <v>#REF!</v>
      </c>
      <c r="O228" t="e">
        <f>#REF!</f>
        <v>#REF!</v>
      </c>
      <c r="P228" t="e">
        <f>#REF!</f>
        <v>#REF!</v>
      </c>
      <c r="Q228" t="e">
        <f>#REF!</f>
        <v>#REF!</v>
      </c>
      <c r="R228" t="e">
        <f>#REF!</f>
        <v>#REF!</v>
      </c>
      <c r="S228" t="e">
        <f>#REF!</f>
        <v>#REF!</v>
      </c>
      <c r="T228" t="e">
        <f>#REF!</f>
        <v>#REF!</v>
      </c>
      <c r="U228" t="e">
        <f>#REF!</f>
        <v>#REF!</v>
      </c>
      <c r="V228" t="e">
        <f>#REF!</f>
        <v>#REF!</v>
      </c>
      <c r="W228" t="e">
        <f>#REF!</f>
        <v>#REF!</v>
      </c>
      <c r="X228" t="e">
        <f>#REF!</f>
        <v>#REF!</v>
      </c>
      <c r="Y228" t="e">
        <f>#REF!</f>
        <v>#REF!</v>
      </c>
      <c r="Z228" t="e">
        <f>#REF!</f>
        <v>#REF!</v>
      </c>
      <c r="AA228" t="e">
        <f>#REF!</f>
        <v>#REF!</v>
      </c>
      <c r="AB228" t="e">
        <f>#REF!</f>
        <v>#REF!</v>
      </c>
      <c r="AC228" t="e">
        <f>#REF!</f>
        <v>#REF!</v>
      </c>
      <c r="AD228" t="e">
        <f>#REF!</f>
        <v>#REF!</v>
      </c>
      <c r="AE228" t="e">
        <f>#REF!</f>
        <v>#REF!</v>
      </c>
      <c r="AF228" t="e">
        <f>#REF!</f>
        <v>#REF!</v>
      </c>
      <c r="AG228" t="e">
        <f>#REF!</f>
        <v>#REF!</v>
      </c>
      <c r="AH228" t="e">
        <f>#REF!</f>
        <v>#REF!</v>
      </c>
      <c r="AI228" t="e">
        <f>#REF!</f>
        <v>#REF!</v>
      </c>
      <c r="AO228" s="159" t="e">
        <f>IF(#REF!="",0,#REF!)</f>
        <v>#REF!</v>
      </c>
      <c r="AP228" s="160" t="e">
        <f t="shared" si="6"/>
        <v>#REF!</v>
      </c>
    </row>
    <row r="229" spans="2:42" x14ac:dyDescent="0.25">
      <c r="B229" t="e">
        <f>#REF!</f>
        <v>#REF!</v>
      </c>
      <c r="C229" t="e">
        <f>#REF!</f>
        <v>#REF!</v>
      </c>
      <c r="D229" t="e">
        <f>#REF!</f>
        <v>#REF!</v>
      </c>
      <c r="E229" s="14" t="e">
        <f>#REF!</f>
        <v>#REF!</v>
      </c>
      <c r="F229" t="e">
        <f>#REF!</f>
        <v>#REF!</v>
      </c>
      <c r="G229" t="e">
        <f>#REF!</f>
        <v>#REF!</v>
      </c>
      <c r="H229" t="e">
        <f>#REF!</f>
        <v>#REF!</v>
      </c>
      <c r="I229" t="e">
        <f>#REF!</f>
        <v>#REF!</v>
      </c>
      <c r="J229" t="e">
        <f>#REF!</f>
        <v>#REF!</v>
      </c>
      <c r="K229" t="e">
        <f>#REF!</f>
        <v>#REF!</v>
      </c>
      <c r="L229" t="e">
        <f>#REF!</f>
        <v>#REF!</v>
      </c>
      <c r="M229" t="e">
        <f>#REF!</f>
        <v>#REF!</v>
      </c>
      <c r="N229" t="e">
        <f>#REF!</f>
        <v>#REF!</v>
      </c>
      <c r="O229" t="e">
        <f>#REF!</f>
        <v>#REF!</v>
      </c>
      <c r="P229" t="e">
        <f>#REF!</f>
        <v>#REF!</v>
      </c>
      <c r="Q229" t="e">
        <f>#REF!</f>
        <v>#REF!</v>
      </c>
      <c r="R229" t="e">
        <f>#REF!</f>
        <v>#REF!</v>
      </c>
      <c r="S229" t="e">
        <f>#REF!</f>
        <v>#REF!</v>
      </c>
      <c r="T229" t="e">
        <f>#REF!</f>
        <v>#REF!</v>
      </c>
      <c r="U229" t="e">
        <f>#REF!</f>
        <v>#REF!</v>
      </c>
      <c r="V229" t="e">
        <f>#REF!</f>
        <v>#REF!</v>
      </c>
      <c r="W229" t="e">
        <f>#REF!</f>
        <v>#REF!</v>
      </c>
      <c r="X229" t="e">
        <f>#REF!</f>
        <v>#REF!</v>
      </c>
      <c r="Y229" t="e">
        <f>#REF!</f>
        <v>#REF!</v>
      </c>
      <c r="Z229" t="e">
        <f>#REF!</f>
        <v>#REF!</v>
      </c>
      <c r="AA229" t="e">
        <f>#REF!</f>
        <v>#REF!</v>
      </c>
      <c r="AB229" t="e">
        <f>#REF!</f>
        <v>#REF!</v>
      </c>
      <c r="AC229" t="e">
        <f>#REF!</f>
        <v>#REF!</v>
      </c>
      <c r="AD229" t="e">
        <f>#REF!</f>
        <v>#REF!</v>
      </c>
      <c r="AE229" t="e">
        <f>#REF!</f>
        <v>#REF!</v>
      </c>
      <c r="AF229" t="e">
        <f>#REF!</f>
        <v>#REF!</v>
      </c>
      <c r="AG229" t="e">
        <f>#REF!</f>
        <v>#REF!</v>
      </c>
      <c r="AH229" t="e">
        <f>#REF!</f>
        <v>#REF!</v>
      </c>
      <c r="AI229" t="e">
        <f>#REF!</f>
        <v>#REF!</v>
      </c>
      <c r="AO229" s="159" t="e">
        <f>IF(#REF!="",0,#REF!)</f>
        <v>#REF!</v>
      </c>
      <c r="AP229" s="160" t="e">
        <f t="shared" si="6"/>
        <v>#REF!</v>
      </c>
    </row>
    <row r="230" spans="2:42" x14ac:dyDescent="0.25">
      <c r="B230" t="e">
        <f>#REF!</f>
        <v>#REF!</v>
      </c>
      <c r="C230" t="e">
        <f>#REF!</f>
        <v>#REF!</v>
      </c>
      <c r="D230" t="e">
        <f>#REF!</f>
        <v>#REF!</v>
      </c>
      <c r="E230" s="14" t="e">
        <f>#REF!</f>
        <v>#REF!</v>
      </c>
      <c r="F230" t="e">
        <f>#REF!</f>
        <v>#REF!</v>
      </c>
      <c r="G230" t="e">
        <f>#REF!</f>
        <v>#REF!</v>
      </c>
      <c r="H230" t="e">
        <f>#REF!</f>
        <v>#REF!</v>
      </c>
      <c r="I230" t="e">
        <f>#REF!</f>
        <v>#REF!</v>
      </c>
      <c r="J230" t="e">
        <f>#REF!</f>
        <v>#REF!</v>
      </c>
      <c r="K230" t="e">
        <f>#REF!</f>
        <v>#REF!</v>
      </c>
      <c r="L230" t="e">
        <f>#REF!</f>
        <v>#REF!</v>
      </c>
      <c r="M230" t="e">
        <f>#REF!</f>
        <v>#REF!</v>
      </c>
      <c r="N230" t="e">
        <f>#REF!</f>
        <v>#REF!</v>
      </c>
      <c r="O230" t="e">
        <f>#REF!</f>
        <v>#REF!</v>
      </c>
      <c r="P230" t="e">
        <f>#REF!</f>
        <v>#REF!</v>
      </c>
      <c r="Q230" t="e">
        <f>#REF!</f>
        <v>#REF!</v>
      </c>
      <c r="R230" t="e">
        <f>#REF!</f>
        <v>#REF!</v>
      </c>
      <c r="S230" t="e">
        <f>#REF!</f>
        <v>#REF!</v>
      </c>
      <c r="T230" t="e">
        <f>#REF!</f>
        <v>#REF!</v>
      </c>
      <c r="U230" t="e">
        <f>#REF!</f>
        <v>#REF!</v>
      </c>
      <c r="V230" t="e">
        <f>#REF!</f>
        <v>#REF!</v>
      </c>
      <c r="W230" t="e">
        <f>#REF!</f>
        <v>#REF!</v>
      </c>
      <c r="X230" t="e">
        <f>#REF!</f>
        <v>#REF!</v>
      </c>
      <c r="Y230" t="e">
        <f>#REF!</f>
        <v>#REF!</v>
      </c>
      <c r="Z230" t="e">
        <f>#REF!</f>
        <v>#REF!</v>
      </c>
      <c r="AA230" t="e">
        <f>#REF!</f>
        <v>#REF!</v>
      </c>
      <c r="AB230" t="e">
        <f>#REF!</f>
        <v>#REF!</v>
      </c>
      <c r="AC230" t="e">
        <f>#REF!</f>
        <v>#REF!</v>
      </c>
      <c r="AD230" t="e">
        <f>#REF!</f>
        <v>#REF!</v>
      </c>
      <c r="AE230" t="e">
        <f>#REF!</f>
        <v>#REF!</v>
      </c>
      <c r="AF230" t="e">
        <f>#REF!</f>
        <v>#REF!</v>
      </c>
      <c r="AG230" t="e">
        <f>#REF!</f>
        <v>#REF!</v>
      </c>
      <c r="AH230" t="e">
        <f>#REF!</f>
        <v>#REF!</v>
      </c>
      <c r="AI230" t="e">
        <f>#REF!</f>
        <v>#REF!</v>
      </c>
      <c r="AO230" s="159" t="e">
        <f>IF(#REF!="",0,#REF!)</f>
        <v>#REF!</v>
      </c>
      <c r="AP230" s="160" t="e">
        <f t="shared" si="6"/>
        <v>#REF!</v>
      </c>
    </row>
    <row r="231" spans="2:42" x14ac:dyDescent="0.25">
      <c r="B231" t="e">
        <f>#REF!</f>
        <v>#REF!</v>
      </c>
      <c r="C231" t="e">
        <f>#REF!</f>
        <v>#REF!</v>
      </c>
      <c r="D231" t="e">
        <f>#REF!</f>
        <v>#REF!</v>
      </c>
      <c r="E231" s="14" t="e">
        <f>#REF!</f>
        <v>#REF!</v>
      </c>
      <c r="F231" t="e">
        <f>#REF!</f>
        <v>#REF!</v>
      </c>
      <c r="G231" t="e">
        <f>#REF!</f>
        <v>#REF!</v>
      </c>
      <c r="H231" t="e">
        <f>#REF!</f>
        <v>#REF!</v>
      </c>
      <c r="I231" t="e">
        <f>#REF!</f>
        <v>#REF!</v>
      </c>
      <c r="J231" t="e">
        <f>#REF!</f>
        <v>#REF!</v>
      </c>
      <c r="K231" t="e">
        <f>#REF!</f>
        <v>#REF!</v>
      </c>
      <c r="L231" t="e">
        <f>#REF!</f>
        <v>#REF!</v>
      </c>
      <c r="M231" t="e">
        <f>#REF!</f>
        <v>#REF!</v>
      </c>
      <c r="N231" t="e">
        <f>#REF!</f>
        <v>#REF!</v>
      </c>
      <c r="O231" t="e">
        <f>#REF!</f>
        <v>#REF!</v>
      </c>
      <c r="P231" t="e">
        <f>#REF!</f>
        <v>#REF!</v>
      </c>
      <c r="Q231" t="e">
        <f>#REF!</f>
        <v>#REF!</v>
      </c>
      <c r="R231" t="e">
        <f>#REF!</f>
        <v>#REF!</v>
      </c>
      <c r="S231" t="e">
        <f>#REF!</f>
        <v>#REF!</v>
      </c>
      <c r="T231" t="e">
        <f>#REF!</f>
        <v>#REF!</v>
      </c>
      <c r="U231" t="e">
        <f>#REF!</f>
        <v>#REF!</v>
      </c>
      <c r="V231" t="e">
        <f>#REF!</f>
        <v>#REF!</v>
      </c>
      <c r="W231" t="e">
        <f>#REF!</f>
        <v>#REF!</v>
      </c>
      <c r="X231" t="e">
        <f>#REF!</f>
        <v>#REF!</v>
      </c>
      <c r="Y231" t="e">
        <f>#REF!</f>
        <v>#REF!</v>
      </c>
      <c r="Z231" t="e">
        <f>#REF!</f>
        <v>#REF!</v>
      </c>
      <c r="AA231" t="e">
        <f>#REF!</f>
        <v>#REF!</v>
      </c>
      <c r="AB231" t="e">
        <f>#REF!</f>
        <v>#REF!</v>
      </c>
      <c r="AC231" t="e">
        <f>#REF!</f>
        <v>#REF!</v>
      </c>
      <c r="AD231" t="e">
        <f>#REF!</f>
        <v>#REF!</v>
      </c>
      <c r="AE231" t="e">
        <f>#REF!</f>
        <v>#REF!</v>
      </c>
      <c r="AF231" t="e">
        <f>#REF!</f>
        <v>#REF!</v>
      </c>
      <c r="AG231" t="e">
        <f>#REF!</f>
        <v>#REF!</v>
      </c>
      <c r="AH231" t="e">
        <f>#REF!</f>
        <v>#REF!</v>
      </c>
      <c r="AI231" t="e">
        <f>#REF!</f>
        <v>#REF!</v>
      </c>
      <c r="AO231" s="159" t="e">
        <f>IF(#REF!="",0,#REF!)</f>
        <v>#REF!</v>
      </c>
      <c r="AP231" s="160" t="e">
        <f t="shared" si="6"/>
        <v>#REF!</v>
      </c>
    </row>
    <row r="232" spans="2:42" x14ac:dyDescent="0.25">
      <c r="B232" t="e">
        <f>#REF!</f>
        <v>#REF!</v>
      </c>
      <c r="C232" t="e">
        <f>#REF!</f>
        <v>#REF!</v>
      </c>
      <c r="D232" t="e">
        <f>#REF!</f>
        <v>#REF!</v>
      </c>
      <c r="E232" s="14" t="e">
        <f>#REF!</f>
        <v>#REF!</v>
      </c>
      <c r="F232" t="e">
        <f>#REF!</f>
        <v>#REF!</v>
      </c>
      <c r="G232" t="e">
        <f>#REF!</f>
        <v>#REF!</v>
      </c>
      <c r="H232" t="e">
        <f>#REF!</f>
        <v>#REF!</v>
      </c>
      <c r="I232" t="e">
        <f>#REF!</f>
        <v>#REF!</v>
      </c>
      <c r="J232" t="e">
        <f>#REF!</f>
        <v>#REF!</v>
      </c>
      <c r="K232" t="e">
        <f>#REF!</f>
        <v>#REF!</v>
      </c>
      <c r="L232" t="e">
        <f>#REF!</f>
        <v>#REF!</v>
      </c>
      <c r="M232" t="e">
        <f>#REF!</f>
        <v>#REF!</v>
      </c>
      <c r="N232" t="e">
        <f>#REF!</f>
        <v>#REF!</v>
      </c>
      <c r="O232" t="e">
        <f>#REF!</f>
        <v>#REF!</v>
      </c>
      <c r="P232" t="e">
        <f>#REF!</f>
        <v>#REF!</v>
      </c>
      <c r="Q232" t="e">
        <f>#REF!</f>
        <v>#REF!</v>
      </c>
      <c r="R232" t="e">
        <f>#REF!</f>
        <v>#REF!</v>
      </c>
      <c r="S232" t="e">
        <f>#REF!</f>
        <v>#REF!</v>
      </c>
      <c r="T232" t="e">
        <f>#REF!</f>
        <v>#REF!</v>
      </c>
      <c r="U232" t="e">
        <f>#REF!</f>
        <v>#REF!</v>
      </c>
      <c r="V232" t="e">
        <f>#REF!</f>
        <v>#REF!</v>
      </c>
      <c r="W232" t="e">
        <f>#REF!</f>
        <v>#REF!</v>
      </c>
      <c r="X232" t="e">
        <f>#REF!</f>
        <v>#REF!</v>
      </c>
      <c r="Y232" t="e">
        <f>#REF!</f>
        <v>#REF!</v>
      </c>
      <c r="Z232" t="e">
        <f>#REF!</f>
        <v>#REF!</v>
      </c>
      <c r="AA232" t="e">
        <f>#REF!</f>
        <v>#REF!</v>
      </c>
      <c r="AB232" t="e">
        <f>#REF!</f>
        <v>#REF!</v>
      </c>
      <c r="AC232" t="e">
        <f>#REF!</f>
        <v>#REF!</v>
      </c>
      <c r="AD232" t="e">
        <f>#REF!</f>
        <v>#REF!</v>
      </c>
      <c r="AE232" t="e">
        <f>#REF!</f>
        <v>#REF!</v>
      </c>
      <c r="AF232" t="e">
        <f>#REF!</f>
        <v>#REF!</v>
      </c>
      <c r="AG232" t="e">
        <f>#REF!</f>
        <v>#REF!</v>
      </c>
      <c r="AH232" t="e">
        <f>#REF!</f>
        <v>#REF!</v>
      </c>
      <c r="AI232" t="e">
        <f>#REF!</f>
        <v>#REF!</v>
      </c>
      <c r="AO232" s="159" t="e">
        <f>IF(#REF!="",0,#REF!)</f>
        <v>#REF!</v>
      </c>
      <c r="AP232" s="160" t="e">
        <f t="shared" si="6"/>
        <v>#REF!</v>
      </c>
    </row>
    <row r="233" spans="2:42" x14ac:dyDescent="0.25">
      <c r="B233" t="e">
        <f>#REF!</f>
        <v>#REF!</v>
      </c>
      <c r="C233" t="e">
        <f>#REF!</f>
        <v>#REF!</v>
      </c>
      <c r="D233" t="e">
        <f>#REF!</f>
        <v>#REF!</v>
      </c>
      <c r="E233" s="14" t="e">
        <f>#REF!</f>
        <v>#REF!</v>
      </c>
      <c r="F233" t="e">
        <f>#REF!</f>
        <v>#REF!</v>
      </c>
      <c r="G233" t="e">
        <f>#REF!</f>
        <v>#REF!</v>
      </c>
      <c r="H233" t="e">
        <f>#REF!</f>
        <v>#REF!</v>
      </c>
      <c r="I233" t="e">
        <f>#REF!</f>
        <v>#REF!</v>
      </c>
      <c r="J233" t="e">
        <f>#REF!</f>
        <v>#REF!</v>
      </c>
      <c r="K233" t="e">
        <f>#REF!</f>
        <v>#REF!</v>
      </c>
      <c r="L233" t="e">
        <f>#REF!</f>
        <v>#REF!</v>
      </c>
      <c r="M233" t="e">
        <f>#REF!</f>
        <v>#REF!</v>
      </c>
      <c r="N233" t="e">
        <f>#REF!</f>
        <v>#REF!</v>
      </c>
      <c r="O233" t="e">
        <f>#REF!</f>
        <v>#REF!</v>
      </c>
      <c r="P233" t="e">
        <f>#REF!</f>
        <v>#REF!</v>
      </c>
      <c r="Q233" t="e">
        <f>#REF!</f>
        <v>#REF!</v>
      </c>
      <c r="R233" t="e">
        <f>#REF!</f>
        <v>#REF!</v>
      </c>
      <c r="S233" t="e">
        <f>#REF!</f>
        <v>#REF!</v>
      </c>
      <c r="T233" t="e">
        <f>#REF!</f>
        <v>#REF!</v>
      </c>
      <c r="U233" t="e">
        <f>#REF!</f>
        <v>#REF!</v>
      </c>
      <c r="V233" t="e">
        <f>#REF!</f>
        <v>#REF!</v>
      </c>
      <c r="W233" t="e">
        <f>#REF!</f>
        <v>#REF!</v>
      </c>
      <c r="X233" t="e">
        <f>#REF!</f>
        <v>#REF!</v>
      </c>
      <c r="Y233" t="e">
        <f>#REF!</f>
        <v>#REF!</v>
      </c>
      <c r="Z233" t="e">
        <f>#REF!</f>
        <v>#REF!</v>
      </c>
      <c r="AA233" t="e">
        <f>#REF!</f>
        <v>#REF!</v>
      </c>
      <c r="AB233" t="e">
        <f>#REF!</f>
        <v>#REF!</v>
      </c>
      <c r="AC233" t="e">
        <f>#REF!</f>
        <v>#REF!</v>
      </c>
      <c r="AD233" t="e">
        <f>#REF!</f>
        <v>#REF!</v>
      </c>
      <c r="AE233" t="e">
        <f>#REF!</f>
        <v>#REF!</v>
      </c>
      <c r="AF233" t="e">
        <f>#REF!</f>
        <v>#REF!</v>
      </c>
      <c r="AG233" t="e">
        <f>#REF!</f>
        <v>#REF!</v>
      </c>
      <c r="AH233" t="e">
        <f>#REF!</f>
        <v>#REF!</v>
      </c>
      <c r="AI233" t="e">
        <f>#REF!</f>
        <v>#REF!</v>
      </c>
      <c r="AO233" s="159" t="e">
        <f>IF(#REF!="",0,#REF!)</f>
        <v>#REF!</v>
      </c>
      <c r="AP233" s="160" t="e">
        <f t="shared" si="6"/>
        <v>#REF!</v>
      </c>
    </row>
    <row r="234" spans="2:42" x14ac:dyDescent="0.25">
      <c r="B234" t="e">
        <f>#REF!</f>
        <v>#REF!</v>
      </c>
      <c r="C234" t="e">
        <f>#REF!</f>
        <v>#REF!</v>
      </c>
      <c r="D234" t="e">
        <f>#REF!</f>
        <v>#REF!</v>
      </c>
      <c r="E234" s="14" t="e">
        <f>#REF!</f>
        <v>#REF!</v>
      </c>
      <c r="F234" t="e">
        <f>#REF!</f>
        <v>#REF!</v>
      </c>
      <c r="G234" t="e">
        <f>#REF!</f>
        <v>#REF!</v>
      </c>
      <c r="H234" t="e">
        <f>#REF!</f>
        <v>#REF!</v>
      </c>
      <c r="I234" t="e">
        <f>#REF!</f>
        <v>#REF!</v>
      </c>
      <c r="J234" t="e">
        <f>#REF!</f>
        <v>#REF!</v>
      </c>
      <c r="K234" t="e">
        <f>#REF!</f>
        <v>#REF!</v>
      </c>
      <c r="L234" t="e">
        <f>#REF!</f>
        <v>#REF!</v>
      </c>
      <c r="M234" t="e">
        <f>#REF!</f>
        <v>#REF!</v>
      </c>
      <c r="N234" t="e">
        <f>#REF!</f>
        <v>#REF!</v>
      </c>
      <c r="O234" t="e">
        <f>#REF!</f>
        <v>#REF!</v>
      </c>
      <c r="P234" t="e">
        <f>#REF!</f>
        <v>#REF!</v>
      </c>
      <c r="Q234" t="e">
        <f>#REF!</f>
        <v>#REF!</v>
      </c>
      <c r="R234" t="e">
        <f>#REF!</f>
        <v>#REF!</v>
      </c>
      <c r="S234" t="e">
        <f>#REF!</f>
        <v>#REF!</v>
      </c>
      <c r="T234" t="e">
        <f>#REF!</f>
        <v>#REF!</v>
      </c>
      <c r="U234" t="e">
        <f>#REF!</f>
        <v>#REF!</v>
      </c>
      <c r="V234" t="e">
        <f>#REF!</f>
        <v>#REF!</v>
      </c>
      <c r="W234" t="e">
        <f>#REF!</f>
        <v>#REF!</v>
      </c>
      <c r="X234" t="e">
        <f>#REF!</f>
        <v>#REF!</v>
      </c>
      <c r="Y234" t="e">
        <f>#REF!</f>
        <v>#REF!</v>
      </c>
      <c r="Z234" t="e">
        <f>#REF!</f>
        <v>#REF!</v>
      </c>
      <c r="AA234" t="e">
        <f>#REF!</f>
        <v>#REF!</v>
      </c>
      <c r="AB234" t="e">
        <f>#REF!</f>
        <v>#REF!</v>
      </c>
      <c r="AC234" t="e">
        <f>#REF!</f>
        <v>#REF!</v>
      </c>
      <c r="AD234" t="e">
        <f>#REF!</f>
        <v>#REF!</v>
      </c>
      <c r="AE234" t="e">
        <f>#REF!</f>
        <v>#REF!</v>
      </c>
      <c r="AF234" t="e">
        <f>#REF!</f>
        <v>#REF!</v>
      </c>
      <c r="AG234" t="e">
        <f>#REF!</f>
        <v>#REF!</v>
      </c>
      <c r="AH234" t="e">
        <f>#REF!</f>
        <v>#REF!</v>
      </c>
      <c r="AI234" t="e">
        <f>#REF!</f>
        <v>#REF!</v>
      </c>
      <c r="AO234" s="159" t="e">
        <f>IF(#REF!="",0,#REF!)</f>
        <v>#REF!</v>
      </c>
      <c r="AP234" s="160" t="e">
        <f t="shared" si="6"/>
        <v>#REF!</v>
      </c>
    </row>
    <row r="235" spans="2:42" x14ac:dyDescent="0.25">
      <c r="B235" t="e">
        <f>#REF!</f>
        <v>#REF!</v>
      </c>
      <c r="C235" t="e">
        <f>#REF!</f>
        <v>#REF!</v>
      </c>
      <c r="D235" t="e">
        <f>#REF!</f>
        <v>#REF!</v>
      </c>
      <c r="E235" s="14" t="e">
        <f>#REF!</f>
        <v>#REF!</v>
      </c>
      <c r="F235" t="e">
        <f>#REF!</f>
        <v>#REF!</v>
      </c>
      <c r="G235" t="e">
        <f>#REF!</f>
        <v>#REF!</v>
      </c>
      <c r="H235" t="e">
        <f>#REF!</f>
        <v>#REF!</v>
      </c>
      <c r="I235" t="e">
        <f>#REF!</f>
        <v>#REF!</v>
      </c>
      <c r="J235" t="e">
        <f>#REF!</f>
        <v>#REF!</v>
      </c>
      <c r="K235" t="e">
        <f>#REF!</f>
        <v>#REF!</v>
      </c>
      <c r="L235" t="e">
        <f>#REF!</f>
        <v>#REF!</v>
      </c>
      <c r="M235" t="e">
        <f>#REF!</f>
        <v>#REF!</v>
      </c>
      <c r="N235" t="e">
        <f>#REF!</f>
        <v>#REF!</v>
      </c>
      <c r="O235" t="e">
        <f>#REF!</f>
        <v>#REF!</v>
      </c>
      <c r="P235" t="e">
        <f>#REF!</f>
        <v>#REF!</v>
      </c>
      <c r="Q235" t="e">
        <f>#REF!</f>
        <v>#REF!</v>
      </c>
      <c r="R235" t="e">
        <f>#REF!</f>
        <v>#REF!</v>
      </c>
      <c r="S235" t="e">
        <f>#REF!</f>
        <v>#REF!</v>
      </c>
      <c r="T235" t="e">
        <f>#REF!</f>
        <v>#REF!</v>
      </c>
      <c r="U235" t="e">
        <f>#REF!</f>
        <v>#REF!</v>
      </c>
      <c r="V235" t="e">
        <f>#REF!</f>
        <v>#REF!</v>
      </c>
      <c r="W235" t="e">
        <f>#REF!</f>
        <v>#REF!</v>
      </c>
      <c r="X235" t="e">
        <f>#REF!</f>
        <v>#REF!</v>
      </c>
      <c r="Y235" t="e">
        <f>#REF!</f>
        <v>#REF!</v>
      </c>
      <c r="Z235" t="e">
        <f>#REF!</f>
        <v>#REF!</v>
      </c>
      <c r="AA235" t="e">
        <f>#REF!</f>
        <v>#REF!</v>
      </c>
      <c r="AB235" t="e">
        <f>#REF!</f>
        <v>#REF!</v>
      </c>
      <c r="AC235" t="e">
        <f>#REF!</f>
        <v>#REF!</v>
      </c>
      <c r="AD235" t="e">
        <f>#REF!</f>
        <v>#REF!</v>
      </c>
      <c r="AE235" t="e">
        <f>#REF!</f>
        <v>#REF!</v>
      </c>
      <c r="AF235" t="e">
        <f>#REF!</f>
        <v>#REF!</v>
      </c>
      <c r="AG235" t="e">
        <f>#REF!</f>
        <v>#REF!</v>
      </c>
      <c r="AH235" t="e">
        <f>#REF!</f>
        <v>#REF!</v>
      </c>
      <c r="AI235" t="e">
        <f>#REF!</f>
        <v>#REF!</v>
      </c>
      <c r="AO235" s="159" t="e">
        <f>IF(#REF!="",0,#REF!)</f>
        <v>#REF!</v>
      </c>
      <c r="AP235" s="160" t="e">
        <f t="shared" si="6"/>
        <v>#REF!</v>
      </c>
    </row>
    <row r="236" spans="2:42" x14ac:dyDescent="0.25">
      <c r="B236" t="e">
        <f>#REF!</f>
        <v>#REF!</v>
      </c>
      <c r="C236" t="e">
        <f>#REF!</f>
        <v>#REF!</v>
      </c>
      <c r="D236" t="e">
        <f>#REF!</f>
        <v>#REF!</v>
      </c>
      <c r="E236" s="14" t="e">
        <f>#REF!</f>
        <v>#REF!</v>
      </c>
      <c r="F236" t="e">
        <f>#REF!</f>
        <v>#REF!</v>
      </c>
      <c r="G236" t="e">
        <f>#REF!</f>
        <v>#REF!</v>
      </c>
      <c r="H236" t="e">
        <f>#REF!</f>
        <v>#REF!</v>
      </c>
      <c r="I236" t="e">
        <f>#REF!</f>
        <v>#REF!</v>
      </c>
      <c r="J236" t="e">
        <f>#REF!</f>
        <v>#REF!</v>
      </c>
      <c r="K236" t="e">
        <f>#REF!</f>
        <v>#REF!</v>
      </c>
      <c r="L236" t="e">
        <f>#REF!</f>
        <v>#REF!</v>
      </c>
      <c r="M236" t="e">
        <f>#REF!</f>
        <v>#REF!</v>
      </c>
      <c r="N236" t="e">
        <f>#REF!</f>
        <v>#REF!</v>
      </c>
      <c r="O236" t="e">
        <f>#REF!</f>
        <v>#REF!</v>
      </c>
      <c r="P236" t="e">
        <f>#REF!</f>
        <v>#REF!</v>
      </c>
      <c r="Q236" t="e">
        <f>#REF!</f>
        <v>#REF!</v>
      </c>
      <c r="R236" t="e">
        <f>#REF!</f>
        <v>#REF!</v>
      </c>
      <c r="S236" t="e">
        <f>#REF!</f>
        <v>#REF!</v>
      </c>
      <c r="T236" t="e">
        <f>#REF!</f>
        <v>#REF!</v>
      </c>
      <c r="U236" t="e">
        <f>#REF!</f>
        <v>#REF!</v>
      </c>
      <c r="V236" t="e">
        <f>#REF!</f>
        <v>#REF!</v>
      </c>
      <c r="W236" t="e">
        <f>#REF!</f>
        <v>#REF!</v>
      </c>
      <c r="X236" t="e">
        <f>#REF!</f>
        <v>#REF!</v>
      </c>
      <c r="Y236" t="e">
        <f>#REF!</f>
        <v>#REF!</v>
      </c>
      <c r="Z236" t="e">
        <f>#REF!</f>
        <v>#REF!</v>
      </c>
      <c r="AA236" t="e">
        <f>#REF!</f>
        <v>#REF!</v>
      </c>
      <c r="AB236" t="e">
        <f>#REF!</f>
        <v>#REF!</v>
      </c>
      <c r="AC236" t="e">
        <f>#REF!</f>
        <v>#REF!</v>
      </c>
      <c r="AD236" t="e">
        <f>#REF!</f>
        <v>#REF!</v>
      </c>
      <c r="AE236" t="e">
        <f>#REF!</f>
        <v>#REF!</v>
      </c>
      <c r="AF236" t="e">
        <f>#REF!</f>
        <v>#REF!</v>
      </c>
      <c r="AG236" t="e">
        <f>#REF!</f>
        <v>#REF!</v>
      </c>
      <c r="AH236" t="e">
        <f>#REF!</f>
        <v>#REF!</v>
      </c>
      <c r="AI236" t="e">
        <f>#REF!</f>
        <v>#REF!</v>
      </c>
      <c r="AO236" s="159" t="e">
        <f>IF(#REF!="",0,#REF!)</f>
        <v>#REF!</v>
      </c>
      <c r="AP236" s="160" t="e">
        <f t="shared" si="6"/>
        <v>#REF!</v>
      </c>
    </row>
    <row r="237" spans="2:42" x14ac:dyDescent="0.25">
      <c r="B237" t="e">
        <f>#REF!</f>
        <v>#REF!</v>
      </c>
      <c r="C237" t="e">
        <f>#REF!</f>
        <v>#REF!</v>
      </c>
      <c r="D237" t="e">
        <f>#REF!</f>
        <v>#REF!</v>
      </c>
      <c r="E237" s="14" t="e">
        <f>#REF!</f>
        <v>#REF!</v>
      </c>
      <c r="F237" t="e">
        <f>#REF!</f>
        <v>#REF!</v>
      </c>
      <c r="G237" t="e">
        <f>#REF!</f>
        <v>#REF!</v>
      </c>
      <c r="H237" t="e">
        <f>#REF!</f>
        <v>#REF!</v>
      </c>
      <c r="I237" t="e">
        <f>#REF!</f>
        <v>#REF!</v>
      </c>
      <c r="J237" t="e">
        <f>#REF!</f>
        <v>#REF!</v>
      </c>
      <c r="K237" t="e">
        <f>#REF!</f>
        <v>#REF!</v>
      </c>
      <c r="L237" t="e">
        <f>#REF!</f>
        <v>#REF!</v>
      </c>
      <c r="M237" t="e">
        <f>#REF!</f>
        <v>#REF!</v>
      </c>
      <c r="N237" t="e">
        <f>#REF!</f>
        <v>#REF!</v>
      </c>
      <c r="O237" t="e">
        <f>#REF!</f>
        <v>#REF!</v>
      </c>
      <c r="P237" t="e">
        <f>#REF!</f>
        <v>#REF!</v>
      </c>
      <c r="Q237" t="e">
        <f>#REF!</f>
        <v>#REF!</v>
      </c>
      <c r="R237" t="e">
        <f>#REF!</f>
        <v>#REF!</v>
      </c>
      <c r="S237" t="e">
        <f>#REF!</f>
        <v>#REF!</v>
      </c>
      <c r="T237" t="e">
        <f>#REF!</f>
        <v>#REF!</v>
      </c>
      <c r="U237" t="e">
        <f>#REF!</f>
        <v>#REF!</v>
      </c>
      <c r="V237" t="e">
        <f>#REF!</f>
        <v>#REF!</v>
      </c>
      <c r="W237" t="e">
        <f>#REF!</f>
        <v>#REF!</v>
      </c>
      <c r="X237" t="e">
        <f>#REF!</f>
        <v>#REF!</v>
      </c>
      <c r="Y237" t="e">
        <f>#REF!</f>
        <v>#REF!</v>
      </c>
      <c r="Z237" t="e">
        <f>#REF!</f>
        <v>#REF!</v>
      </c>
      <c r="AA237" t="e">
        <f>#REF!</f>
        <v>#REF!</v>
      </c>
      <c r="AB237" t="e">
        <f>#REF!</f>
        <v>#REF!</v>
      </c>
      <c r="AC237" t="e">
        <f>#REF!</f>
        <v>#REF!</v>
      </c>
      <c r="AD237" t="e">
        <f>#REF!</f>
        <v>#REF!</v>
      </c>
      <c r="AE237" t="e">
        <f>#REF!</f>
        <v>#REF!</v>
      </c>
      <c r="AF237" t="e">
        <f>#REF!</f>
        <v>#REF!</v>
      </c>
      <c r="AG237" t="e">
        <f>#REF!</f>
        <v>#REF!</v>
      </c>
      <c r="AH237" t="e">
        <f>#REF!</f>
        <v>#REF!</v>
      </c>
      <c r="AI237" t="e">
        <f>#REF!</f>
        <v>#REF!</v>
      </c>
      <c r="AO237" s="159" t="e">
        <f>IF(#REF!="",0,#REF!)</f>
        <v>#REF!</v>
      </c>
      <c r="AP237" s="160" t="e">
        <f t="shared" si="6"/>
        <v>#REF!</v>
      </c>
    </row>
    <row r="238" spans="2:42" x14ac:dyDescent="0.25">
      <c r="B238" t="e">
        <f>#REF!</f>
        <v>#REF!</v>
      </c>
      <c r="C238" t="e">
        <f>#REF!</f>
        <v>#REF!</v>
      </c>
      <c r="D238" t="e">
        <f>#REF!</f>
        <v>#REF!</v>
      </c>
      <c r="E238" s="14" t="e">
        <f>#REF!</f>
        <v>#REF!</v>
      </c>
      <c r="F238" t="e">
        <f>#REF!</f>
        <v>#REF!</v>
      </c>
      <c r="G238" t="e">
        <f>#REF!</f>
        <v>#REF!</v>
      </c>
      <c r="H238" t="e">
        <f>#REF!</f>
        <v>#REF!</v>
      </c>
      <c r="I238" t="e">
        <f>#REF!</f>
        <v>#REF!</v>
      </c>
      <c r="J238" t="e">
        <f>#REF!</f>
        <v>#REF!</v>
      </c>
      <c r="K238" t="e">
        <f>#REF!</f>
        <v>#REF!</v>
      </c>
      <c r="L238" t="e">
        <f>#REF!</f>
        <v>#REF!</v>
      </c>
      <c r="M238" t="e">
        <f>#REF!</f>
        <v>#REF!</v>
      </c>
      <c r="N238" t="e">
        <f>#REF!</f>
        <v>#REF!</v>
      </c>
      <c r="O238" t="e">
        <f>#REF!</f>
        <v>#REF!</v>
      </c>
      <c r="P238" t="e">
        <f>#REF!</f>
        <v>#REF!</v>
      </c>
      <c r="Q238" t="e">
        <f>#REF!</f>
        <v>#REF!</v>
      </c>
      <c r="R238" t="e">
        <f>#REF!</f>
        <v>#REF!</v>
      </c>
      <c r="S238" t="e">
        <f>#REF!</f>
        <v>#REF!</v>
      </c>
      <c r="T238" t="e">
        <f>#REF!</f>
        <v>#REF!</v>
      </c>
      <c r="U238" t="e">
        <f>#REF!</f>
        <v>#REF!</v>
      </c>
      <c r="V238" t="e">
        <f>#REF!</f>
        <v>#REF!</v>
      </c>
      <c r="W238" t="e">
        <f>#REF!</f>
        <v>#REF!</v>
      </c>
      <c r="X238" t="e">
        <f>#REF!</f>
        <v>#REF!</v>
      </c>
      <c r="Y238" t="e">
        <f>#REF!</f>
        <v>#REF!</v>
      </c>
      <c r="Z238" t="e">
        <f>#REF!</f>
        <v>#REF!</v>
      </c>
      <c r="AA238" t="e">
        <f>#REF!</f>
        <v>#REF!</v>
      </c>
      <c r="AB238" t="e">
        <f>#REF!</f>
        <v>#REF!</v>
      </c>
      <c r="AC238" t="e">
        <f>#REF!</f>
        <v>#REF!</v>
      </c>
      <c r="AD238" t="e">
        <f>#REF!</f>
        <v>#REF!</v>
      </c>
      <c r="AE238" t="e">
        <f>#REF!</f>
        <v>#REF!</v>
      </c>
      <c r="AF238" t="e">
        <f>#REF!</f>
        <v>#REF!</v>
      </c>
      <c r="AG238" t="e">
        <f>#REF!</f>
        <v>#REF!</v>
      </c>
      <c r="AH238" t="e">
        <f>#REF!</f>
        <v>#REF!</v>
      </c>
      <c r="AI238" t="e">
        <f>#REF!</f>
        <v>#REF!</v>
      </c>
      <c r="AO238" s="159" t="e">
        <f>IF(#REF!="",0,#REF!)</f>
        <v>#REF!</v>
      </c>
      <c r="AP238" s="160" t="e">
        <f t="shared" si="6"/>
        <v>#REF!</v>
      </c>
    </row>
    <row r="239" spans="2:42" x14ac:dyDescent="0.25">
      <c r="AP239" s="161"/>
    </row>
    <row r="240" spans="2:42" x14ac:dyDescent="0.25">
      <c r="AP240" s="161"/>
    </row>
    <row r="241" spans="2:42" x14ac:dyDescent="0.25">
      <c r="AP241" s="161"/>
    </row>
    <row r="242" spans="2:42" x14ac:dyDescent="0.25">
      <c r="AP242" s="161"/>
    </row>
    <row r="243" spans="2:42" x14ac:dyDescent="0.25">
      <c r="B243" t="e">
        <f>#REF!</f>
        <v>#REF!</v>
      </c>
      <c r="C243" t="e">
        <f>#REF!</f>
        <v>#REF!</v>
      </c>
      <c r="D243" t="e">
        <f>#REF!</f>
        <v>#REF!</v>
      </c>
      <c r="E243" s="14" t="e">
        <f>#REF!</f>
        <v>#REF!</v>
      </c>
      <c r="F243" t="e">
        <f>#REF!</f>
        <v>#REF!</v>
      </c>
      <c r="G243" t="e">
        <f>#REF!</f>
        <v>#REF!</v>
      </c>
      <c r="H243" t="e">
        <f>#REF!</f>
        <v>#REF!</v>
      </c>
      <c r="I243" t="e">
        <f>#REF!</f>
        <v>#REF!</v>
      </c>
      <c r="J243" t="e">
        <f>#REF!</f>
        <v>#REF!</v>
      </c>
      <c r="K243" t="e">
        <f>#REF!</f>
        <v>#REF!</v>
      </c>
      <c r="L243" t="e">
        <f>#REF!</f>
        <v>#REF!</v>
      </c>
      <c r="M243" t="e">
        <f>#REF!</f>
        <v>#REF!</v>
      </c>
      <c r="N243" t="e">
        <f>#REF!</f>
        <v>#REF!</v>
      </c>
      <c r="O243" t="e">
        <f>#REF!</f>
        <v>#REF!</v>
      </c>
      <c r="P243" t="e">
        <f>#REF!</f>
        <v>#REF!</v>
      </c>
      <c r="Q243" t="e">
        <f>#REF!</f>
        <v>#REF!</v>
      </c>
      <c r="R243" t="e">
        <f>#REF!</f>
        <v>#REF!</v>
      </c>
      <c r="S243" t="e">
        <f>#REF!</f>
        <v>#REF!</v>
      </c>
      <c r="T243" t="e">
        <f>#REF!</f>
        <v>#REF!</v>
      </c>
      <c r="U243" t="e">
        <f>#REF!</f>
        <v>#REF!</v>
      </c>
      <c r="V243" t="e">
        <f>#REF!</f>
        <v>#REF!</v>
      </c>
      <c r="W243" t="e">
        <f>#REF!</f>
        <v>#REF!</v>
      </c>
      <c r="X243" t="e">
        <f>#REF!</f>
        <v>#REF!</v>
      </c>
      <c r="Y243" t="e">
        <f>#REF!</f>
        <v>#REF!</v>
      </c>
      <c r="Z243" t="e">
        <f>#REF!</f>
        <v>#REF!</v>
      </c>
      <c r="AA243" t="e">
        <f>#REF!</f>
        <v>#REF!</v>
      </c>
      <c r="AB243" t="e">
        <f>#REF!</f>
        <v>#REF!</v>
      </c>
      <c r="AC243" t="e">
        <f>#REF!</f>
        <v>#REF!</v>
      </c>
      <c r="AD243" t="e">
        <f>#REF!</f>
        <v>#REF!</v>
      </c>
      <c r="AE243" t="e">
        <f>#REF!</f>
        <v>#REF!</v>
      </c>
      <c r="AF243" t="e">
        <f>#REF!</f>
        <v>#REF!</v>
      </c>
      <c r="AG243" t="e">
        <f>#REF!</f>
        <v>#REF!</v>
      </c>
      <c r="AH243" t="e">
        <f>#REF!</f>
        <v>#REF!</v>
      </c>
      <c r="AI243" t="e">
        <f>#REF!</f>
        <v>#REF!</v>
      </c>
      <c r="AO243" s="159" t="e">
        <f>IF(#REF!="",0,#REF!)</f>
        <v>#REF!</v>
      </c>
      <c r="AP243" s="160" t="e">
        <f t="shared" ref="AP243" si="7">SUM(F243:AI243)-AO243</f>
        <v>#REF!</v>
      </c>
    </row>
    <row r="244" spans="2:42" x14ac:dyDescent="0.25">
      <c r="B244" t="e">
        <f>#REF!</f>
        <v>#REF!</v>
      </c>
      <c r="C244" t="e">
        <f>#REF!</f>
        <v>#REF!</v>
      </c>
      <c r="D244" t="e">
        <f>#REF!</f>
        <v>#REF!</v>
      </c>
      <c r="E244" s="14" t="e">
        <f>#REF!</f>
        <v>#REF!</v>
      </c>
      <c r="F244" t="e">
        <f>#REF!</f>
        <v>#REF!</v>
      </c>
      <c r="G244" t="e">
        <f>#REF!</f>
        <v>#REF!</v>
      </c>
      <c r="H244" t="e">
        <f>#REF!</f>
        <v>#REF!</v>
      </c>
      <c r="I244" t="e">
        <f>#REF!</f>
        <v>#REF!</v>
      </c>
      <c r="J244" t="e">
        <f>#REF!</f>
        <v>#REF!</v>
      </c>
      <c r="K244" t="e">
        <f>#REF!</f>
        <v>#REF!</v>
      </c>
      <c r="L244" t="e">
        <f>#REF!</f>
        <v>#REF!</v>
      </c>
      <c r="M244" t="e">
        <f>#REF!</f>
        <v>#REF!</v>
      </c>
      <c r="N244" t="e">
        <f>#REF!</f>
        <v>#REF!</v>
      </c>
      <c r="O244" t="e">
        <f>#REF!</f>
        <v>#REF!</v>
      </c>
      <c r="P244" t="e">
        <f>#REF!</f>
        <v>#REF!</v>
      </c>
      <c r="Q244" t="e">
        <f>#REF!</f>
        <v>#REF!</v>
      </c>
      <c r="R244" t="e">
        <f>#REF!</f>
        <v>#REF!</v>
      </c>
      <c r="S244" t="e">
        <f>#REF!</f>
        <v>#REF!</v>
      </c>
      <c r="T244" t="e">
        <f>#REF!</f>
        <v>#REF!</v>
      </c>
      <c r="U244" t="e">
        <f>#REF!</f>
        <v>#REF!</v>
      </c>
      <c r="V244" t="e">
        <f>#REF!</f>
        <v>#REF!</v>
      </c>
      <c r="W244" t="e">
        <f>#REF!</f>
        <v>#REF!</v>
      </c>
      <c r="X244" t="e">
        <f>#REF!</f>
        <v>#REF!</v>
      </c>
      <c r="Y244" t="e">
        <f>#REF!</f>
        <v>#REF!</v>
      </c>
      <c r="Z244" t="e">
        <f>#REF!</f>
        <v>#REF!</v>
      </c>
      <c r="AA244" t="e">
        <f>#REF!</f>
        <v>#REF!</v>
      </c>
      <c r="AB244" t="e">
        <f>#REF!</f>
        <v>#REF!</v>
      </c>
      <c r="AC244" t="e">
        <f>#REF!</f>
        <v>#REF!</v>
      </c>
      <c r="AD244" t="e">
        <f>#REF!</f>
        <v>#REF!</v>
      </c>
      <c r="AE244" t="e">
        <f>#REF!</f>
        <v>#REF!</v>
      </c>
      <c r="AF244" t="e">
        <f>#REF!</f>
        <v>#REF!</v>
      </c>
      <c r="AG244" t="e">
        <f>#REF!</f>
        <v>#REF!</v>
      </c>
      <c r="AH244" t="e">
        <f>#REF!</f>
        <v>#REF!</v>
      </c>
      <c r="AI244" t="e">
        <f>#REF!</f>
        <v>#REF!</v>
      </c>
      <c r="AO244" s="159" t="e">
        <f>IF(#REF!="",0,#REF!)</f>
        <v>#REF!</v>
      </c>
      <c r="AP244" s="160" t="e">
        <f t="shared" ref="AP244:AP272" si="8">SUM(F244:AI244)-AO244</f>
        <v>#REF!</v>
      </c>
    </row>
    <row r="245" spans="2:42" x14ac:dyDescent="0.25">
      <c r="B245" t="e">
        <f>#REF!</f>
        <v>#REF!</v>
      </c>
      <c r="C245" t="e">
        <f>#REF!</f>
        <v>#REF!</v>
      </c>
      <c r="D245" t="e">
        <f>#REF!</f>
        <v>#REF!</v>
      </c>
      <c r="E245" s="14" t="e">
        <f>#REF!</f>
        <v>#REF!</v>
      </c>
      <c r="F245" t="e">
        <f>#REF!</f>
        <v>#REF!</v>
      </c>
      <c r="G245" t="e">
        <f>#REF!</f>
        <v>#REF!</v>
      </c>
      <c r="H245" t="e">
        <f>#REF!</f>
        <v>#REF!</v>
      </c>
      <c r="I245" t="e">
        <f>#REF!</f>
        <v>#REF!</v>
      </c>
      <c r="J245" t="e">
        <f>#REF!</f>
        <v>#REF!</v>
      </c>
      <c r="K245" t="e">
        <f>#REF!</f>
        <v>#REF!</v>
      </c>
      <c r="L245" t="e">
        <f>#REF!</f>
        <v>#REF!</v>
      </c>
      <c r="M245" t="e">
        <f>#REF!</f>
        <v>#REF!</v>
      </c>
      <c r="N245" t="e">
        <f>#REF!</f>
        <v>#REF!</v>
      </c>
      <c r="O245" t="e">
        <f>#REF!</f>
        <v>#REF!</v>
      </c>
      <c r="P245" t="e">
        <f>#REF!</f>
        <v>#REF!</v>
      </c>
      <c r="Q245" t="e">
        <f>#REF!</f>
        <v>#REF!</v>
      </c>
      <c r="R245" t="e">
        <f>#REF!</f>
        <v>#REF!</v>
      </c>
      <c r="S245" t="e">
        <f>#REF!</f>
        <v>#REF!</v>
      </c>
      <c r="T245" t="e">
        <f>#REF!</f>
        <v>#REF!</v>
      </c>
      <c r="U245" t="e">
        <f>#REF!</f>
        <v>#REF!</v>
      </c>
      <c r="V245" t="e">
        <f>#REF!</f>
        <v>#REF!</v>
      </c>
      <c r="W245" t="e">
        <f>#REF!</f>
        <v>#REF!</v>
      </c>
      <c r="X245" t="e">
        <f>#REF!</f>
        <v>#REF!</v>
      </c>
      <c r="Y245" t="e">
        <f>#REF!</f>
        <v>#REF!</v>
      </c>
      <c r="Z245" t="e">
        <f>#REF!</f>
        <v>#REF!</v>
      </c>
      <c r="AA245" t="e">
        <f>#REF!</f>
        <v>#REF!</v>
      </c>
      <c r="AB245" t="e">
        <f>#REF!</f>
        <v>#REF!</v>
      </c>
      <c r="AC245" t="e">
        <f>#REF!</f>
        <v>#REF!</v>
      </c>
      <c r="AD245" t="e">
        <f>#REF!</f>
        <v>#REF!</v>
      </c>
      <c r="AE245" t="e">
        <f>#REF!</f>
        <v>#REF!</v>
      </c>
      <c r="AF245" t="e">
        <f>#REF!</f>
        <v>#REF!</v>
      </c>
      <c r="AG245" t="e">
        <f>#REF!</f>
        <v>#REF!</v>
      </c>
      <c r="AH245" t="e">
        <f>#REF!</f>
        <v>#REF!</v>
      </c>
      <c r="AI245" t="e">
        <f>#REF!</f>
        <v>#REF!</v>
      </c>
      <c r="AO245" s="159" t="e">
        <f>IF(#REF!="",0,#REF!)</f>
        <v>#REF!</v>
      </c>
      <c r="AP245" s="160" t="e">
        <f t="shared" si="8"/>
        <v>#REF!</v>
      </c>
    </row>
    <row r="246" spans="2:42" x14ac:dyDescent="0.25">
      <c r="B246" t="e">
        <f>#REF!</f>
        <v>#REF!</v>
      </c>
      <c r="C246" t="e">
        <f>#REF!</f>
        <v>#REF!</v>
      </c>
      <c r="D246" t="e">
        <f>#REF!</f>
        <v>#REF!</v>
      </c>
      <c r="E246" s="14" t="e">
        <f>#REF!</f>
        <v>#REF!</v>
      </c>
      <c r="F246" t="e">
        <f>#REF!</f>
        <v>#REF!</v>
      </c>
      <c r="G246" t="e">
        <f>#REF!</f>
        <v>#REF!</v>
      </c>
      <c r="H246" t="e">
        <f>#REF!</f>
        <v>#REF!</v>
      </c>
      <c r="I246" t="e">
        <f>#REF!</f>
        <v>#REF!</v>
      </c>
      <c r="J246" t="e">
        <f>#REF!</f>
        <v>#REF!</v>
      </c>
      <c r="K246" t="e">
        <f>#REF!</f>
        <v>#REF!</v>
      </c>
      <c r="L246" t="e">
        <f>#REF!</f>
        <v>#REF!</v>
      </c>
      <c r="M246" t="e">
        <f>#REF!</f>
        <v>#REF!</v>
      </c>
      <c r="N246" t="e">
        <f>#REF!</f>
        <v>#REF!</v>
      </c>
      <c r="O246" t="e">
        <f>#REF!</f>
        <v>#REF!</v>
      </c>
      <c r="P246" t="e">
        <f>#REF!</f>
        <v>#REF!</v>
      </c>
      <c r="Q246" t="e">
        <f>#REF!</f>
        <v>#REF!</v>
      </c>
      <c r="R246" t="e">
        <f>#REF!</f>
        <v>#REF!</v>
      </c>
      <c r="S246" t="e">
        <f>#REF!</f>
        <v>#REF!</v>
      </c>
      <c r="T246" t="e">
        <f>#REF!</f>
        <v>#REF!</v>
      </c>
      <c r="U246" t="e">
        <f>#REF!</f>
        <v>#REF!</v>
      </c>
      <c r="V246" t="e">
        <f>#REF!</f>
        <v>#REF!</v>
      </c>
      <c r="W246" t="e">
        <f>#REF!</f>
        <v>#REF!</v>
      </c>
      <c r="X246" t="e">
        <f>#REF!</f>
        <v>#REF!</v>
      </c>
      <c r="Y246" t="e">
        <f>#REF!</f>
        <v>#REF!</v>
      </c>
      <c r="Z246" t="e">
        <f>#REF!</f>
        <v>#REF!</v>
      </c>
      <c r="AA246" t="e">
        <f>#REF!</f>
        <v>#REF!</v>
      </c>
      <c r="AB246" t="e">
        <f>#REF!</f>
        <v>#REF!</v>
      </c>
      <c r="AC246" t="e">
        <f>#REF!</f>
        <v>#REF!</v>
      </c>
      <c r="AD246" t="e">
        <f>#REF!</f>
        <v>#REF!</v>
      </c>
      <c r="AE246" t="e">
        <f>#REF!</f>
        <v>#REF!</v>
      </c>
      <c r="AF246" t="e">
        <f>#REF!</f>
        <v>#REF!</v>
      </c>
      <c r="AG246" t="e">
        <f>#REF!</f>
        <v>#REF!</v>
      </c>
      <c r="AH246" t="e">
        <f>#REF!</f>
        <v>#REF!</v>
      </c>
      <c r="AI246" t="e">
        <f>#REF!</f>
        <v>#REF!</v>
      </c>
      <c r="AO246" s="159" t="e">
        <f>IF(#REF!="",0,#REF!)</f>
        <v>#REF!</v>
      </c>
      <c r="AP246" s="160" t="e">
        <f t="shared" si="8"/>
        <v>#REF!</v>
      </c>
    </row>
    <row r="247" spans="2:42" x14ac:dyDescent="0.25">
      <c r="B247" t="e">
        <f>#REF!</f>
        <v>#REF!</v>
      </c>
      <c r="C247" t="e">
        <f>#REF!</f>
        <v>#REF!</v>
      </c>
      <c r="D247" t="e">
        <f>#REF!</f>
        <v>#REF!</v>
      </c>
      <c r="E247" s="14" t="e">
        <f>#REF!</f>
        <v>#REF!</v>
      </c>
      <c r="F247" t="e">
        <f>#REF!</f>
        <v>#REF!</v>
      </c>
      <c r="G247" t="e">
        <f>#REF!</f>
        <v>#REF!</v>
      </c>
      <c r="H247" t="e">
        <f>#REF!</f>
        <v>#REF!</v>
      </c>
      <c r="I247" t="e">
        <f>#REF!</f>
        <v>#REF!</v>
      </c>
      <c r="J247" t="e">
        <f>#REF!</f>
        <v>#REF!</v>
      </c>
      <c r="K247" t="e">
        <f>#REF!</f>
        <v>#REF!</v>
      </c>
      <c r="L247" t="e">
        <f>#REF!</f>
        <v>#REF!</v>
      </c>
      <c r="M247" t="e">
        <f>#REF!</f>
        <v>#REF!</v>
      </c>
      <c r="N247" t="e">
        <f>#REF!</f>
        <v>#REF!</v>
      </c>
      <c r="O247" t="e">
        <f>#REF!</f>
        <v>#REF!</v>
      </c>
      <c r="P247" t="e">
        <f>#REF!</f>
        <v>#REF!</v>
      </c>
      <c r="Q247" t="e">
        <f>#REF!</f>
        <v>#REF!</v>
      </c>
      <c r="R247" t="e">
        <f>#REF!</f>
        <v>#REF!</v>
      </c>
      <c r="S247" t="e">
        <f>#REF!</f>
        <v>#REF!</v>
      </c>
      <c r="T247" t="e">
        <f>#REF!</f>
        <v>#REF!</v>
      </c>
      <c r="U247" t="e">
        <f>#REF!</f>
        <v>#REF!</v>
      </c>
      <c r="V247" t="e">
        <f>#REF!</f>
        <v>#REF!</v>
      </c>
      <c r="W247" t="e">
        <f>#REF!</f>
        <v>#REF!</v>
      </c>
      <c r="X247" t="e">
        <f>#REF!</f>
        <v>#REF!</v>
      </c>
      <c r="Y247" t="e">
        <f>#REF!</f>
        <v>#REF!</v>
      </c>
      <c r="Z247" t="e">
        <f>#REF!</f>
        <v>#REF!</v>
      </c>
      <c r="AA247" t="e">
        <f>#REF!</f>
        <v>#REF!</v>
      </c>
      <c r="AB247" t="e">
        <f>#REF!</f>
        <v>#REF!</v>
      </c>
      <c r="AC247" t="e">
        <f>#REF!</f>
        <v>#REF!</v>
      </c>
      <c r="AD247" t="e">
        <f>#REF!</f>
        <v>#REF!</v>
      </c>
      <c r="AE247" t="e">
        <f>#REF!</f>
        <v>#REF!</v>
      </c>
      <c r="AF247" t="e">
        <f>#REF!</f>
        <v>#REF!</v>
      </c>
      <c r="AG247" t="e">
        <f>#REF!</f>
        <v>#REF!</v>
      </c>
      <c r="AH247" t="e">
        <f>#REF!</f>
        <v>#REF!</v>
      </c>
      <c r="AI247" t="e">
        <f>#REF!</f>
        <v>#REF!</v>
      </c>
      <c r="AO247" s="159" t="e">
        <f>IF(#REF!="",0,#REF!)</f>
        <v>#REF!</v>
      </c>
      <c r="AP247" s="160" t="e">
        <f t="shared" si="8"/>
        <v>#REF!</v>
      </c>
    </row>
    <row r="248" spans="2:42" x14ac:dyDescent="0.25">
      <c r="B248" t="e">
        <f>#REF!</f>
        <v>#REF!</v>
      </c>
      <c r="C248" t="e">
        <f>#REF!</f>
        <v>#REF!</v>
      </c>
      <c r="D248" t="e">
        <f>#REF!</f>
        <v>#REF!</v>
      </c>
      <c r="E248" s="14" t="e">
        <f>#REF!</f>
        <v>#REF!</v>
      </c>
      <c r="F248" t="e">
        <f>#REF!</f>
        <v>#REF!</v>
      </c>
      <c r="G248" t="e">
        <f>#REF!</f>
        <v>#REF!</v>
      </c>
      <c r="H248" t="e">
        <f>#REF!</f>
        <v>#REF!</v>
      </c>
      <c r="I248" t="e">
        <f>#REF!</f>
        <v>#REF!</v>
      </c>
      <c r="J248" t="e">
        <f>#REF!</f>
        <v>#REF!</v>
      </c>
      <c r="K248" t="e">
        <f>#REF!</f>
        <v>#REF!</v>
      </c>
      <c r="L248" t="e">
        <f>#REF!</f>
        <v>#REF!</v>
      </c>
      <c r="M248" t="e">
        <f>#REF!</f>
        <v>#REF!</v>
      </c>
      <c r="N248" t="e">
        <f>#REF!</f>
        <v>#REF!</v>
      </c>
      <c r="O248" t="e">
        <f>#REF!</f>
        <v>#REF!</v>
      </c>
      <c r="P248" t="e">
        <f>#REF!</f>
        <v>#REF!</v>
      </c>
      <c r="Q248" t="e">
        <f>#REF!</f>
        <v>#REF!</v>
      </c>
      <c r="R248" t="e">
        <f>#REF!</f>
        <v>#REF!</v>
      </c>
      <c r="S248" t="e">
        <f>#REF!</f>
        <v>#REF!</v>
      </c>
      <c r="T248" t="e">
        <f>#REF!</f>
        <v>#REF!</v>
      </c>
      <c r="U248" t="e">
        <f>#REF!</f>
        <v>#REF!</v>
      </c>
      <c r="V248" t="e">
        <f>#REF!</f>
        <v>#REF!</v>
      </c>
      <c r="W248" t="e">
        <f>#REF!</f>
        <v>#REF!</v>
      </c>
      <c r="X248" t="e">
        <f>#REF!</f>
        <v>#REF!</v>
      </c>
      <c r="Y248" t="e">
        <f>#REF!</f>
        <v>#REF!</v>
      </c>
      <c r="Z248" t="e">
        <f>#REF!</f>
        <v>#REF!</v>
      </c>
      <c r="AA248" t="e">
        <f>#REF!</f>
        <v>#REF!</v>
      </c>
      <c r="AB248" t="e">
        <f>#REF!</f>
        <v>#REF!</v>
      </c>
      <c r="AC248" t="e">
        <f>#REF!</f>
        <v>#REF!</v>
      </c>
      <c r="AD248" t="e">
        <f>#REF!</f>
        <v>#REF!</v>
      </c>
      <c r="AE248" t="e">
        <f>#REF!</f>
        <v>#REF!</v>
      </c>
      <c r="AF248" t="e">
        <f>#REF!</f>
        <v>#REF!</v>
      </c>
      <c r="AG248" t="e">
        <f>#REF!</f>
        <v>#REF!</v>
      </c>
      <c r="AH248" t="e">
        <f>#REF!</f>
        <v>#REF!</v>
      </c>
      <c r="AI248" t="e">
        <f>#REF!</f>
        <v>#REF!</v>
      </c>
      <c r="AO248" s="159" t="e">
        <f>IF(#REF!="",0,#REF!)</f>
        <v>#REF!</v>
      </c>
      <c r="AP248" s="160" t="e">
        <f t="shared" si="8"/>
        <v>#REF!</v>
      </c>
    </row>
    <row r="249" spans="2:42" x14ac:dyDescent="0.25">
      <c r="B249" t="e">
        <f>#REF!</f>
        <v>#REF!</v>
      </c>
      <c r="C249" t="e">
        <f>#REF!</f>
        <v>#REF!</v>
      </c>
      <c r="D249" t="e">
        <f>#REF!</f>
        <v>#REF!</v>
      </c>
      <c r="E249" s="14" t="e">
        <f>#REF!</f>
        <v>#REF!</v>
      </c>
      <c r="F249" t="e">
        <f>#REF!</f>
        <v>#REF!</v>
      </c>
      <c r="G249" t="e">
        <f>#REF!</f>
        <v>#REF!</v>
      </c>
      <c r="H249" t="e">
        <f>#REF!</f>
        <v>#REF!</v>
      </c>
      <c r="I249" t="e">
        <f>#REF!</f>
        <v>#REF!</v>
      </c>
      <c r="J249" t="e">
        <f>#REF!</f>
        <v>#REF!</v>
      </c>
      <c r="K249" t="e">
        <f>#REF!</f>
        <v>#REF!</v>
      </c>
      <c r="L249" t="e">
        <f>#REF!</f>
        <v>#REF!</v>
      </c>
      <c r="M249" t="e">
        <f>#REF!</f>
        <v>#REF!</v>
      </c>
      <c r="N249" t="e">
        <f>#REF!</f>
        <v>#REF!</v>
      </c>
      <c r="O249" t="e">
        <f>#REF!</f>
        <v>#REF!</v>
      </c>
      <c r="P249" t="e">
        <f>#REF!</f>
        <v>#REF!</v>
      </c>
      <c r="Q249" t="e">
        <f>#REF!</f>
        <v>#REF!</v>
      </c>
      <c r="R249" t="e">
        <f>#REF!</f>
        <v>#REF!</v>
      </c>
      <c r="S249" t="e">
        <f>#REF!</f>
        <v>#REF!</v>
      </c>
      <c r="T249" t="e">
        <f>#REF!</f>
        <v>#REF!</v>
      </c>
      <c r="U249" t="e">
        <f>#REF!</f>
        <v>#REF!</v>
      </c>
      <c r="V249" t="e">
        <f>#REF!</f>
        <v>#REF!</v>
      </c>
      <c r="W249" t="e">
        <f>#REF!</f>
        <v>#REF!</v>
      </c>
      <c r="X249" t="e">
        <f>#REF!</f>
        <v>#REF!</v>
      </c>
      <c r="Y249" t="e">
        <f>#REF!</f>
        <v>#REF!</v>
      </c>
      <c r="Z249" t="e">
        <f>#REF!</f>
        <v>#REF!</v>
      </c>
      <c r="AA249" t="e">
        <f>#REF!</f>
        <v>#REF!</v>
      </c>
      <c r="AB249" t="e">
        <f>#REF!</f>
        <v>#REF!</v>
      </c>
      <c r="AC249" t="e">
        <f>#REF!</f>
        <v>#REF!</v>
      </c>
      <c r="AD249" t="e">
        <f>#REF!</f>
        <v>#REF!</v>
      </c>
      <c r="AE249" t="e">
        <f>#REF!</f>
        <v>#REF!</v>
      </c>
      <c r="AF249" t="e">
        <f>#REF!</f>
        <v>#REF!</v>
      </c>
      <c r="AG249" t="e">
        <f>#REF!</f>
        <v>#REF!</v>
      </c>
      <c r="AH249" t="e">
        <f>#REF!</f>
        <v>#REF!</v>
      </c>
      <c r="AI249" t="e">
        <f>#REF!</f>
        <v>#REF!</v>
      </c>
      <c r="AO249" s="159" t="e">
        <f>IF(#REF!="",0,#REF!)</f>
        <v>#REF!</v>
      </c>
      <c r="AP249" s="160" t="e">
        <f t="shared" si="8"/>
        <v>#REF!</v>
      </c>
    </row>
    <row r="250" spans="2:42" x14ac:dyDescent="0.25">
      <c r="B250" t="e">
        <f>#REF!</f>
        <v>#REF!</v>
      </c>
      <c r="C250" t="e">
        <f>#REF!</f>
        <v>#REF!</v>
      </c>
      <c r="D250" t="e">
        <f>#REF!</f>
        <v>#REF!</v>
      </c>
      <c r="E250" s="14" t="e">
        <f>#REF!</f>
        <v>#REF!</v>
      </c>
      <c r="F250" t="e">
        <f>#REF!</f>
        <v>#REF!</v>
      </c>
      <c r="G250" t="e">
        <f>#REF!</f>
        <v>#REF!</v>
      </c>
      <c r="H250" t="e">
        <f>#REF!</f>
        <v>#REF!</v>
      </c>
      <c r="I250" t="e">
        <f>#REF!</f>
        <v>#REF!</v>
      </c>
      <c r="J250" t="e">
        <f>#REF!</f>
        <v>#REF!</v>
      </c>
      <c r="K250" t="e">
        <f>#REF!</f>
        <v>#REF!</v>
      </c>
      <c r="L250" t="e">
        <f>#REF!</f>
        <v>#REF!</v>
      </c>
      <c r="M250" t="e">
        <f>#REF!</f>
        <v>#REF!</v>
      </c>
      <c r="N250" t="e">
        <f>#REF!</f>
        <v>#REF!</v>
      </c>
      <c r="O250" t="e">
        <f>#REF!</f>
        <v>#REF!</v>
      </c>
      <c r="P250" t="e">
        <f>#REF!</f>
        <v>#REF!</v>
      </c>
      <c r="Q250" t="e">
        <f>#REF!</f>
        <v>#REF!</v>
      </c>
      <c r="R250" t="e">
        <f>#REF!</f>
        <v>#REF!</v>
      </c>
      <c r="S250" t="e">
        <f>#REF!</f>
        <v>#REF!</v>
      </c>
      <c r="T250" t="e">
        <f>#REF!</f>
        <v>#REF!</v>
      </c>
      <c r="U250" t="e">
        <f>#REF!</f>
        <v>#REF!</v>
      </c>
      <c r="V250" t="e">
        <f>#REF!</f>
        <v>#REF!</v>
      </c>
      <c r="W250" t="e">
        <f>#REF!</f>
        <v>#REF!</v>
      </c>
      <c r="X250" t="e">
        <f>#REF!</f>
        <v>#REF!</v>
      </c>
      <c r="Y250" t="e">
        <f>#REF!</f>
        <v>#REF!</v>
      </c>
      <c r="Z250" t="e">
        <f>#REF!</f>
        <v>#REF!</v>
      </c>
      <c r="AA250" t="e">
        <f>#REF!</f>
        <v>#REF!</v>
      </c>
      <c r="AB250" t="e">
        <f>#REF!</f>
        <v>#REF!</v>
      </c>
      <c r="AC250" t="e">
        <f>#REF!</f>
        <v>#REF!</v>
      </c>
      <c r="AD250" t="e">
        <f>#REF!</f>
        <v>#REF!</v>
      </c>
      <c r="AE250" t="e">
        <f>#REF!</f>
        <v>#REF!</v>
      </c>
      <c r="AF250" t="e">
        <f>#REF!</f>
        <v>#REF!</v>
      </c>
      <c r="AG250" t="e">
        <f>#REF!</f>
        <v>#REF!</v>
      </c>
      <c r="AH250" t="e">
        <f>#REF!</f>
        <v>#REF!</v>
      </c>
      <c r="AI250" t="e">
        <f>#REF!</f>
        <v>#REF!</v>
      </c>
      <c r="AO250" s="159" t="e">
        <f>IF(#REF!="",0,#REF!)</f>
        <v>#REF!</v>
      </c>
      <c r="AP250" s="160" t="e">
        <f t="shared" si="8"/>
        <v>#REF!</v>
      </c>
    </row>
    <row r="251" spans="2:42" x14ac:dyDescent="0.25">
      <c r="B251" t="e">
        <f>#REF!</f>
        <v>#REF!</v>
      </c>
      <c r="C251" t="e">
        <f>#REF!</f>
        <v>#REF!</v>
      </c>
      <c r="D251" t="e">
        <f>#REF!</f>
        <v>#REF!</v>
      </c>
      <c r="E251" s="14" t="e">
        <f>#REF!</f>
        <v>#REF!</v>
      </c>
      <c r="F251" t="e">
        <f>#REF!</f>
        <v>#REF!</v>
      </c>
      <c r="G251" t="e">
        <f>#REF!</f>
        <v>#REF!</v>
      </c>
      <c r="H251" t="e">
        <f>#REF!</f>
        <v>#REF!</v>
      </c>
      <c r="I251" t="e">
        <f>#REF!</f>
        <v>#REF!</v>
      </c>
      <c r="J251" t="e">
        <f>#REF!</f>
        <v>#REF!</v>
      </c>
      <c r="K251" t="e">
        <f>#REF!</f>
        <v>#REF!</v>
      </c>
      <c r="L251" t="e">
        <f>#REF!</f>
        <v>#REF!</v>
      </c>
      <c r="M251" t="e">
        <f>#REF!</f>
        <v>#REF!</v>
      </c>
      <c r="N251" t="e">
        <f>#REF!</f>
        <v>#REF!</v>
      </c>
      <c r="O251" t="e">
        <f>#REF!</f>
        <v>#REF!</v>
      </c>
      <c r="P251" t="e">
        <f>#REF!</f>
        <v>#REF!</v>
      </c>
      <c r="Q251" t="e">
        <f>#REF!</f>
        <v>#REF!</v>
      </c>
      <c r="R251" t="e">
        <f>#REF!</f>
        <v>#REF!</v>
      </c>
      <c r="S251" t="e">
        <f>#REF!</f>
        <v>#REF!</v>
      </c>
      <c r="T251" t="e">
        <f>#REF!</f>
        <v>#REF!</v>
      </c>
      <c r="U251" t="e">
        <f>#REF!</f>
        <v>#REF!</v>
      </c>
      <c r="V251" t="e">
        <f>#REF!</f>
        <v>#REF!</v>
      </c>
      <c r="W251" t="e">
        <f>#REF!</f>
        <v>#REF!</v>
      </c>
      <c r="X251" t="e">
        <f>#REF!</f>
        <v>#REF!</v>
      </c>
      <c r="Y251" t="e">
        <f>#REF!</f>
        <v>#REF!</v>
      </c>
      <c r="Z251" t="e">
        <f>#REF!</f>
        <v>#REF!</v>
      </c>
      <c r="AA251" t="e">
        <f>#REF!</f>
        <v>#REF!</v>
      </c>
      <c r="AB251" t="e">
        <f>#REF!</f>
        <v>#REF!</v>
      </c>
      <c r="AC251" t="e">
        <f>#REF!</f>
        <v>#REF!</v>
      </c>
      <c r="AD251" t="e">
        <f>#REF!</f>
        <v>#REF!</v>
      </c>
      <c r="AE251" t="e">
        <f>#REF!</f>
        <v>#REF!</v>
      </c>
      <c r="AF251" t="e">
        <f>#REF!</f>
        <v>#REF!</v>
      </c>
      <c r="AG251" t="e">
        <f>#REF!</f>
        <v>#REF!</v>
      </c>
      <c r="AH251" t="e">
        <f>#REF!</f>
        <v>#REF!</v>
      </c>
      <c r="AI251" t="e">
        <f>#REF!</f>
        <v>#REF!</v>
      </c>
      <c r="AO251" s="159" t="e">
        <f>IF(#REF!="",0,#REF!)</f>
        <v>#REF!</v>
      </c>
      <c r="AP251" s="160" t="e">
        <f t="shared" si="8"/>
        <v>#REF!</v>
      </c>
    </row>
    <row r="252" spans="2:42" x14ac:dyDescent="0.25">
      <c r="B252" t="e">
        <f>#REF!</f>
        <v>#REF!</v>
      </c>
      <c r="C252" t="e">
        <f>#REF!</f>
        <v>#REF!</v>
      </c>
      <c r="D252" t="e">
        <f>#REF!</f>
        <v>#REF!</v>
      </c>
      <c r="E252" s="14" t="e">
        <f>#REF!</f>
        <v>#REF!</v>
      </c>
      <c r="F252" t="e">
        <f>#REF!</f>
        <v>#REF!</v>
      </c>
      <c r="G252" t="e">
        <f>#REF!</f>
        <v>#REF!</v>
      </c>
      <c r="H252" t="e">
        <f>#REF!</f>
        <v>#REF!</v>
      </c>
      <c r="I252" t="e">
        <f>#REF!</f>
        <v>#REF!</v>
      </c>
      <c r="J252" t="e">
        <f>#REF!</f>
        <v>#REF!</v>
      </c>
      <c r="K252" t="e">
        <f>#REF!</f>
        <v>#REF!</v>
      </c>
      <c r="L252" t="e">
        <f>#REF!</f>
        <v>#REF!</v>
      </c>
      <c r="M252" t="e">
        <f>#REF!</f>
        <v>#REF!</v>
      </c>
      <c r="N252" t="e">
        <f>#REF!</f>
        <v>#REF!</v>
      </c>
      <c r="O252" t="e">
        <f>#REF!</f>
        <v>#REF!</v>
      </c>
      <c r="P252" t="e">
        <f>#REF!</f>
        <v>#REF!</v>
      </c>
      <c r="Q252" t="e">
        <f>#REF!</f>
        <v>#REF!</v>
      </c>
      <c r="R252" t="e">
        <f>#REF!</f>
        <v>#REF!</v>
      </c>
      <c r="S252" t="e">
        <f>#REF!</f>
        <v>#REF!</v>
      </c>
      <c r="T252" t="e">
        <f>#REF!</f>
        <v>#REF!</v>
      </c>
      <c r="U252" t="e">
        <f>#REF!</f>
        <v>#REF!</v>
      </c>
      <c r="V252" t="e">
        <f>#REF!</f>
        <v>#REF!</v>
      </c>
      <c r="W252" t="e">
        <f>#REF!</f>
        <v>#REF!</v>
      </c>
      <c r="X252" t="e">
        <f>#REF!</f>
        <v>#REF!</v>
      </c>
      <c r="Y252" t="e">
        <f>#REF!</f>
        <v>#REF!</v>
      </c>
      <c r="Z252" t="e">
        <f>#REF!</f>
        <v>#REF!</v>
      </c>
      <c r="AA252" t="e">
        <f>#REF!</f>
        <v>#REF!</v>
      </c>
      <c r="AB252" t="e">
        <f>#REF!</f>
        <v>#REF!</v>
      </c>
      <c r="AC252" t="e">
        <f>#REF!</f>
        <v>#REF!</v>
      </c>
      <c r="AD252" t="e">
        <f>#REF!</f>
        <v>#REF!</v>
      </c>
      <c r="AE252" t="e">
        <f>#REF!</f>
        <v>#REF!</v>
      </c>
      <c r="AF252" t="e">
        <f>#REF!</f>
        <v>#REF!</v>
      </c>
      <c r="AG252" t="e">
        <f>#REF!</f>
        <v>#REF!</v>
      </c>
      <c r="AH252" t="e">
        <f>#REF!</f>
        <v>#REF!</v>
      </c>
      <c r="AI252" t="e">
        <f>#REF!</f>
        <v>#REF!</v>
      </c>
      <c r="AO252" s="159" t="e">
        <f>IF(#REF!="",0,#REF!)</f>
        <v>#REF!</v>
      </c>
      <c r="AP252" s="160" t="e">
        <f t="shared" si="8"/>
        <v>#REF!</v>
      </c>
    </row>
    <row r="253" spans="2:42" x14ac:dyDescent="0.25">
      <c r="B253" t="e">
        <f>#REF!</f>
        <v>#REF!</v>
      </c>
      <c r="C253" t="e">
        <f>#REF!</f>
        <v>#REF!</v>
      </c>
      <c r="D253" t="e">
        <f>#REF!</f>
        <v>#REF!</v>
      </c>
      <c r="E253" s="14" t="e">
        <f>#REF!</f>
        <v>#REF!</v>
      </c>
      <c r="F253" t="e">
        <f>#REF!</f>
        <v>#REF!</v>
      </c>
      <c r="G253" t="e">
        <f>#REF!</f>
        <v>#REF!</v>
      </c>
      <c r="H253" t="e">
        <f>#REF!</f>
        <v>#REF!</v>
      </c>
      <c r="I253" t="e">
        <f>#REF!</f>
        <v>#REF!</v>
      </c>
      <c r="J253" t="e">
        <f>#REF!</f>
        <v>#REF!</v>
      </c>
      <c r="K253" t="e">
        <f>#REF!</f>
        <v>#REF!</v>
      </c>
      <c r="L253" t="e">
        <f>#REF!</f>
        <v>#REF!</v>
      </c>
      <c r="M253" t="e">
        <f>#REF!</f>
        <v>#REF!</v>
      </c>
      <c r="N253" t="e">
        <f>#REF!</f>
        <v>#REF!</v>
      </c>
      <c r="O253" t="e">
        <f>#REF!</f>
        <v>#REF!</v>
      </c>
      <c r="P253" t="e">
        <f>#REF!</f>
        <v>#REF!</v>
      </c>
      <c r="Q253" t="e">
        <f>#REF!</f>
        <v>#REF!</v>
      </c>
      <c r="R253" t="e">
        <f>#REF!</f>
        <v>#REF!</v>
      </c>
      <c r="S253" t="e">
        <f>#REF!</f>
        <v>#REF!</v>
      </c>
      <c r="T253" t="e">
        <f>#REF!</f>
        <v>#REF!</v>
      </c>
      <c r="U253" t="e">
        <f>#REF!</f>
        <v>#REF!</v>
      </c>
      <c r="V253" t="e">
        <f>#REF!</f>
        <v>#REF!</v>
      </c>
      <c r="W253" t="e">
        <f>#REF!</f>
        <v>#REF!</v>
      </c>
      <c r="X253" t="e">
        <f>#REF!</f>
        <v>#REF!</v>
      </c>
      <c r="Y253" t="e">
        <f>#REF!</f>
        <v>#REF!</v>
      </c>
      <c r="Z253" t="e">
        <f>#REF!</f>
        <v>#REF!</v>
      </c>
      <c r="AA253" t="e">
        <f>#REF!</f>
        <v>#REF!</v>
      </c>
      <c r="AB253" t="e">
        <f>#REF!</f>
        <v>#REF!</v>
      </c>
      <c r="AC253" t="e">
        <f>#REF!</f>
        <v>#REF!</v>
      </c>
      <c r="AD253" t="e">
        <f>#REF!</f>
        <v>#REF!</v>
      </c>
      <c r="AE253" t="e">
        <f>#REF!</f>
        <v>#REF!</v>
      </c>
      <c r="AF253" t="e">
        <f>#REF!</f>
        <v>#REF!</v>
      </c>
      <c r="AG253" t="e">
        <f>#REF!</f>
        <v>#REF!</v>
      </c>
      <c r="AH253" t="e">
        <f>#REF!</f>
        <v>#REF!</v>
      </c>
      <c r="AI253" t="e">
        <f>#REF!</f>
        <v>#REF!</v>
      </c>
      <c r="AO253" s="159" t="e">
        <f>IF(#REF!="",0,#REF!)</f>
        <v>#REF!</v>
      </c>
      <c r="AP253" s="160" t="e">
        <f t="shared" si="8"/>
        <v>#REF!</v>
      </c>
    </row>
    <row r="254" spans="2:42" x14ac:dyDescent="0.25">
      <c r="B254" t="e">
        <f>#REF!</f>
        <v>#REF!</v>
      </c>
      <c r="C254" t="e">
        <f>#REF!</f>
        <v>#REF!</v>
      </c>
      <c r="D254" t="e">
        <f>#REF!</f>
        <v>#REF!</v>
      </c>
      <c r="E254" s="14" t="e">
        <f>#REF!</f>
        <v>#REF!</v>
      </c>
      <c r="F254" t="e">
        <f>#REF!</f>
        <v>#REF!</v>
      </c>
      <c r="G254" t="e">
        <f>#REF!</f>
        <v>#REF!</v>
      </c>
      <c r="H254" t="e">
        <f>#REF!</f>
        <v>#REF!</v>
      </c>
      <c r="I254" t="e">
        <f>#REF!</f>
        <v>#REF!</v>
      </c>
      <c r="J254" t="e">
        <f>#REF!</f>
        <v>#REF!</v>
      </c>
      <c r="K254" t="e">
        <f>#REF!</f>
        <v>#REF!</v>
      </c>
      <c r="L254" t="e">
        <f>#REF!</f>
        <v>#REF!</v>
      </c>
      <c r="M254" t="e">
        <f>#REF!</f>
        <v>#REF!</v>
      </c>
      <c r="N254" t="e">
        <f>#REF!</f>
        <v>#REF!</v>
      </c>
      <c r="O254" t="e">
        <f>#REF!</f>
        <v>#REF!</v>
      </c>
      <c r="P254" t="e">
        <f>#REF!</f>
        <v>#REF!</v>
      </c>
      <c r="Q254" t="e">
        <f>#REF!</f>
        <v>#REF!</v>
      </c>
      <c r="R254" t="e">
        <f>#REF!</f>
        <v>#REF!</v>
      </c>
      <c r="S254" t="e">
        <f>#REF!</f>
        <v>#REF!</v>
      </c>
      <c r="T254" t="e">
        <f>#REF!</f>
        <v>#REF!</v>
      </c>
      <c r="U254" t="e">
        <f>#REF!</f>
        <v>#REF!</v>
      </c>
      <c r="V254" t="e">
        <f>#REF!</f>
        <v>#REF!</v>
      </c>
      <c r="W254" t="e">
        <f>#REF!</f>
        <v>#REF!</v>
      </c>
      <c r="X254" t="e">
        <f>#REF!</f>
        <v>#REF!</v>
      </c>
      <c r="Y254" t="e">
        <f>#REF!</f>
        <v>#REF!</v>
      </c>
      <c r="Z254" t="e">
        <f>#REF!</f>
        <v>#REF!</v>
      </c>
      <c r="AA254" t="e">
        <f>#REF!</f>
        <v>#REF!</v>
      </c>
      <c r="AB254" t="e">
        <f>#REF!</f>
        <v>#REF!</v>
      </c>
      <c r="AC254" t="e">
        <f>#REF!</f>
        <v>#REF!</v>
      </c>
      <c r="AD254" t="e">
        <f>#REF!</f>
        <v>#REF!</v>
      </c>
      <c r="AE254" t="e">
        <f>#REF!</f>
        <v>#REF!</v>
      </c>
      <c r="AF254" t="e">
        <f>#REF!</f>
        <v>#REF!</v>
      </c>
      <c r="AG254" t="e">
        <f>#REF!</f>
        <v>#REF!</v>
      </c>
      <c r="AH254" t="e">
        <f>#REF!</f>
        <v>#REF!</v>
      </c>
      <c r="AI254" t="e">
        <f>#REF!</f>
        <v>#REF!</v>
      </c>
      <c r="AO254" s="159" t="e">
        <f>IF(#REF!="",0,#REF!)</f>
        <v>#REF!</v>
      </c>
      <c r="AP254" s="160" t="e">
        <f t="shared" si="8"/>
        <v>#REF!</v>
      </c>
    </row>
    <row r="255" spans="2:42" x14ac:dyDescent="0.25">
      <c r="B255" t="e">
        <f>#REF!</f>
        <v>#REF!</v>
      </c>
      <c r="C255" t="e">
        <f>#REF!</f>
        <v>#REF!</v>
      </c>
      <c r="D255" t="e">
        <f>#REF!</f>
        <v>#REF!</v>
      </c>
      <c r="E255" s="14" t="e">
        <f>#REF!</f>
        <v>#REF!</v>
      </c>
      <c r="F255" t="e">
        <f>#REF!</f>
        <v>#REF!</v>
      </c>
      <c r="G255" t="e">
        <f>#REF!</f>
        <v>#REF!</v>
      </c>
      <c r="H255" t="e">
        <f>#REF!</f>
        <v>#REF!</v>
      </c>
      <c r="I255" t="e">
        <f>#REF!</f>
        <v>#REF!</v>
      </c>
      <c r="J255" t="e">
        <f>#REF!</f>
        <v>#REF!</v>
      </c>
      <c r="K255" t="e">
        <f>#REF!</f>
        <v>#REF!</v>
      </c>
      <c r="L255" t="e">
        <f>#REF!</f>
        <v>#REF!</v>
      </c>
      <c r="M255" t="e">
        <f>#REF!</f>
        <v>#REF!</v>
      </c>
      <c r="N255" t="e">
        <f>#REF!</f>
        <v>#REF!</v>
      </c>
      <c r="O255" t="e">
        <f>#REF!</f>
        <v>#REF!</v>
      </c>
      <c r="P255" t="e">
        <f>#REF!</f>
        <v>#REF!</v>
      </c>
      <c r="Q255" t="e">
        <f>#REF!</f>
        <v>#REF!</v>
      </c>
      <c r="R255" t="e">
        <f>#REF!</f>
        <v>#REF!</v>
      </c>
      <c r="S255" t="e">
        <f>#REF!</f>
        <v>#REF!</v>
      </c>
      <c r="T255" t="e">
        <f>#REF!</f>
        <v>#REF!</v>
      </c>
      <c r="U255" t="e">
        <f>#REF!</f>
        <v>#REF!</v>
      </c>
      <c r="V255" t="e">
        <f>#REF!</f>
        <v>#REF!</v>
      </c>
      <c r="W255" t="e">
        <f>#REF!</f>
        <v>#REF!</v>
      </c>
      <c r="X255" t="e">
        <f>#REF!</f>
        <v>#REF!</v>
      </c>
      <c r="Y255" t="e">
        <f>#REF!</f>
        <v>#REF!</v>
      </c>
      <c r="Z255" t="e">
        <f>#REF!</f>
        <v>#REF!</v>
      </c>
      <c r="AA255" t="e">
        <f>#REF!</f>
        <v>#REF!</v>
      </c>
      <c r="AB255" t="e">
        <f>#REF!</f>
        <v>#REF!</v>
      </c>
      <c r="AC255" t="e">
        <f>#REF!</f>
        <v>#REF!</v>
      </c>
      <c r="AD255" t="e">
        <f>#REF!</f>
        <v>#REF!</v>
      </c>
      <c r="AE255" t="e">
        <f>#REF!</f>
        <v>#REF!</v>
      </c>
      <c r="AF255" t="e">
        <f>#REF!</f>
        <v>#REF!</v>
      </c>
      <c r="AG255" t="e">
        <f>#REF!</f>
        <v>#REF!</v>
      </c>
      <c r="AH255" t="e">
        <f>#REF!</f>
        <v>#REF!</v>
      </c>
      <c r="AI255" t="e">
        <f>#REF!</f>
        <v>#REF!</v>
      </c>
      <c r="AO255" s="159" t="e">
        <f>IF(#REF!="",0,#REF!)</f>
        <v>#REF!</v>
      </c>
      <c r="AP255" s="160" t="e">
        <f t="shared" si="8"/>
        <v>#REF!</v>
      </c>
    </row>
    <row r="256" spans="2:42" x14ac:dyDescent="0.25">
      <c r="B256" t="e">
        <f>#REF!</f>
        <v>#REF!</v>
      </c>
      <c r="C256" t="e">
        <f>#REF!</f>
        <v>#REF!</v>
      </c>
      <c r="D256" t="e">
        <f>#REF!</f>
        <v>#REF!</v>
      </c>
      <c r="E256" s="14" t="e">
        <f>#REF!</f>
        <v>#REF!</v>
      </c>
      <c r="F256" t="e">
        <f>#REF!</f>
        <v>#REF!</v>
      </c>
      <c r="G256" t="e">
        <f>#REF!</f>
        <v>#REF!</v>
      </c>
      <c r="H256" t="e">
        <f>#REF!</f>
        <v>#REF!</v>
      </c>
      <c r="I256" t="e">
        <f>#REF!</f>
        <v>#REF!</v>
      </c>
      <c r="J256" t="e">
        <f>#REF!</f>
        <v>#REF!</v>
      </c>
      <c r="K256" t="e">
        <f>#REF!</f>
        <v>#REF!</v>
      </c>
      <c r="L256" t="e">
        <f>#REF!</f>
        <v>#REF!</v>
      </c>
      <c r="M256" t="e">
        <f>#REF!</f>
        <v>#REF!</v>
      </c>
      <c r="N256" t="e">
        <f>#REF!</f>
        <v>#REF!</v>
      </c>
      <c r="O256" t="e">
        <f>#REF!</f>
        <v>#REF!</v>
      </c>
      <c r="P256" t="e">
        <f>#REF!</f>
        <v>#REF!</v>
      </c>
      <c r="Q256" t="e">
        <f>#REF!</f>
        <v>#REF!</v>
      </c>
      <c r="R256" t="e">
        <f>#REF!</f>
        <v>#REF!</v>
      </c>
      <c r="S256" t="e">
        <f>#REF!</f>
        <v>#REF!</v>
      </c>
      <c r="T256" t="e">
        <f>#REF!</f>
        <v>#REF!</v>
      </c>
      <c r="U256" t="e">
        <f>#REF!</f>
        <v>#REF!</v>
      </c>
      <c r="V256" t="e">
        <f>#REF!</f>
        <v>#REF!</v>
      </c>
      <c r="W256" t="e">
        <f>#REF!</f>
        <v>#REF!</v>
      </c>
      <c r="X256" t="e">
        <f>#REF!</f>
        <v>#REF!</v>
      </c>
      <c r="Y256" t="e">
        <f>#REF!</f>
        <v>#REF!</v>
      </c>
      <c r="Z256" t="e">
        <f>#REF!</f>
        <v>#REF!</v>
      </c>
      <c r="AA256" t="e">
        <f>#REF!</f>
        <v>#REF!</v>
      </c>
      <c r="AB256" t="e">
        <f>#REF!</f>
        <v>#REF!</v>
      </c>
      <c r="AC256" t="e">
        <f>#REF!</f>
        <v>#REF!</v>
      </c>
      <c r="AD256" t="e">
        <f>#REF!</f>
        <v>#REF!</v>
      </c>
      <c r="AE256" t="e">
        <f>#REF!</f>
        <v>#REF!</v>
      </c>
      <c r="AF256" t="e">
        <f>#REF!</f>
        <v>#REF!</v>
      </c>
      <c r="AG256" t="e">
        <f>#REF!</f>
        <v>#REF!</v>
      </c>
      <c r="AH256" t="e">
        <f>#REF!</f>
        <v>#REF!</v>
      </c>
      <c r="AI256" t="e">
        <f>#REF!</f>
        <v>#REF!</v>
      </c>
      <c r="AO256" s="159" t="e">
        <f>IF(#REF!="",0,#REF!)</f>
        <v>#REF!</v>
      </c>
      <c r="AP256" s="160" t="e">
        <f t="shared" si="8"/>
        <v>#REF!</v>
      </c>
    </row>
    <row r="257" spans="2:42" x14ac:dyDescent="0.25">
      <c r="B257" t="e">
        <f>#REF!</f>
        <v>#REF!</v>
      </c>
      <c r="C257" t="e">
        <f>#REF!</f>
        <v>#REF!</v>
      </c>
      <c r="D257" t="e">
        <f>#REF!</f>
        <v>#REF!</v>
      </c>
      <c r="E257" s="14" t="e">
        <f>#REF!</f>
        <v>#REF!</v>
      </c>
      <c r="F257" t="e">
        <f>#REF!</f>
        <v>#REF!</v>
      </c>
      <c r="G257" t="e">
        <f>#REF!</f>
        <v>#REF!</v>
      </c>
      <c r="H257" t="e">
        <f>#REF!</f>
        <v>#REF!</v>
      </c>
      <c r="I257" t="e">
        <f>#REF!</f>
        <v>#REF!</v>
      </c>
      <c r="J257" t="e">
        <f>#REF!</f>
        <v>#REF!</v>
      </c>
      <c r="K257" t="e">
        <f>#REF!</f>
        <v>#REF!</v>
      </c>
      <c r="L257" t="e">
        <f>#REF!</f>
        <v>#REF!</v>
      </c>
      <c r="M257" t="e">
        <f>#REF!</f>
        <v>#REF!</v>
      </c>
      <c r="N257" t="e">
        <f>#REF!</f>
        <v>#REF!</v>
      </c>
      <c r="O257" t="e">
        <f>#REF!</f>
        <v>#REF!</v>
      </c>
      <c r="P257" t="e">
        <f>#REF!</f>
        <v>#REF!</v>
      </c>
      <c r="Q257" t="e">
        <f>#REF!</f>
        <v>#REF!</v>
      </c>
      <c r="R257" t="e">
        <f>#REF!</f>
        <v>#REF!</v>
      </c>
      <c r="S257" t="e">
        <f>#REF!</f>
        <v>#REF!</v>
      </c>
      <c r="T257" t="e">
        <f>#REF!</f>
        <v>#REF!</v>
      </c>
      <c r="U257" t="e">
        <f>#REF!</f>
        <v>#REF!</v>
      </c>
      <c r="V257" t="e">
        <f>#REF!</f>
        <v>#REF!</v>
      </c>
      <c r="W257" t="e">
        <f>#REF!</f>
        <v>#REF!</v>
      </c>
      <c r="X257" t="e">
        <f>#REF!</f>
        <v>#REF!</v>
      </c>
      <c r="Y257" t="e">
        <f>#REF!</f>
        <v>#REF!</v>
      </c>
      <c r="Z257" t="e">
        <f>#REF!</f>
        <v>#REF!</v>
      </c>
      <c r="AA257" t="e">
        <f>#REF!</f>
        <v>#REF!</v>
      </c>
      <c r="AB257" t="e">
        <f>#REF!</f>
        <v>#REF!</v>
      </c>
      <c r="AC257" t="e">
        <f>#REF!</f>
        <v>#REF!</v>
      </c>
      <c r="AD257" t="e">
        <f>#REF!</f>
        <v>#REF!</v>
      </c>
      <c r="AE257" t="e">
        <f>#REF!</f>
        <v>#REF!</v>
      </c>
      <c r="AF257" t="e">
        <f>#REF!</f>
        <v>#REF!</v>
      </c>
      <c r="AG257" t="e">
        <f>#REF!</f>
        <v>#REF!</v>
      </c>
      <c r="AH257" t="e">
        <f>#REF!</f>
        <v>#REF!</v>
      </c>
      <c r="AI257" t="e">
        <f>#REF!</f>
        <v>#REF!</v>
      </c>
      <c r="AO257" s="159" t="e">
        <f>IF(#REF!="",0,#REF!)</f>
        <v>#REF!</v>
      </c>
      <c r="AP257" s="160" t="e">
        <f t="shared" si="8"/>
        <v>#REF!</v>
      </c>
    </row>
    <row r="258" spans="2:42" x14ac:dyDescent="0.25">
      <c r="B258" t="e">
        <f>#REF!</f>
        <v>#REF!</v>
      </c>
      <c r="C258" t="e">
        <f>#REF!</f>
        <v>#REF!</v>
      </c>
      <c r="D258" t="e">
        <f>#REF!</f>
        <v>#REF!</v>
      </c>
      <c r="E258" s="14" t="e">
        <f>#REF!</f>
        <v>#REF!</v>
      </c>
      <c r="F258" t="e">
        <f>#REF!</f>
        <v>#REF!</v>
      </c>
      <c r="G258" t="e">
        <f>#REF!</f>
        <v>#REF!</v>
      </c>
      <c r="H258" t="e">
        <f>#REF!</f>
        <v>#REF!</v>
      </c>
      <c r="I258" t="e">
        <f>#REF!</f>
        <v>#REF!</v>
      </c>
      <c r="J258" t="e">
        <f>#REF!</f>
        <v>#REF!</v>
      </c>
      <c r="K258" t="e">
        <f>#REF!</f>
        <v>#REF!</v>
      </c>
      <c r="L258" t="e">
        <f>#REF!</f>
        <v>#REF!</v>
      </c>
      <c r="M258" t="e">
        <f>#REF!</f>
        <v>#REF!</v>
      </c>
      <c r="N258" t="e">
        <f>#REF!</f>
        <v>#REF!</v>
      </c>
      <c r="O258" t="e">
        <f>#REF!</f>
        <v>#REF!</v>
      </c>
      <c r="P258" t="e">
        <f>#REF!</f>
        <v>#REF!</v>
      </c>
      <c r="Q258" t="e">
        <f>#REF!</f>
        <v>#REF!</v>
      </c>
      <c r="R258" t="e">
        <f>#REF!</f>
        <v>#REF!</v>
      </c>
      <c r="S258" t="e">
        <f>#REF!</f>
        <v>#REF!</v>
      </c>
      <c r="T258" t="e">
        <f>#REF!</f>
        <v>#REF!</v>
      </c>
      <c r="U258" t="e">
        <f>#REF!</f>
        <v>#REF!</v>
      </c>
      <c r="V258" t="e">
        <f>#REF!</f>
        <v>#REF!</v>
      </c>
      <c r="W258" t="e">
        <f>#REF!</f>
        <v>#REF!</v>
      </c>
      <c r="X258" t="e">
        <f>#REF!</f>
        <v>#REF!</v>
      </c>
      <c r="Y258" t="e">
        <f>#REF!</f>
        <v>#REF!</v>
      </c>
      <c r="Z258" t="e">
        <f>#REF!</f>
        <v>#REF!</v>
      </c>
      <c r="AA258" t="e">
        <f>#REF!</f>
        <v>#REF!</v>
      </c>
      <c r="AB258" t="e">
        <f>#REF!</f>
        <v>#REF!</v>
      </c>
      <c r="AC258" t="e">
        <f>#REF!</f>
        <v>#REF!</v>
      </c>
      <c r="AD258" t="e">
        <f>#REF!</f>
        <v>#REF!</v>
      </c>
      <c r="AE258" t="e">
        <f>#REF!</f>
        <v>#REF!</v>
      </c>
      <c r="AF258" t="e">
        <f>#REF!</f>
        <v>#REF!</v>
      </c>
      <c r="AG258" t="e">
        <f>#REF!</f>
        <v>#REF!</v>
      </c>
      <c r="AH258" t="e">
        <f>#REF!</f>
        <v>#REF!</v>
      </c>
      <c r="AI258" t="e">
        <f>#REF!</f>
        <v>#REF!</v>
      </c>
      <c r="AO258" s="159" t="e">
        <f>IF(#REF!="",0,#REF!)</f>
        <v>#REF!</v>
      </c>
      <c r="AP258" s="160" t="e">
        <f t="shared" si="8"/>
        <v>#REF!</v>
      </c>
    </row>
    <row r="259" spans="2:42" x14ac:dyDescent="0.25">
      <c r="B259" t="e">
        <f>#REF!</f>
        <v>#REF!</v>
      </c>
      <c r="C259" t="e">
        <f>#REF!</f>
        <v>#REF!</v>
      </c>
      <c r="D259" t="e">
        <f>#REF!</f>
        <v>#REF!</v>
      </c>
      <c r="E259" s="14" t="e">
        <f>#REF!</f>
        <v>#REF!</v>
      </c>
      <c r="F259" t="e">
        <f>#REF!</f>
        <v>#REF!</v>
      </c>
      <c r="G259" t="e">
        <f>#REF!</f>
        <v>#REF!</v>
      </c>
      <c r="H259" t="e">
        <f>#REF!</f>
        <v>#REF!</v>
      </c>
      <c r="I259" t="e">
        <f>#REF!</f>
        <v>#REF!</v>
      </c>
      <c r="J259" t="e">
        <f>#REF!</f>
        <v>#REF!</v>
      </c>
      <c r="K259" t="e">
        <f>#REF!</f>
        <v>#REF!</v>
      </c>
      <c r="L259" t="e">
        <f>#REF!</f>
        <v>#REF!</v>
      </c>
      <c r="M259" t="e">
        <f>#REF!</f>
        <v>#REF!</v>
      </c>
      <c r="N259" t="e">
        <f>#REF!</f>
        <v>#REF!</v>
      </c>
      <c r="O259" t="e">
        <f>#REF!</f>
        <v>#REF!</v>
      </c>
      <c r="P259" t="e">
        <f>#REF!</f>
        <v>#REF!</v>
      </c>
      <c r="Q259" t="e">
        <f>#REF!</f>
        <v>#REF!</v>
      </c>
      <c r="R259" t="e">
        <f>#REF!</f>
        <v>#REF!</v>
      </c>
      <c r="S259" t="e">
        <f>#REF!</f>
        <v>#REF!</v>
      </c>
      <c r="T259" t="e">
        <f>#REF!</f>
        <v>#REF!</v>
      </c>
      <c r="U259" t="e">
        <f>#REF!</f>
        <v>#REF!</v>
      </c>
      <c r="V259" t="e">
        <f>#REF!</f>
        <v>#REF!</v>
      </c>
      <c r="W259" t="e">
        <f>#REF!</f>
        <v>#REF!</v>
      </c>
      <c r="X259" t="e">
        <f>#REF!</f>
        <v>#REF!</v>
      </c>
      <c r="Y259" t="e">
        <f>#REF!</f>
        <v>#REF!</v>
      </c>
      <c r="Z259" t="e">
        <f>#REF!</f>
        <v>#REF!</v>
      </c>
      <c r="AA259" t="e">
        <f>#REF!</f>
        <v>#REF!</v>
      </c>
      <c r="AB259" t="e">
        <f>#REF!</f>
        <v>#REF!</v>
      </c>
      <c r="AC259" t="e">
        <f>#REF!</f>
        <v>#REF!</v>
      </c>
      <c r="AD259" t="e">
        <f>#REF!</f>
        <v>#REF!</v>
      </c>
      <c r="AE259" t="e">
        <f>#REF!</f>
        <v>#REF!</v>
      </c>
      <c r="AF259" t="e">
        <f>#REF!</f>
        <v>#REF!</v>
      </c>
      <c r="AG259" t="e">
        <f>#REF!</f>
        <v>#REF!</v>
      </c>
      <c r="AH259" t="e">
        <f>#REF!</f>
        <v>#REF!</v>
      </c>
      <c r="AI259" t="e">
        <f>#REF!</f>
        <v>#REF!</v>
      </c>
      <c r="AO259" s="159" t="e">
        <f>IF(#REF!="",0,#REF!)</f>
        <v>#REF!</v>
      </c>
      <c r="AP259" s="160" t="e">
        <f t="shared" si="8"/>
        <v>#REF!</v>
      </c>
    </row>
    <row r="260" spans="2:42" x14ac:dyDescent="0.25">
      <c r="B260" t="e">
        <f>#REF!</f>
        <v>#REF!</v>
      </c>
      <c r="C260" t="e">
        <f>#REF!</f>
        <v>#REF!</v>
      </c>
      <c r="D260" t="e">
        <f>#REF!</f>
        <v>#REF!</v>
      </c>
      <c r="E260" s="14" t="e">
        <f>#REF!</f>
        <v>#REF!</v>
      </c>
      <c r="F260" t="e">
        <f>#REF!</f>
        <v>#REF!</v>
      </c>
      <c r="G260" t="e">
        <f>#REF!</f>
        <v>#REF!</v>
      </c>
      <c r="H260" t="e">
        <f>#REF!</f>
        <v>#REF!</v>
      </c>
      <c r="I260" t="e">
        <f>#REF!</f>
        <v>#REF!</v>
      </c>
      <c r="J260" t="e">
        <f>#REF!</f>
        <v>#REF!</v>
      </c>
      <c r="K260" t="e">
        <f>#REF!</f>
        <v>#REF!</v>
      </c>
      <c r="L260" t="e">
        <f>#REF!</f>
        <v>#REF!</v>
      </c>
      <c r="M260" t="e">
        <f>#REF!</f>
        <v>#REF!</v>
      </c>
      <c r="N260" t="e">
        <f>#REF!</f>
        <v>#REF!</v>
      </c>
      <c r="O260" t="e">
        <f>#REF!</f>
        <v>#REF!</v>
      </c>
      <c r="P260" t="e">
        <f>#REF!</f>
        <v>#REF!</v>
      </c>
      <c r="Q260" t="e">
        <f>#REF!</f>
        <v>#REF!</v>
      </c>
      <c r="R260" t="e">
        <f>#REF!</f>
        <v>#REF!</v>
      </c>
      <c r="S260" t="e">
        <f>#REF!</f>
        <v>#REF!</v>
      </c>
      <c r="T260" t="e">
        <f>#REF!</f>
        <v>#REF!</v>
      </c>
      <c r="U260" t="e">
        <f>#REF!</f>
        <v>#REF!</v>
      </c>
      <c r="V260" t="e">
        <f>#REF!</f>
        <v>#REF!</v>
      </c>
      <c r="W260" t="e">
        <f>#REF!</f>
        <v>#REF!</v>
      </c>
      <c r="X260" t="e">
        <f>#REF!</f>
        <v>#REF!</v>
      </c>
      <c r="Y260" t="e">
        <f>#REF!</f>
        <v>#REF!</v>
      </c>
      <c r="Z260" t="e">
        <f>#REF!</f>
        <v>#REF!</v>
      </c>
      <c r="AA260" t="e">
        <f>#REF!</f>
        <v>#REF!</v>
      </c>
      <c r="AB260" t="e">
        <f>#REF!</f>
        <v>#REF!</v>
      </c>
      <c r="AC260" t="e">
        <f>#REF!</f>
        <v>#REF!</v>
      </c>
      <c r="AD260" t="e">
        <f>#REF!</f>
        <v>#REF!</v>
      </c>
      <c r="AE260" t="e">
        <f>#REF!</f>
        <v>#REF!</v>
      </c>
      <c r="AF260" t="e">
        <f>#REF!</f>
        <v>#REF!</v>
      </c>
      <c r="AG260" t="e">
        <f>#REF!</f>
        <v>#REF!</v>
      </c>
      <c r="AH260" t="e">
        <f>#REF!</f>
        <v>#REF!</v>
      </c>
      <c r="AI260" t="e">
        <f>#REF!</f>
        <v>#REF!</v>
      </c>
      <c r="AO260" s="159" t="e">
        <f>IF(#REF!="",0,#REF!)</f>
        <v>#REF!</v>
      </c>
      <c r="AP260" s="160" t="e">
        <f t="shared" si="8"/>
        <v>#REF!</v>
      </c>
    </row>
    <row r="261" spans="2:42" x14ac:dyDescent="0.25">
      <c r="B261" t="e">
        <f>#REF!</f>
        <v>#REF!</v>
      </c>
      <c r="C261" t="e">
        <f>#REF!</f>
        <v>#REF!</v>
      </c>
      <c r="D261" t="e">
        <f>#REF!</f>
        <v>#REF!</v>
      </c>
      <c r="E261" s="14" t="e">
        <f>#REF!</f>
        <v>#REF!</v>
      </c>
      <c r="F261" t="e">
        <f>#REF!</f>
        <v>#REF!</v>
      </c>
      <c r="G261" t="e">
        <f>#REF!</f>
        <v>#REF!</v>
      </c>
      <c r="H261" t="e">
        <f>#REF!</f>
        <v>#REF!</v>
      </c>
      <c r="I261" t="e">
        <f>#REF!</f>
        <v>#REF!</v>
      </c>
      <c r="J261" t="e">
        <f>#REF!</f>
        <v>#REF!</v>
      </c>
      <c r="K261" t="e">
        <f>#REF!</f>
        <v>#REF!</v>
      </c>
      <c r="L261" t="e">
        <f>#REF!</f>
        <v>#REF!</v>
      </c>
      <c r="M261" t="e">
        <f>#REF!</f>
        <v>#REF!</v>
      </c>
      <c r="N261" t="e">
        <f>#REF!</f>
        <v>#REF!</v>
      </c>
      <c r="O261" t="e">
        <f>#REF!</f>
        <v>#REF!</v>
      </c>
      <c r="P261" t="e">
        <f>#REF!</f>
        <v>#REF!</v>
      </c>
      <c r="Q261" t="e">
        <f>#REF!</f>
        <v>#REF!</v>
      </c>
      <c r="R261" t="e">
        <f>#REF!</f>
        <v>#REF!</v>
      </c>
      <c r="S261" t="e">
        <f>#REF!</f>
        <v>#REF!</v>
      </c>
      <c r="T261" t="e">
        <f>#REF!</f>
        <v>#REF!</v>
      </c>
      <c r="U261" t="e">
        <f>#REF!</f>
        <v>#REF!</v>
      </c>
      <c r="V261" t="e">
        <f>#REF!</f>
        <v>#REF!</v>
      </c>
      <c r="W261" t="e">
        <f>#REF!</f>
        <v>#REF!</v>
      </c>
      <c r="X261" t="e">
        <f>#REF!</f>
        <v>#REF!</v>
      </c>
      <c r="Y261" t="e">
        <f>#REF!</f>
        <v>#REF!</v>
      </c>
      <c r="Z261" t="e">
        <f>#REF!</f>
        <v>#REF!</v>
      </c>
      <c r="AA261" t="e">
        <f>#REF!</f>
        <v>#REF!</v>
      </c>
      <c r="AB261" t="e">
        <f>#REF!</f>
        <v>#REF!</v>
      </c>
      <c r="AC261" t="e">
        <f>#REF!</f>
        <v>#REF!</v>
      </c>
      <c r="AD261" t="e">
        <f>#REF!</f>
        <v>#REF!</v>
      </c>
      <c r="AE261" t="e">
        <f>#REF!</f>
        <v>#REF!</v>
      </c>
      <c r="AF261" t="e">
        <f>#REF!</f>
        <v>#REF!</v>
      </c>
      <c r="AG261" t="e">
        <f>#REF!</f>
        <v>#REF!</v>
      </c>
      <c r="AH261" t="e">
        <f>#REF!</f>
        <v>#REF!</v>
      </c>
      <c r="AI261" t="e">
        <f>#REF!</f>
        <v>#REF!</v>
      </c>
      <c r="AO261" s="159" t="e">
        <f>IF(#REF!="",0,#REF!)</f>
        <v>#REF!</v>
      </c>
      <c r="AP261" s="160" t="e">
        <f t="shared" si="8"/>
        <v>#REF!</v>
      </c>
    </row>
    <row r="262" spans="2:42" x14ac:dyDescent="0.25">
      <c r="B262" t="e">
        <f>#REF!</f>
        <v>#REF!</v>
      </c>
      <c r="C262" t="e">
        <f>#REF!</f>
        <v>#REF!</v>
      </c>
      <c r="D262" t="e">
        <f>#REF!</f>
        <v>#REF!</v>
      </c>
      <c r="E262" s="14" t="e">
        <f>#REF!</f>
        <v>#REF!</v>
      </c>
      <c r="F262" t="e">
        <f>#REF!</f>
        <v>#REF!</v>
      </c>
      <c r="G262" t="e">
        <f>#REF!</f>
        <v>#REF!</v>
      </c>
      <c r="H262" t="e">
        <f>#REF!</f>
        <v>#REF!</v>
      </c>
      <c r="I262" t="e">
        <f>#REF!</f>
        <v>#REF!</v>
      </c>
      <c r="J262" t="e">
        <f>#REF!</f>
        <v>#REF!</v>
      </c>
      <c r="K262" t="e">
        <f>#REF!</f>
        <v>#REF!</v>
      </c>
      <c r="L262" t="e">
        <f>#REF!</f>
        <v>#REF!</v>
      </c>
      <c r="M262" t="e">
        <f>#REF!</f>
        <v>#REF!</v>
      </c>
      <c r="N262" t="e">
        <f>#REF!</f>
        <v>#REF!</v>
      </c>
      <c r="O262" t="e">
        <f>#REF!</f>
        <v>#REF!</v>
      </c>
      <c r="P262" t="e">
        <f>#REF!</f>
        <v>#REF!</v>
      </c>
      <c r="Q262" t="e">
        <f>#REF!</f>
        <v>#REF!</v>
      </c>
      <c r="R262" t="e">
        <f>#REF!</f>
        <v>#REF!</v>
      </c>
      <c r="S262" t="e">
        <f>#REF!</f>
        <v>#REF!</v>
      </c>
      <c r="T262" t="e">
        <f>#REF!</f>
        <v>#REF!</v>
      </c>
      <c r="U262" t="e">
        <f>#REF!</f>
        <v>#REF!</v>
      </c>
      <c r="V262" t="e">
        <f>#REF!</f>
        <v>#REF!</v>
      </c>
      <c r="W262" t="e">
        <f>#REF!</f>
        <v>#REF!</v>
      </c>
      <c r="X262" t="e">
        <f>#REF!</f>
        <v>#REF!</v>
      </c>
      <c r="Y262" t="e">
        <f>#REF!</f>
        <v>#REF!</v>
      </c>
      <c r="Z262" t="e">
        <f>#REF!</f>
        <v>#REF!</v>
      </c>
      <c r="AA262" t="e">
        <f>#REF!</f>
        <v>#REF!</v>
      </c>
      <c r="AB262" t="e">
        <f>#REF!</f>
        <v>#REF!</v>
      </c>
      <c r="AC262" t="e">
        <f>#REF!</f>
        <v>#REF!</v>
      </c>
      <c r="AD262" t="e">
        <f>#REF!</f>
        <v>#REF!</v>
      </c>
      <c r="AE262" t="e">
        <f>#REF!</f>
        <v>#REF!</v>
      </c>
      <c r="AF262" t="e">
        <f>#REF!</f>
        <v>#REF!</v>
      </c>
      <c r="AG262" t="e">
        <f>#REF!</f>
        <v>#REF!</v>
      </c>
      <c r="AH262" t="e">
        <f>#REF!</f>
        <v>#REF!</v>
      </c>
      <c r="AI262" t="e">
        <f>#REF!</f>
        <v>#REF!</v>
      </c>
      <c r="AO262" s="159" t="e">
        <f>IF(#REF!="",0,#REF!)</f>
        <v>#REF!</v>
      </c>
      <c r="AP262" s="160" t="e">
        <f t="shared" si="8"/>
        <v>#REF!</v>
      </c>
    </row>
    <row r="263" spans="2:42" x14ac:dyDescent="0.25">
      <c r="B263" t="e">
        <f>#REF!</f>
        <v>#REF!</v>
      </c>
      <c r="C263" t="e">
        <f>#REF!</f>
        <v>#REF!</v>
      </c>
      <c r="D263" t="e">
        <f>#REF!</f>
        <v>#REF!</v>
      </c>
      <c r="E263" s="14" t="e">
        <f>#REF!</f>
        <v>#REF!</v>
      </c>
      <c r="F263" t="e">
        <f>#REF!</f>
        <v>#REF!</v>
      </c>
      <c r="G263" t="e">
        <f>#REF!</f>
        <v>#REF!</v>
      </c>
      <c r="H263" t="e">
        <f>#REF!</f>
        <v>#REF!</v>
      </c>
      <c r="I263" t="e">
        <f>#REF!</f>
        <v>#REF!</v>
      </c>
      <c r="J263" t="e">
        <f>#REF!</f>
        <v>#REF!</v>
      </c>
      <c r="K263" t="e">
        <f>#REF!</f>
        <v>#REF!</v>
      </c>
      <c r="L263" t="e">
        <f>#REF!</f>
        <v>#REF!</v>
      </c>
      <c r="M263" t="e">
        <f>#REF!</f>
        <v>#REF!</v>
      </c>
      <c r="N263" t="e">
        <f>#REF!</f>
        <v>#REF!</v>
      </c>
      <c r="O263" t="e">
        <f>#REF!</f>
        <v>#REF!</v>
      </c>
      <c r="P263" t="e">
        <f>#REF!</f>
        <v>#REF!</v>
      </c>
      <c r="Q263" t="e">
        <f>#REF!</f>
        <v>#REF!</v>
      </c>
      <c r="R263" t="e">
        <f>#REF!</f>
        <v>#REF!</v>
      </c>
      <c r="S263" t="e">
        <f>#REF!</f>
        <v>#REF!</v>
      </c>
      <c r="T263" t="e">
        <f>#REF!</f>
        <v>#REF!</v>
      </c>
      <c r="U263" t="e">
        <f>#REF!</f>
        <v>#REF!</v>
      </c>
      <c r="V263" t="e">
        <f>#REF!</f>
        <v>#REF!</v>
      </c>
      <c r="W263" t="e">
        <f>#REF!</f>
        <v>#REF!</v>
      </c>
      <c r="X263" t="e">
        <f>#REF!</f>
        <v>#REF!</v>
      </c>
      <c r="Y263" t="e">
        <f>#REF!</f>
        <v>#REF!</v>
      </c>
      <c r="Z263" t="e">
        <f>#REF!</f>
        <v>#REF!</v>
      </c>
      <c r="AA263" t="e">
        <f>#REF!</f>
        <v>#REF!</v>
      </c>
      <c r="AB263" t="e">
        <f>#REF!</f>
        <v>#REF!</v>
      </c>
      <c r="AC263" t="e">
        <f>#REF!</f>
        <v>#REF!</v>
      </c>
      <c r="AD263" t="e">
        <f>#REF!</f>
        <v>#REF!</v>
      </c>
      <c r="AE263" t="e">
        <f>#REF!</f>
        <v>#REF!</v>
      </c>
      <c r="AF263" t="e">
        <f>#REF!</f>
        <v>#REF!</v>
      </c>
      <c r="AG263" t="e">
        <f>#REF!</f>
        <v>#REF!</v>
      </c>
      <c r="AH263" t="e">
        <f>#REF!</f>
        <v>#REF!</v>
      </c>
      <c r="AI263" t="e">
        <f>#REF!</f>
        <v>#REF!</v>
      </c>
      <c r="AO263" s="159" t="e">
        <f>IF(#REF!="",0,#REF!)</f>
        <v>#REF!</v>
      </c>
      <c r="AP263" s="160" t="e">
        <f t="shared" si="8"/>
        <v>#REF!</v>
      </c>
    </row>
    <row r="264" spans="2:42" x14ac:dyDescent="0.25">
      <c r="B264" t="e">
        <f>#REF!</f>
        <v>#REF!</v>
      </c>
      <c r="C264" t="e">
        <f>#REF!</f>
        <v>#REF!</v>
      </c>
      <c r="D264" t="e">
        <f>#REF!</f>
        <v>#REF!</v>
      </c>
      <c r="E264" s="14" t="e">
        <f>#REF!</f>
        <v>#REF!</v>
      </c>
      <c r="F264" t="e">
        <f>#REF!</f>
        <v>#REF!</v>
      </c>
      <c r="G264" t="e">
        <f>#REF!</f>
        <v>#REF!</v>
      </c>
      <c r="H264" t="e">
        <f>#REF!</f>
        <v>#REF!</v>
      </c>
      <c r="I264" t="e">
        <f>#REF!</f>
        <v>#REF!</v>
      </c>
      <c r="J264" t="e">
        <f>#REF!</f>
        <v>#REF!</v>
      </c>
      <c r="K264" t="e">
        <f>#REF!</f>
        <v>#REF!</v>
      </c>
      <c r="L264" t="e">
        <f>#REF!</f>
        <v>#REF!</v>
      </c>
      <c r="M264" t="e">
        <f>#REF!</f>
        <v>#REF!</v>
      </c>
      <c r="N264" t="e">
        <f>#REF!</f>
        <v>#REF!</v>
      </c>
      <c r="O264" t="e">
        <f>#REF!</f>
        <v>#REF!</v>
      </c>
      <c r="P264" t="e">
        <f>#REF!</f>
        <v>#REF!</v>
      </c>
      <c r="Q264" t="e">
        <f>#REF!</f>
        <v>#REF!</v>
      </c>
      <c r="R264" t="e">
        <f>#REF!</f>
        <v>#REF!</v>
      </c>
      <c r="S264" t="e">
        <f>#REF!</f>
        <v>#REF!</v>
      </c>
      <c r="T264" t="e">
        <f>#REF!</f>
        <v>#REF!</v>
      </c>
      <c r="U264" t="e">
        <f>#REF!</f>
        <v>#REF!</v>
      </c>
      <c r="V264" t="e">
        <f>#REF!</f>
        <v>#REF!</v>
      </c>
      <c r="W264" t="e">
        <f>#REF!</f>
        <v>#REF!</v>
      </c>
      <c r="X264" t="e">
        <f>#REF!</f>
        <v>#REF!</v>
      </c>
      <c r="Y264" t="e">
        <f>#REF!</f>
        <v>#REF!</v>
      </c>
      <c r="Z264" t="e">
        <f>#REF!</f>
        <v>#REF!</v>
      </c>
      <c r="AA264" t="e">
        <f>#REF!</f>
        <v>#REF!</v>
      </c>
      <c r="AB264" t="e">
        <f>#REF!</f>
        <v>#REF!</v>
      </c>
      <c r="AC264" t="e">
        <f>#REF!</f>
        <v>#REF!</v>
      </c>
      <c r="AD264" t="e">
        <f>#REF!</f>
        <v>#REF!</v>
      </c>
      <c r="AE264" t="e">
        <f>#REF!</f>
        <v>#REF!</v>
      </c>
      <c r="AF264" t="e">
        <f>#REF!</f>
        <v>#REF!</v>
      </c>
      <c r="AG264" t="e">
        <f>#REF!</f>
        <v>#REF!</v>
      </c>
      <c r="AH264" t="e">
        <f>#REF!</f>
        <v>#REF!</v>
      </c>
      <c r="AI264" t="e">
        <f>#REF!</f>
        <v>#REF!</v>
      </c>
      <c r="AO264" s="159" t="e">
        <f>IF(#REF!="",0,#REF!)</f>
        <v>#REF!</v>
      </c>
      <c r="AP264" s="160" t="e">
        <f t="shared" si="8"/>
        <v>#REF!</v>
      </c>
    </row>
    <row r="265" spans="2:42" x14ac:dyDescent="0.25">
      <c r="B265" t="e">
        <f>#REF!</f>
        <v>#REF!</v>
      </c>
      <c r="C265" t="e">
        <f>#REF!</f>
        <v>#REF!</v>
      </c>
      <c r="D265" t="e">
        <f>#REF!</f>
        <v>#REF!</v>
      </c>
      <c r="E265" s="14" t="e">
        <f>#REF!</f>
        <v>#REF!</v>
      </c>
      <c r="F265" t="e">
        <f>#REF!</f>
        <v>#REF!</v>
      </c>
      <c r="G265" t="e">
        <f>#REF!</f>
        <v>#REF!</v>
      </c>
      <c r="H265" t="e">
        <f>#REF!</f>
        <v>#REF!</v>
      </c>
      <c r="I265" t="e">
        <f>#REF!</f>
        <v>#REF!</v>
      </c>
      <c r="J265" t="e">
        <f>#REF!</f>
        <v>#REF!</v>
      </c>
      <c r="K265" t="e">
        <f>#REF!</f>
        <v>#REF!</v>
      </c>
      <c r="L265" t="e">
        <f>#REF!</f>
        <v>#REF!</v>
      </c>
      <c r="M265" t="e">
        <f>#REF!</f>
        <v>#REF!</v>
      </c>
      <c r="N265" t="e">
        <f>#REF!</f>
        <v>#REF!</v>
      </c>
      <c r="O265" t="e">
        <f>#REF!</f>
        <v>#REF!</v>
      </c>
      <c r="P265" t="e">
        <f>#REF!</f>
        <v>#REF!</v>
      </c>
      <c r="Q265" t="e">
        <f>#REF!</f>
        <v>#REF!</v>
      </c>
      <c r="R265" t="e">
        <f>#REF!</f>
        <v>#REF!</v>
      </c>
      <c r="S265" t="e">
        <f>#REF!</f>
        <v>#REF!</v>
      </c>
      <c r="T265" t="e">
        <f>#REF!</f>
        <v>#REF!</v>
      </c>
      <c r="U265" t="e">
        <f>#REF!</f>
        <v>#REF!</v>
      </c>
      <c r="V265" t="e">
        <f>#REF!</f>
        <v>#REF!</v>
      </c>
      <c r="W265" t="e">
        <f>#REF!</f>
        <v>#REF!</v>
      </c>
      <c r="X265" t="e">
        <f>#REF!</f>
        <v>#REF!</v>
      </c>
      <c r="Y265" t="e">
        <f>#REF!</f>
        <v>#REF!</v>
      </c>
      <c r="Z265" t="e">
        <f>#REF!</f>
        <v>#REF!</v>
      </c>
      <c r="AA265" t="e">
        <f>#REF!</f>
        <v>#REF!</v>
      </c>
      <c r="AB265" t="e">
        <f>#REF!</f>
        <v>#REF!</v>
      </c>
      <c r="AC265" t="e">
        <f>#REF!</f>
        <v>#REF!</v>
      </c>
      <c r="AD265" t="e">
        <f>#REF!</f>
        <v>#REF!</v>
      </c>
      <c r="AE265" t="e">
        <f>#REF!</f>
        <v>#REF!</v>
      </c>
      <c r="AF265" t="e">
        <f>#REF!</f>
        <v>#REF!</v>
      </c>
      <c r="AG265" t="e">
        <f>#REF!</f>
        <v>#REF!</v>
      </c>
      <c r="AH265" t="e">
        <f>#REF!</f>
        <v>#REF!</v>
      </c>
      <c r="AI265" t="e">
        <f>#REF!</f>
        <v>#REF!</v>
      </c>
      <c r="AO265" s="159" t="e">
        <f>IF(#REF!="",0,#REF!)</f>
        <v>#REF!</v>
      </c>
      <c r="AP265" s="160" t="e">
        <f t="shared" si="8"/>
        <v>#REF!</v>
      </c>
    </row>
    <row r="266" spans="2:42" x14ac:dyDescent="0.25">
      <c r="B266" t="e">
        <f>#REF!</f>
        <v>#REF!</v>
      </c>
      <c r="C266" t="e">
        <f>#REF!</f>
        <v>#REF!</v>
      </c>
      <c r="D266" t="e">
        <f>#REF!</f>
        <v>#REF!</v>
      </c>
      <c r="E266" s="14" t="e">
        <f>#REF!</f>
        <v>#REF!</v>
      </c>
      <c r="F266" t="e">
        <f>#REF!</f>
        <v>#REF!</v>
      </c>
      <c r="G266" t="e">
        <f>#REF!</f>
        <v>#REF!</v>
      </c>
      <c r="H266" t="e">
        <f>#REF!</f>
        <v>#REF!</v>
      </c>
      <c r="I266" t="e">
        <f>#REF!</f>
        <v>#REF!</v>
      </c>
      <c r="J266" t="e">
        <f>#REF!</f>
        <v>#REF!</v>
      </c>
      <c r="K266" t="e">
        <f>#REF!</f>
        <v>#REF!</v>
      </c>
      <c r="L266" t="e">
        <f>#REF!</f>
        <v>#REF!</v>
      </c>
      <c r="M266" t="e">
        <f>#REF!</f>
        <v>#REF!</v>
      </c>
      <c r="N266" t="e">
        <f>#REF!</f>
        <v>#REF!</v>
      </c>
      <c r="O266" t="e">
        <f>#REF!</f>
        <v>#REF!</v>
      </c>
      <c r="P266" t="e">
        <f>#REF!</f>
        <v>#REF!</v>
      </c>
      <c r="Q266" t="e">
        <f>#REF!</f>
        <v>#REF!</v>
      </c>
      <c r="R266" t="e">
        <f>#REF!</f>
        <v>#REF!</v>
      </c>
      <c r="S266" t="e">
        <f>#REF!</f>
        <v>#REF!</v>
      </c>
      <c r="T266" t="e">
        <f>#REF!</f>
        <v>#REF!</v>
      </c>
      <c r="U266" t="e">
        <f>#REF!</f>
        <v>#REF!</v>
      </c>
      <c r="V266" t="e">
        <f>#REF!</f>
        <v>#REF!</v>
      </c>
      <c r="W266" t="e">
        <f>#REF!</f>
        <v>#REF!</v>
      </c>
      <c r="X266" t="e">
        <f>#REF!</f>
        <v>#REF!</v>
      </c>
      <c r="Y266" t="e">
        <f>#REF!</f>
        <v>#REF!</v>
      </c>
      <c r="Z266" t="e">
        <f>#REF!</f>
        <v>#REF!</v>
      </c>
      <c r="AA266" t="e">
        <f>#REF!</f>
        <v>#REF!</v>
      </c>
      <c r="AB266" t="e">
        <f>#REF!</f>
        <v>#REF!</v>
      </c>
      <c r="AC266" t="e">
        <f>#REF!</f>
        <v>#REF!</v>
      </c>
      <c r="AD266" t="e">
        <f>#REF!</f>
        <v>#REF!</v>
      </c>
      <c r="AE266" t="e">
        <f>#REF!</f>
        <v>#REF!</v>
      </c>
      <c r="AF266" t="e">
        <f>#REF!</f>
        <v>#REF!</v>
      </c>
      <c r="AG266" t="e">
        <f>#REF!</f>
        <v>#REF!</v>
      </c>
      <c r="AH266" t="e">
        <f>#REF!</f>
        <v>#REF!</v>
      </c>
      <c r="AI266" t="e">
        <f>#REF!</f>
        <v>#REF!</v>
      </c>
      <c r="AO266" s="159" t="e">
        <f>IF(#REF!="",0,#REF!)</f>
        <v>#REF!</v>
      </c>
      <c r="AP266" s="160" t="e">
        <f t="shared" si="8"/>
        <v>#REF!</v>
      </c>
    </row>
    <row r="267" spans="2:42" x14ac:dyDescent="0.25">
      <c r="B267" t="e">
        <f>#REF!</f>
        <v>#REF!</v>
      </c>
      <c r="C267" t="e">
        <f>#REF!</f>
        <v>#REF!</v>
      </c>
      <c r="D267" t="e">
        <f>#REF!</f>
        <v>#REF!</v>
      </c>
      <c r="E267" s="14" t="e">
        <f>#REF!</f>
        <v>#REF!</v>
      </c>
      <c r="F267" t="e">
        <f>#REF!</f>
        <v>#REF!</v>
      </c>
      <c r="G267" t="e">
        <f>#REF!</f>
        <v>#REF!</v>
      </c>
      <c r="H267" t="e">
        <f>#REF!</f>
        <v>#REF!</v>
      </c>
      <c r="I267" t="e">
        <f>#REF!</f>
        <v>#REF!</v>
      </c>
      <c r="J267" t="e">
        <f>#REF!</f>
        <v>#REF!</v>
      </c>
      <c r="K267" t="e">
        <f>#REF!</f>
        <v>#REF!</v>
      </c>
      <c r="L267" t="e">
        <f>#REF!</f>
        <v>#REF!</v>
      </c>
      <c r="M267" t="e">
        <f>#REF!</f>
        <v>#REF!</v>
      </c>
      <c r="N267" t="e">
        <f>#REF!</f>
        <v>#REF!</v>
      </c>
      <c r="O267" t="e">
        <f>#REF!</f>
        <v>#REF!</v>
      </c>
      <c r="P267" t="e">
        <f>#REF!</f>
        <v>#REF!</v>
      </c>
      <c r="Q267" t="e">
        <f>#REF!</f>
        <v>#REF!</v>
      </c>
      <c r="R267" t="e">
        <f>#REF!</f>
        <v>#REF!</v>
      </c>
      <c r="S267" t="e">
        <f>#REF!</f>
        <v>#REF!</v>
      </c>
      <c r="T267" t="e">
        <f>#REF!</f>
        <v>#REF!</v>
      </c>
      <c r="U267" t="e">
        <f>#REF!</f>
        <v>#REF!</v>
      </c>
      <c r="V267" t="e">
        <f>#REF!</f>
        <v>#REF!</v>
      </c>
      <c r="W267" t="e">
        <f>#REF!</f>
        <v>#REF!</v>
      </c>
      <c r="X267" t="e">
        <f>#REF!</f>
        <v>#REF!</v>
      </c>
      <c r="Y267" t="e">
        <f>#REF!</f>
        <v>#REF!</v>
      </c>
      <c r="Z267" t="e">
        <f>#REF!</f>
        <v>#REF!</v>
      </c>
      <c r="AA267" t="e">
        <f>#REF!</f>
        <v>#REF!</v>
      </c>
      <c r="AB267" t="e">
        <f>#REF!</f>
        <v>#REF!</v>
      </c>
      <c r="AC267" t="e">
        <f>#REF!</f>
        <v>#REF!</v>
      </c>
      <c r="AD267" t="e">
        <f>#REF!</f>
        <v>#REF!</v>
      </c>
      <c r="AE267" t="e">
        <f>#REF!</f>
        <v>#REF!</v>
      </c>
      <c r="AF267" t="e">
        <f>#REF!</f>
        <v>#REF!</v>
      </c>
      <c r="AG267" t="e">
        <f>#REF!</f>
        <v>#REF!</v>
      </c>
      <c r="AH267" t="e">
        <f>#REF!</f>
        <v>#REF!</v>
      </c>
      <c r="AI267" t="e">
        <f>#REF!</f>
        <v>#REF!</v>
      </c>
      <c r="AO267" s="159" t="e">
        <f>IF(#REF!="",0,#REF!)</f>
        <v>#REF!</v>
      </c>
      <c r="AP267" s="160" t="e">
        <f t="shared" si="8"/>
        <v>#REF!</v>
      </c>
    </row>
    <row r="268" spans="2:42" x14ac:dyDescent="0.25">
      <c r="B268" t="e">
        <f>#REF!</f>
        <v>#REF!</v>
      </c>
      <c r="C268" t="e">
        <f>#REF!</f>
        <v>#REF!</v>
      </c>
      <c r="D268" t="e">
        <f>#REF!</f>
        <v>#REF!</v>
      </c>
      <c r="E268" s="14" t="e">
        <f>#REF!</f>
        <v>#REF!</v>
      </c>
      <c r="F268" t="e">
        <f>#REF!</f>
        <v>#REF!</v>
      </c>
      <c r="G268" t="e">
        <f>#REF!</f>
        <v>#REF!</v>
      </c>
      <c r="H268" t="e">
        <f>#REF!</f>
        <v>#REF!</v>
      </c>
      <c r="I268" t="e">
        <f>#REF!</f>
        <v>#REF!</v>
      </c>
      <c r="J268" t="e">
        <f>#REF!</f>
        <v>#REF!</v>
      </c>
      <c r="K268" t="e">
        <f>#REF!</f>
        <v>#REF!</v>
      </c>
      <c r="L268" t="e">
        <f>#REF!</f>
        <v>#REF!</v>
      </c>
      <c r="M268" t="e">
        <f>#REF!</f>
        <v>#REF!</v>
      </c>
      <c r="N268" t="e">
        <f>#REF!</f>
        <v>#REF!</v>
      </c>
      <c r="O268" t="e">
        <f>#REF!</f>
        <v>#REF!</v>
      </c>
      <c r="P268" t="e">
        <f>#REF!</f>
        <v>#REF!</v>
      </c>
      <c r="Q268" t="e">
        <f>#REF!</f>
        <v>#REF!</v>
      </c>
      <c r="R268" t="e">
        <f>#REF!</f>
        <v>#REF!</v>
      </c>
      <c r="S268" t="e">
        <f>#REF!</f>
        <v>#REF!</v>
      </c>
      <c r="T268" t="e">
        <f>#REF!</f>
        <v>#REF!</v>
      </c>
      <c r="U268" t="e">
        <f>#REF!</f>
        <v>#REF!</v>
      </c>
      <c r="V268" t="e">
        <f>#REF!</f>
        <v>#REF!</v>
      </c>
      <c r="W268" t="e">
        <f>#REF!</f>
        <v>#REF!</v>
      </c>
      <c r="X268" t="e">
        <f>#REF!</f>
        <v>#REF!</v>
      </c>
      <c r="Y268" t="e">
        <f>#REF!</f>
        <v>#REF!</v>
      </c>
      <c r="Z268" t="e">
        <f>#REF!</f>
        <v>#REF!</v>
      </c>
      <c r="AA268" t="e">
        <f>#REF!</f>
        <v>#REF!</v>
      </c>
      <c r="AB268" t="e">
        <f>#REF!</f>
        <v>#REF!</v>
      </c>
      <c r="AC268" t="e">
        <f>#REF!</f>
        <v>#REF!</v>
      </c>
      <c r="AD268" t="e">
        <f>#REF!</f>
        <v>#REF!</v>
      </c>
      <c r="AE268" t="e">
        <f>#REF!</f>
        <v>#REF!</v>
      </c>
      <c r="AF268" t="e">
        <f>#REF!</f>
        <v>#REF!</v>
      </c>
      <c r="AG268" t="e">
        <f>#REF!</f>
        <v>#REF!</v>
      </c>
      <c r="AH268" t="e">
        <f>#REF!</f>
        <v>#REF!</v>
      </c>
      <c r="AI268" t="e">
        <f>#REF!</f>
        <v>#REF!</v>
      </c>
      <c r="AO268" s="159" t="e">
        <f>IF(#REF!="",0,#REF!)</f>
        <v>#REF!</v>
      </c>
      <c r="AP268" s="160" t="e">
        <f t="shared" si="8"/>
        <v>#REF!</v>
      </c>
    </row>
    <row r="269" spans="2:42" x14ac:dyDescent="0.25">
      <c r="B269" t="e">
        <f>#REF!</f>
        <v>#REF!</v>
      </c>
      <c r="C269" t="e">
        <f>#REF!</f>
        <v>#REF!</v>
      </c>
      <c r="D269" t="e">
        <f>#REF!</f>
        <v>#REF!</v>
      </c>
      <c r="E269" s="14" t="e">
        <f>#REF!</f>
        <v>#REF!</v>
      </c>
      <c r="F269" t="e">
        <f>#REF!</f>
        <v>#REF!</v>
      </c>
      <c r="G269" t="e">
        <f>#REF!</f>
        <v>#REF!</v>
      </c>
      <c r="H269" t="e">
        <f>#REF!</f>
        <v>#REF!</v>
      </c>
      <c r="I269" t="e">
        <f>#REF!</f>
        <v>#REF!</v>
      </c>
      <c r="J269" t="e">
        <f>#REF!</f>
        <v>#REF!</v>
      </c>
      <c r="K269" t="e">
        <f>#REF!</f>
        <v>#REF!</v>
      </c>
      <c r="L269" t="e">
        <f>#REF!</f>
        <v>#REF!</v>
      </c>
      <c r="M269" t="e">
        <f>#REF!</f>
        <v>#REF!</v>
      </c>
      <c r="N269" t="e">
        <f>#REF!</f>
        <v>#REF!</v>
      </c>
      <c r="O269" t="e">
        <f>#REF!</f>
        <v>#REF!</v>
      </c>
      <c r="P269" t="e">
        <f>#REF!</f>
        <v>#REF!</v>
      </c>
      <c r="Q269" t="e">
        <f>#REF!</f>
        <v>#REF!</v>
      </c>
      <c r="R269" t="e">
        <f>#REF!</f>
        <v>#REF!</v>
      </c>
      <c r="S269" t="e">
        <f>#REF!</f>
        <v>#REF!</v>
      </c>
      <c r="T269" t="e">
        <f>#REF!</f>
        <v>#REF!</v>
      </c>
      <c r="U269" t="e">
        <f>#REF!</f>
        <v>#REF!</v>
      </c>
      <c r="V269" t="e">
        <f>#REF!</f>
        <v>#REF!</v>
      </c>
      <c r="W269" t="e">
        <f>#REF!</f>
        <v>#REF!</v>
      </c>
      <c r="X269" t="e">
        <f>#REF!</f>
        <v>#REF!</v>
      </c>
      <c r="Y269" t="e">
        <f>#REF!</f>
        <v>#REF!</v>
      </c>
      <c r="Z269" t="e">
        <f>#REF!</f>
        <v>#REF!</v>
      </c>
      <c r="AA269" t="e">
        <f>#REF!</f>
        <v>#REF!</v>
      </c>
      <c r="AB269" t="e">
        <f>#REF!</f>
        <v>#REF!</v>
      </c>
      <c r="AC269" t="e">
        <f>#REF!</f>
        <v>#REF!</v>
      </c>
      <c r="AD269" t="e">
        <f>#REF!</f>
        <v>#REF!</v>
      </c>
      <c r="AE269" t="e">
        <f>#REF!</f>
        <v>#REF!</v>
      </c>
      <c r="AF269" t="e">
        <f>#REF!</f>
        <v>#REF!</v>
      </c>
      <c r="AG269" t="e">
        <f>#REF!</f>
        <v>#REF!</v>
      </c>
      <c r="AH269" t="e">
        <f>#REF!</f>
        <v>#REF!</v>
      </c>
      <c r="AI269" t="e">
        <f>#REF!</f>
        <v>#REF!</v>
      </c>
      <c r="AO269" s="159" t="e">
        <f>IF(#REF!="",0,#REF!)</f>
        <v>#REF!</v>
      </c>
      <c r="AP269" s="160" t="e">
        <f t="shared" si="8"/>
        <v>#REF!</v>
      </c>
    </row>
    <row r="270" spans="2:42" x14ac:dyDescent="0.25">
      <c r="B270" t="e">
        <f>#REF!</f>
        <v>#REF!</v>
      </c>
      <c r="C270" t="e">
        <f>#REF!</f>
        <v>#REF!</v>
      </c>
      <c r="D270" t="e">
        <f>#REF!</f>
        <v>#REF!</v>
      </c>
      <c r="E270" s="14" t="e">
        <f>#REF!</f>
        <v>#REF!</v>
      </c>
      <c r="F270" t="e">
        <f>#REF!</f>
        <v>#REF!</v>
      </c>
      <c r="G270" t="e">
        <f>#REF!</f>
        <v>#REF!</v>
      </c>
      <c r="H270" t="e">
        <f>#REF!</f>
        <v>#REF!</v>
      </c>
      <c r="I270" t="e">
        <f>#REF!</f>
        <v>#REF!</v>
      </c>
      <c r="J270" t="e">
        <f>#REF!</f>
        <v>#REF!</v>
      </c>
      <c r="K270" t="e">
        <f>#REF!</f>
        <v>#REF!</v>
      </c>
      <c r="L270" t="e">
        <f>#REF!</f>
        <v>#REF!</v>
      </c>
      <c r="M270" t="e">
        <f>#REF!</f>
        <v>#REF!</v>
      </c>
      <c r="N270" t="e">
        <f>#REF!</f>
        <v>#REF!</v>
      </c>
      <c r="O270" t="e">
        <f>#REF!</f>
        <v>#REF!</v>
      </c>
      <c r="P270" t="e">
        <f>#REF!</f>
        <v>#REF!</v>
      </c>
      <c r="Q270" t="e">
        <f>#REF!</f>
        <v>#REF!</v>
      </c>
      <c r="R270" t="e">
        <f>#REF!</f>
        <v>#REF!</v>
      </c>
      <c r="S270" t="e">
        <f>#REF!</f>
        <v>#REF!</v>
      </c>
      <c r="T270" t="e">
        <f>#REF!</f>
        <v>#REF!</v>
      </c>
      <c r="U270" t="e">
        <f>#REF!</f>
        <v>#REF!</v>
      </c>
      <c r="V270" t="e">
        <f>#REF!</f>
        <v>#REF!</v>
      </c>
      <c r="W270" t="e">
        <f>#REF!</f>
        <v>#REF!</v>
      </c>
      <c r="X270" t="e">
        <f>#REF!</f>
        <v>#REF!</v>
      </c>
      <c r="Y270" t="e">
        <f>#REF!</f>
        <v>#REF!</v>
      </c>
      <c r="Z270" t="e">
        <f>#REF!</f>
        <v>#REF!</v>
      </c>
      <c r="AA270" t="e">
        <f>#REF!</f>
        <v>#REF!</v>
      </c>
      <c r="AB270" t="e">
        <f>#REF!</f>
        <v>#REF!</v>
      </c>
      <c r="AC270" t="e">
        <f>#REF!</f>
        <v>#REF!</v>
      </c>
      <c r="AD270" t="e">
        <f>#REF!</f>
        <v>#REF!</v>
      </c>
      <c r="AE270" t="e">
        <f>#REF!</f>
        <v>#REF!</v>
      </c>
      <c r="AF270" t="e">
        <f>#REF!</f>
        <v>#REF!</v>
      </c>
      <c r="AG270" t="e">
        <f>#REF!</f>
        <v>#REF!</v>
      </c>
      <c r="AH270" t="e">
        <f>#REF!</f>
        <v>#REF!</v>
      </c>
      <c r="AI270" t="e">
        <f>#REF!</f>
        <v>#REF!</v>
      </c>
      <c r="AO270" s="159" t="e">
        <f>IF(#REF!="",0,#REF!)</f>
        <v>#REF!</v>
      </c>
      <c r="AP270" s="160" t="e">
        <f t="shared" si="8"/>
        <v>#REF!</v>
      </c>
    </row>
    <row r="271" spans="2:42" x14ac:dyDescent="0.25">
      <c r="B271" t="e">
        <f>#REF!</f>
        <v>#REF!</v>
      </c>
      <c r="C271" t="e">
        <f>#REF!</f>
        <v>#REF!</v>
      </c>
      <c r="D271" t="e">
        <f>#REF!</f>
        <v>#REF!</v>
      </c>
      <c r="E271" s="14" t="e">
        <f>#REF!</f>
        <v>#REF!</v>
      </c>
      <c r="F271" t="e">
        <f>#REF!</f>
        <v>#REF!</v>
      </c>
      <c r="G271" t="e">
        <f>#REF!</f>
        <v>#REF!</v>
      </c>
      <c r="H271" t="e">
        <f>#REF!</f>
        <v>#REF!</v>
      </c>
      <c r="I271" t="e">
        <f>#REF!</f>
        <v>#REF!</v>
      </c>
      <c r="J271" t="e">
        <f>#REF!</f>
        <v>#REF!</v>
      </c>
      <c r="K271" t="e">
        <f>#REF!</f>
        <v>#REF!</v>
      </c>
      <c r="L271" t="e">
        <f>#REF!</f>
        <v>#REF!</v>
      </c>
      <c r="M271" t="e">
        <f>#REF!</f>
        <v>#REF!</v>
      </c>
      <c r="N271" t="e">
        <f>#REF!</f>
        <v>#REF!</v>
      </c>
      <c r="O271" t="e">
        <f>#REF!</f>
        <v>#REF!</v>
      </c>
      <c r="P271" t="e">
        <f>#REF!</f>
        <v>#REF!</v>
      </c>
      <c r="Q271" t="e">
        <f>#REF!</f>
        <v>#REF!</v>
      </c>
      <c r="R271" t="e">
        <f>#REF!</f>
        <v>#REF!</v>
      </c>
      <c r="S271" t="e">
        <f>#REF!</f>
        <v>#REF!</v>
      </c>
      <c r="T271" t="e">
        <f>#REF!</f>
        <v>#REF!</v>
      </c>
      <c r="U271" t="e">
        <f>#REF!</f>
        <v>#REF!</v>
      </c>
      <c r="V271" t="e">
        <f>#REF!</f>
        <v>#REF!</v>
      </c>
      <c r="W271" t="e">
        <f>#REF!</f>
        <v>#REF!</v>
      </c>
      <c r="X271" t="e">
        <f>#REF!</f>
        <v>#REF!</v>
      </c>
      <c r="Y271" t="e">
        <f>#REF!</f>
        <v>#REF!</v>
      </c>
      <c r="Z271" t="e">
        <f>#REF!</f>
        <v>#REF!</v>
      </c>
      <c r="AA271" t="e">
        <f>#REF!</f>
        <v>#REF!</v>
      </c>
      <c r="AB271" t="e">
        <f>#REF!</f>
        <v>#REF!</v>
      </c>
      <c r="AC271" t="e">
        <f>#REF!</f>
        <v>#REF!</v>
      </c>
      <c r="AD271" t="e">
        <f>#REF!</f>
        <v>#REF!</v>
      </c>
      <c r="AE271" t="e">
        <f>#REF!</f>
        <v>#REF!</v>
      </c>
      <c r="AF271" t="e">
        <f>#REF!</f>
        <v>#REF!</v>
      </c>
      <c r="AG271" t="e">
        <f>#REF!</f>
        <v>#REF!</v>
      </c>
      <c r="AH271" t="e">
        <f>#REF!</f>
        <v>#REF!</v>
      </c>
      <c r="AI271" t="e">
        <f>#REF!</f>
        <v>#REF!</v>
      </c>
      <c r="AO271" s="159" t="e">
        <f>IF(#REF!="",0,#REF!)</f>
        <v>#REF!</v>
      </c>
      <c r="AP271" s="160" t="e">
        <f t="shared" si="8"/>
        <v>#REF!</v>
      </c>
    </row>
    <row r="272" spans="2:42" x14ac:dyDescent="0.25">
      <c r="B272" t="e">
        <f>#REF!</f>
        <v>#REF!</v>
      </c>
      <c r="C272" t="e">
        <f>#REF!</f>
        <v>#REF!</v>
      </c>
      <c r="D272" t="e">
        <f>#REF!</f>
        <v>#REF!</v>
      </c>
      <c r="E272" s="14" t="e">
        <f>#REF!</f>
        <v>#REF!</v>
      </c>
      <c r="F272" t="e">
        <f>#REF!</f>
        <v>#REF!</v>
      </c>
      <c r="G272" t="e">
        <f>#REF!</f>
        <v>#REF!</v>
      </c>
      <c r="H272" t="e">
        <f>#REF!</f>
        <v>#REF!</v>
      </c>
      <c r="I272" t="e">
        <f>#REF!</f>
        <v>#REF!</v>
      </c>
      <c r="J272" t="e">
        <f>#REF!</f>
        <v>#REF!</v>
      </c>
      <c r="K272" t="e">
        <f>#REF!</f>
        <v>#REF!</v>
      </c>
      <c r="L272" t="e">
        <f>#REF!</f>
        <v>#REF!</v>
      </c>
      <c r="M272" t="e">
        <f>#REF!</f>
        <v>#REF!</v>
      </c>
      <c r="N272" t="e">
        <f>#REF!</f>
        <v>#REF!</v>
      </c>
      <c r="O272" t="e">
        <f>#REF!</f>
        <v>#REF!</v>
      </c>
      <c r="P272" t="e">
        <f>#REF!</f>
        <v>#REF!</v>
      </c>
      <c r="Q272" t="e">
        <f>#REF!</f>
        <v>#REF!</v>
      </c>
      <c r="R272" t="e">
        <f>#REF!</f>
        <v>#REF!</v>
      </c>
      <c r="S272" t="e">
        <f>#REF!</f>
        <v>#REF!</v>
      </c>
      <c r="T272" t="e">
        <f>#REF!</f>
        <v>#REF!</v>
      </c>
      <c r="U272" t="e">
        <f>#REF!</f>
        <v>#REF!</v>
      </c>
      <c r="V272" t="e">
        <f>#REF!</f>
        <v>#REF!</v>
      </c>
      <c r="W272" t="e">
        <f>#REF!</f>
        <v>#REF!</v>
      </c>
      <c r="X272" t="e">
        <f>#REF!</f>
        <v>#REF!</v>
      </c>
      <c r="Y272" t="e">
        <f>#REF!</f>
        <v>#REF!</v>
      </c>
      <c r="Z272" t="e">
        <f>#REF!</f>
        <v>#REF!</v>
      </c>
      <c r="AA272" t="e">
        <f>#REF!</f>
        <v>#REF!</v>
      </c>
      <c r="AB272" t="e">
        <f>#REF!</f>
        <v>#REF!</v>
      </c>
      <c r="AC272" t="e">
        <f>#REF!</f>
        <v>#REF!</v>
      </c>
      <c r="AD272" t="e">
        <f>#REF!</f>
        <v>#REF!</v>
      </c>
      <c r="AE272" t="e">
        <f>#REF!</f>
        <v>#REF!</v>
      </c>
      <c r="AF272" t="e">
        <f>#REF!</f>
        <v>#REF!</v>
      </c>
      <c r="AG272" t="e">
        <f>#REF!</f>
        <v>#REF!</v>
      </c>
      <c r="AH272" t="e">
        <f>#REF!</f>
        <v>#REF!</v>
      </c>
      <c r="AI272" t="e">
        <f>#REF!</f>
        <v>#REF!</v>
      </c>
      <c r="AO272" s="159" t="e">
        <f>IF(#REF!="",0,#REF!)</f>
        <v>#REF!</v>
      </c>
      <c r="AP272" s="160" t="e">
        <f t="shared" si="8"/>
        <v>#REF!</v>
      </c>
    </row>
    <row r="273" spans="2:42" x14ac:dyDescent="0.25">
      <c r="AP273" s="161"/>
    </row>
    <row r="274" spans="2:42" x14ac:dyDescent="0.25">
      <c r="AP274" s="161"/>
    </row>
    <row r="275" spans="2:42" x14ac:dyDescent="0.25">
      <c r="AP275" s="161"/>
    </row>
    <row r="276" spans="2:42" x14ac:dyDescent="0.25">
      <c r="AP276" s="161"/>
    </row>
    <row r="277" spans="2:42" x14ac:dyDescent="0.25">
      <c r="B277" t="e">
        <f>#REF!</f>
        <v>#REF!</v>
      </c>
      <c r="C277" t="e">
        <f>#REF!</f>
        <v>#REF!</v>
      </c>
      <c r="D277" t="e">
        <f>#REF!</f>
        <v>#REF!</v>
      </c>
      <c r="E277" s="14" t="e">
        <f>#REF!</f>
        <v>#REF!</v>
      </c>
      <c r="F277" t="e">
        <f>#REF!</f>
        <v>#REF!</v>
      </c>
      <c r="G277" t="e">
        <f>#REF!</f>
        <v>#REF!</v>
      </c>
      <c r="H277" t="e">
        <f>#REF!</f>
        <v>#REF!</v>
      </c>
      <c r="I277" t="e">
        <f>#REF!</f>
        <v>#REF!</v>
      </c>
      <c r="J277" t="e">
        <f>#REF!</f>
        <v>#REF!</v>
      </c>
      <c r="K277" t="e">
        <f>#REF!</f>
        <v>#REF!</v>
      </c>
      <c r="L277" t="e">
        <f>#REF!</f>
        <v>#REF!</v>
      </c>
      <c r="M277" t="e">
        <f>#REF!</f>
        <v>#REF!</v>
      </c>
      <c r="N277" t="e">
        <f>#REF!</f>
        <v>#REF!</v>
      </c>
      <c r="O277" t="e">
        <f>#REF!</f>
        <v>#REF!</v>
      </c>
      <c r="P277" t="e">
        <f>#REF!</f>
        <v>#REF!</v>
      </c>
      <c r="Q277" t="e">
        <f>#REF!</f>
        <v>#REF!</v>
      </c>
      <c r="R277" t="e">
        <f>#REF!</f>
        <v>#REF!</v>
      </c>
      <c r="S277" t="e">
        <f>#REF!</f>
        <v>#REF!</v>
      </c>
      <c r="T277" t="e">
        <f>#REF!</f>
        <v>#REF!</v>
      </c>
      <c r="U277" t="e">
        <f>#REF!</f>
        <v>#REF!</v>
      </c>
      <c r="V277" t="e">
        <f>#REF!</f>
        <v>#REF!</v>
      </c>
      <c r="W277" t="e">
        <f>#REF!</f>
        <v>#REF!</v>
      </c>
      <c r="X277" t="e">
        <f>#REF!</f>
        <v>#REF!</v>
      </c>
      <c r="Y277" t="e">
        <f>#REF!</f>
        <v>#REF!</v>
      </c>
      <c r="Z277" t="e">
        <f>#REF!</f>
        <v>#REF!</v>
      </c>
      <c r="AA277" t="e">
        <f>#REF!</f>
        <v>#REF!</v>
      </c>
      <c r="AB277" t="e">
        <f>#REF!</f>
        <v>#REF!</v>
      </c>
      <c r="AC277" t="e">
        <f>#REF!</f>
        <v>#REF!</v>
      </c>
      <c r="AD277" t="e">
        <f>#REF!</f>
        <v>#REF!</v>
      </c>
      <c r="AE277" t="e">
        <f>#REF!</f>
        <v>#REF!</v>
      </c>
      <c r="AF277" t="e">
        <f>#REF!</f>
        <v>#REF!</v>
      </c>
      <c r="AG277" t="e">
        <f>#REF!</f>
        <v>#REF!</v>
      </c>
      <c r="AH277" t="e">
        <f>#REF!</f>
        <v>#REF!</v>
      </c>
      <c r="AI277" t="e">
        <f>#REF!</f>
        <v>#REF!</v>
      </c>
      <c r="AO277" s="159" t="e">
        <f>IF(#REF!="",0,#REF!)</f>
        <v>#REF!</v>
      </c>
      <c r="AP277" s="160" t="e">
        <f t="shared" ref="AP277:AP306" si="9">SUM(F277:AI277)-AO277</f>
        <v>#REF!</v>
      </c>
    </row>
    <row r="278" spans="2:42" x14ac:dyDescent="0.25">
      <c r="B278" t="e">
        <f>#REF!</f>
        <v>#REF!</v>
      </c>
      <c r="C278" t="e">
        <f>#REF!</f>
        <v>#REF!</v>
      </c>
      <c r="D278" t="e">
        <f>#REF!</f>
        <v>#REF!</v>
      </c>
      <c r="E278" s="14" t="e">
        <f>#REF!</f>
        <v>#REF!</v>
      </c>
      <c r="F278" t="e">
        <f>#REF!</f>
        <v>#REF!</v>
      </c>
      <c r="G278" t="e">
        <f>#REF!</f>
        <v>#REF!</v>
      </c>
      <c r="H278" t="e">
        <f>#REF!</f>
        <v>#REF!</v>
      </c>
      <c r="I278" t="e">
        <f>#REF!</f>
        <v>#REF!</v>
      </c>
      <c r="J278" t="e">
        <f>#REF!</f>
        <v>#REF!</v>
      </c>
      <c r="K278" t="e">
        <f>#REF!</f>
        <v>#REF!</v>
      </c>
      <c r="L278" t="e">
        <f>#REF!</f>
        <v>#REF!</v>
      </c>
      <c r="M278" t="e">
        <f>#REF!</f>
        <v>#REF!</v>
      </c>
      <c r="N278" t="e">
        <f>#REF!</f>
        <v>#REF!</v>
      </c>
      <c r="O278" t="e">
        <f>#REF!</f>
        <v>#REF!</v>
      </c>
      <c r="P278" t="e">
        <f>#REF!</f>
        <v>#REF!</v>
      </c>
      <c r="Q278" t="e">
        <f>#REF!</f>
        <v>#REF!</v>
      </c>
      <c r="R278" t="e">
        <f>#REF!</f>
        <v>#REF!</v>
      </c>
      <c r="S278" t="e">
        <f>#REF!</f>
        <v>#REF!</v>
      </c>
      <c r="T278" t="e">
        <f>#REF!</f>
        <v>#REF!</v>
      </c>
      <c r="U278" t="e">
        <f>#REF!</f>
        <v>#REF!</v>
      </c>
      <c r="V278" t="e">
        <f>#REF!</f>
        <v>#REF!</v>
      </c>
      <c r="W278" t="e">
        <f>#REF!</f>
        <v>#REF!</v>
      </c>
      <c r="X278" t="e">
        <f>#REF!</f>
        <v>#REF!</v>
      </c>
      <c r="Y278" t="e">
        <f>#REF!</f>
        <v>#REF!</v>
      </c>
      <c r="Z278" t="e">
        <f>#REF!</f>
        <v>#REF!</v>
      </c>
      <c r="AA278" t="e">
        <f>#REF!</f>
        <v>#REF!</v>
      </c>
      <c r="AB278" t="e">
        <f>#REF!</f>
        <v>#REF!</v>
      </c>
      <c r="AC278" t="e">
        <f>#REF!</f>
        <v>#REF!</v>
      </c>
      <c r="AD278" t="e">
        <f>#REF!</f>
        <v>#REF!</v>
      </c>
      <c r="AE278" t="e">
        <f>#REF!</f>
        <v>#REF!</v>
      </c>
      <c r="AF278" t="e">
        <f>#REF!</f>
        <v>#REF!</v>
      </c>
      <c r="AG278" t="e">
        <f>#REF!</f>
        <v>#REF!</v>
      </c>
      <c r="AH278" t="e">
        <f>#REF!</f>
        <v>#REF!</v>
      </c>
      <c r="AI278" t="e">
        <f>#REF!</f>
        <v>#REF!</v>
      </c>
      <c r="AO278" s="159" t="e">
        <f>IF(#REF!="",0,#REF!)</f>
        <v>#REF!</v>
      </c>
      <c r="AP278" s="160" t="e">
        <f t="shared" si="9"/>
        <v>#REF!</v>
      </c>
    </row>
    <row r="279" spans="2:42" x14ac:dyDescent="0.25">
      <c r="B279" t="e">
        <f>#REF!</f>
        <v>#REF!</v>
      </c>
      <c r="C279" t="e">
        <f>#REF!</f>
        <v>#REF!</v>
      </c>
      <c r="D279" t="e">
        <f>#REF!</f>
        <v>#REF!</v>
      </c>
      <c r="E279" s="14" t="e">
        <f>#REF!</f>
        <v>#REF!</v>
      </c>
      <c r="F279" t="e">
        <f>#REF!</f>
        <v>#REF!</v>
      </c>
      <c r="G279" t="e">
        <f>#REF!</f>
        <v>#REF!</v>
      </c>
      <c r="H279" t="e">
        <f>#REF!</f>
        <v>#REF!</v>
      </c>
      <c r="I279" t="e">
        <f>#REF!</f>
        <v>#REF!</v>
      </c>
      <c r="J279" t="e">
        <f>#REF!</f>
        <v>#REF!</v>
      </c>
      <c r="K279" t="e">
        <f>#REF!</f>
        <v>#REF!</v>
      </c>
      <c r="L279" t="e">
        <f>#REF!</f>
        <v>#REF!</v>
      </c>
      <c r="M279" t="e">
        <f>#REF!</f>
        <v>#REF!</v>
      </c>
      <c r="N279" t="e">
        <f>#REF!</f>
        <v>#REF!</v>
      </c>
      <c r="O279" t="e">
        <f>#REF!</f>
        <v>#REF!</v>
      </c>
      <c r="P279" t="e">
        <f>#REF!</f>
        <v>#REF!</v>
      </c>
      <c r="Q279" t="e">
        <f>#REF!</f>
        <v>#REF!</v>
      </c>
      <c r="R279" t="e">
        <f>#REF!</f>
        <v>#REF!</v>
      </c>
      <c r="S279" t="e">
        <f>#REF!</f>
        <v>#REF!</v>
      </c>
      <c r="T279" t="e">
        <f>#REF!</f>
        <v>#REF!</v>
      </c>
      <c r="U279" t="e">
        <f>#REF!</f>
        <v>#REF!</v>
      </c>
      <c r="V279" t="e">
        <f>#REF!</f>
        <v>#REF!</v>
      </c>
      <c r="W279" t="e">
        <f>#REF!</f>
        <v>#REF!</v>
      </c>
      <c r="X279" t="e">
        <f>#REF!</f>
        <v>#REF!</v>
      </c>
      <c r="Y279" t="e">
        <f>#REF!</f>
        <v>#REF!</v>
      </c>
      <c r="Z279" t="e">
        <f>#REF!</f>
        <v>#REF!</v>
      </c>
      <c r="AA279" t="e">
        <f>#REF!</f>
        <v>#REF!</v>
      </c>
      <c r="AB279" t="e">
        <f>#REF!</f>
        <v>#REF!</v>
      </c>
      <c r="AC279" t="e">
        <f>#REF!</f>
        <v>#REF!</v>
      </c>
      <c r="AD279" t="e">
        <f>#REF!</f>
        <v>#REF!</v>
      </c>
      <c r="AE279" t="e">
        <f>#REF!</f>
        <v>#REF!</v>
      </c>
      <c r="AF279" t="e">
        <f>#REF!</f>
        <v>#REF!</v>
      </c>
      <c r="AG279" t="e">
        <f>#REF!</f>
        <v>#REF!</v>
      </c>
      <c r="AH279" t="e">
        <f>#REF!</f>
        <v>#REF!</v>
      </c>
      <c r="AI279" t="e">
        <f>#REF!</f>
        <v>#REF!</v>
      </c>
      <c r="AO279" s="159" t="e">
        <f>IF(#REF!="",0,#REF!)</f>
        <v>#REF!</v>
      </c>
      <c r="AP279" s="160" t="e">
        <f t="shared" si="9"/>
        <v>#REF!</v>
      </c>
    </row>
    <row r="280" spans="2:42" x14ac:dyDescent="0.25">
      <c r="B280" t="e">
        <f>#REF!</f>
        <v>#REF!</v>
      </c>
      <c r="C280" t="e">
        <f>#REF!</f>
        <v>#REF!</v>
      </c>
      <c r="D280" t="e">
        <f>#REF!</f>
        <v>#REF!</v>
      </c>
      <c r="E280" s="14" t="e">
        <f>#REF!</f>
        <v>#REF!</v>
      </c>
      <c r="F280" t="e">
        <f>#REF!</f>
        <v>#REF!</v>
      </c>
      <c r="G280" t="e">
        <f>#REF!</f>
        <v>#REF!</v>
      </c>
      <c r="H280" t="e">
        <f>#REF!</f>
        <v>#REF!</v>
      </c>
      <c r="I280" t="e">
        <f>#REF!</f>
        <v>#REF!</v>
      </c>
      <c r="J280" t="e">
        <f>#REF!</f>
        <v>#REF!</v>
      </c>
      <c r="K280" t="e">
        <f>#REF!</f>
        <v>#REF!</v>
      </c>
      <c r="L280" t="e">
        <f>#REF!</f>
        <v>#REF!</v>
      </c>
      <c r="M280" t="e">
        <f>#REF!</f>
        <v>#REF!</v>
      </c>
      <c r="N280" t="e">
        <f>#REF!</f>
        <v>#REF!</v>
      </c>
      <c r="O280" t="e">
        <f>#REF!</f>
        <v>#REF!</v>
      </c>
      <c r="P280" t="e">
        <f>#REF!</f>
        <v>#REF!</v>
      </c>
      <c r="Q280" t="e">
        <f>#REF!</f>
        <v>#REF!</v>
      </c>
      <c r="R280" t="e">
        <f>#REF!</f>
        <v>#REF!</v>
      </c>
      <c r="S280" t="e">
        <f>#REF!</f>
        <v>#REF!</v>
      </c>
      <c r="T280" t="e">
        <f>#REF!</f>
        <v>#REF!</v>
      </c>
      <c r="U280" t="e">
        <f>#REF!</f>
        <v>#REF!</v>
      </c>
      <c r="V280" t="e">
        <f>#REF!</f>
        <v>#REF!</v>
      </c>
      <c r="W280" t="e">
        <f>#REF!</f>
        <v>#REF!</v>
      </c>
      <c r="X280" t="e">
        <f>#REF!</f>
        <v>#REF!</v>
      </c>
      <c r="Y280" t="e">
        <f>#REF!</f>
        <v>#REF!</v>
      </c>
      <c r="Z280" t="e">
        <f>#REF!</f>
        <v>#REF!</v>
      </c>
      <c r="AA280" t="e">
        <f>#REF!</f>
        <v>#REF!</v>
      </c>
      <c r="AB280" t="e">
        <f>#REF!</f>
        <v>#REF!</v>
      </c>
      <c r="AC280" t="e">
        <f>#REF!</f>
        <v>#REF!</v>
      </c>
      <c r="AD280" t="e">
        <f>#REF!</f>
        <v>#REF!</v>
      </c>
      <c r="AE280" t="e">
        <f>#REF!</f>
        <v>#REF!</v>
      </c>
      <c r="AF280" t="e">
        <f>#REF!</f>
        <v>#REF!</v>
      </c>
      <c r="AG280" t="e">
        <f>#REF!</f>
        <v>#REF!</v>
      </c>
      <c r="AH280" t="e">
        <f>#REF!</f>
        <v>#REF!</v>
      </c>
      <c r="AI280" t="e">
        <f>#REF!</f>
        <v>#REF!</v>
      </c>
      <c r="AO280" s="159" t="e">
        <f>IF(#REF!="",0,#REF!)</f>
        <v>#REF!</v>
      </c>
      <c r="AP280" s="160" t="e">
        <f t="shared" si="9"/>
        <v>#REF!</v>
      </c>
    </row>
    <row r="281" spans="2:42" x14ac:dyDescent="0.25">
      <c r="B281" t="e">
        <f>#REF!</f>
        <v>#REF!</v>
      </c>
      <c r="C281" t="e">
        <f>#REF!</f>
        <v>#REF!</v>
      </c>
      <c r="D281" t="e">
        <f>#REF!</f>
        <v>#REF!</v>
      </c>
      <c r="E281" s="14" t="e">
        <f>#REF!</f>
        <v>#REF!</v>
      </c>
      <c r="F281" t="e">
        <f>#REF!</f>
        <v>#REF!</v>
      </c>
      <c r="G281" t="e">
        <f>#REF!</f>
        <v>#REF!</v>
      </c>
      <c r="H281" t="e">
        <f>#REF!</f>
        <v>#REF!</v>
      </c>
      <c r="I281" t="e">
        <f>#REF!</f>
        <v>#REF!</v>
      </c>
      <c r="J281" t="e">
        <f>#REF!</f>
        <v>#REF!</v>
      </c>
      <c r="K281" t="e">
        <f>#REF!</f>
        <v>#REF!</v>
      </c>
      <c r="L281" t="e">
        <f>#REF!</f>
        <v>#REF!</v>
      </c>
      <c r="M281" t="e">
        <f>#REF!</f>
        <v>#REF!</v>
      </c>
      <c r="N281" t="e">
        <f>#REF!</f>
        <v>#REF!</v>
      </c>
      <c r="O281" t="e">
        <f>#REF!</f>
        <v>#REF!</v>
      </c>
      <c r="P281" t="e">
        <f>#REF!</f>
        <v>#REF!</v>
      </c>
      <c r="Q281" t="e">
        <f>#REF!</f>
        <v>#REF!</v>
      </c>
      <c r="R281" t="e">
        <f>#REF!</f>
        <v>#REF!</v>
      </c>
      <c r="S281" t="e">
        <f>#REF!</f>
        <v>#REF!</v>
      </c>
      <c r="T281" t="e">
        <f>#REF!</f>
        <v>#REF!</v>
      </c>
      <c r="U281" t="e">
        <f>#REF!</f>
        <v>#REF!</v>
      </c>
      <c r="V281" t="e">
        <f>#REF!</f>
        <v>#REF!</v>
      </c>
      <c r="W281" t="e">
        <f>#REF!</f>
        <v>#REF!</v>
      </c>
      <c r="X281" t="e">
        <f>#REF!</f>
        <v>#REF!</v>
      </c>
      <c r="Y281" t="e">
        <f>#REF!</f>
        <v>#REF!</v>
      </c>
      <c r="Z281" t="e">
        <f>#REF!</f>
        <v>#REF!</v>
      </c>
      <c r="AA281" t="e">
        <f>#REF!</f>
        <v>#REF!</v>
      </c>
      <c r="AB281" t="e">
        <f>#REF!</f>
        <v>#REF!</v>
      </c>
      <c r="AC281" t="e">
        <f>#REF!</f>
        <v>#REF!</v>
      </c>
      <c r="AD281" t="e">
        <f>#REF!</f>
        <v>#REF!</v>
      </c>
      <c r="AE281" t="e">
        <f>#REF!</f>
        <v>#REF!</v>
      </c>
      <c r="AF281" t="e">
        <f>#REF!</f>
        <v>#REF!</v>
      </c>
      <c r="AG281" t="e">
        <f>#REF!</f>
        <v>#REF!</v>
      </c>
      <c r="AH281" t="e">
        <f>#REF!</f>
        <v>#REF!</v>
      </c>
      <c r="AI281" t="e">
        <f>#REF!</f>
        <v>#REF!</v>
      </c>
      <c r="AO281" s="159" t="e">
        <f>IF(#REF!="",0,#REF!)</f>
        <v>#REF!</v>
      </c>
      <c r="AP281" s="160" t="e">
        <f t="shared" si="9"/>
        <v>#REF!</v>
      </c>
    </row>
    <row r="282" spans="2:42" x14ac:dyDescent="0.25">
      <c r="B282" t="e">
        <f>#REF!</f>
        <v>#REF!</v>
      </c>
      <c r="C282" t="e">
        <f>#REF!</f>
        <v>#REF!</v>
      </c>
      <c r="D282" t="e">
        <f>#REF!</f>
        <v>#REF!</v>
      </c>
      <c r="E282" s="14" t="e">
        <f>#REF!</f>
        <v>#REF!</v>
      </c>
      <c r="F282" t="e">
        <f>#REF!</f>
        <v>#REF!</v>
      </c>
      <c r="G282" t="e">
        <f>#REF!</f>
        <v>#REF!</v>
      </c>
      <c r="H282" t="e">
        <f>#REF!</f>
        <v>#REF!</v>
      </c>
      <c r="I282" t="e">
        <f>#REF!</f>
        <v>#REF!</v>
      </c>
      <c r="J282" t="e">
        <f>#REF!</f>
        <v>#REF!</v>
      </c>
      <c r="K282" t="e">
        <f>#REF!</f>
        <v>#REF!</v>
      </c>
      <c r="L282" t="e">
        <f>#REF!</f>
        <v>#REF!</v>
      </c>
      <c r="M282" t="e">
        <f>#REF!</f>
        <v>#REF!</v>
      </c>
      <c r="N282" t="e">
        <f>#REF!</f>
        <v>#REF!</v>
      </c>
      <c r="O282" t="e">
        <f>#REF!</f>
        <v>#REF!</v>
      </c>
      <c r="P282" t="e">
        <f>#REF!</f>
        <v>#REF!</v>
      </c>
      <c r="Q282" t="e">
        <f>#REF!</f>
        <v>#REF!</v>
      </c>
      <c r="R282" t="e">
        <f>#REF!</f>
        <v>#REF!</v>
      </c>
      <c r="S282" t="e">
        <f>#REF!</f>
        <v>#REF!</v>
      </c>
      <c r="T282" t="e">
        <f>#REF!</f>
        <v>#REF!</v>
      </c>
      <c r="U282" t="e">
        <f>#REF!</f>
        <v>#REF!</v>
      </c>
      <c r="V282" t="e">
        <f>#REF!</f>
        <v>#REF!</v>
      </c>
      <c r="W282" t="e">
        <f>#REF!</f>
        <v>#REF!</v>
      </c>
      <c r="X282" t="e">
        <f>#REF!</f>
        <v>#REF!</v>
      </c>
      <c r="Y282" t="e">
        <f>#REF!</f>
        <v>#REF!</v>
      </c>
      <c r="Z282" t="e">
        <f>#REF!</f>
        <v>#REF!</v>
      </c>
      <c r="AA282" t="e">
        <f>#REF!</f>
        <v>#REF!</v>
      </c>
      <c r="AB282" t="e">
        <f>#REF!</f>
        <v>#REF!</v>
      </c>
      <c r="AC282" t="e">
        <f>#REF!</f>
        <v>#REF!</v>
      </c>
      <c r="AD282" t="e">
        <f>#REF!</f>
        <v>#REF!</v>
      </c>
      <c r="AE282" t="e">
        <f>#REF!</f>
        <v>#REF!</v>
      </c>
      <c r="AF282" t="e">
        <f>#REF!</f>
        <v>#REF!</v>
      </c>
      <c r="AG282" t="e">
        <f>#REF!</f>
        <v>#REF!</v>
      </c>
      <c r="AH282" t="e">
        <f>#REF!</f>
        <v>#REF!</v>
      </c>
      <c r="AI282" t="e">
        <f>#REF!</f>
        <v>#REF!</v>
      </c>
      <c r="AO282" s="159" t="e">
        <f>IF(#REF!="",0,#REF!)</f>
        <v>#REF!</v>
      </c>
      <c r="AP282" s="160" t="e">
        <f t="shared" si="9"/>
        <v>#REF!</v>
      </c>
    </row>
    <row r="283" spans="2:42" x14ac:dyDescent="0.25">
      <c r="B283" t="e">
        <f>#REF!</f>
        <v>#REF!</v>
      </c>
      <c r="C283" t="e">
        <f>#REF!</f>
        <v>#REF!</v>
      </c>
      <c r="D283" t="e">
        <f>#REF!</f>
        <v>#REF!</v>
      </c>
      <c r="E283" s="14" t="e">
        <f>#REF!</f>
        <v>#REF!</v>
      </c>
      <c r="F283" t="e">
        <f>#REF!</f>
        <v>#REF!</v>
      </c>
      <c r="G283" t="e">
        <f>#REF!</f>
        <v>#REF!</v>
      </c>
      <c r="H283" t="e">
        <f>#REF!</f>
        <v>#REF!</v>
      </c>
      <c r="I283" t="e">
        <f>#REF!</f>
        <v>#REF!</v>
      </c>
      <c r="J283" t="e">
        <f>#REF!</f>
        <v>#REF!</v>
      </c>
      <c r="K283" t="e">
        <f>#REF!</f>
        <v>#REF!</v>
      </c>
      <c r="L283" t="e">
        <f>#REF!</f>
        <v>#REF!</v>
      </c>
      <c r="M283" t="e">
        <f>#REF!</f>
        <v>#REF!</v>
      </c>
      <c r="N283" t="e">
        <f>#REF!</f>
        <v>#REF!</v>
      </c>
      <c r="O283" t="e">
        <f>#REF!</f>
        <v>#REF!</v>
      </c>
      <c r="P283" t="e">
        <f>#REF!</f>
        <v>#REF!</v>
      </c>
      <c r="Q283" t="e">
        <f>#REF!</f>
        <v>#REF!</v>
      </c>
      <c r="R283" t="e">
        <f>#REF!</f>
        <v>#REF!</v>
      </c>
      <c r="S283" t="e">
        <f>#REF!</f>
        <v>#REF!</v>
      </c>
      <c r="T283" t="e">
        <f>#REF!</f>
        <v>#REF!</v>
      </c>
      <c r="U283" t="e">
        <f>#REF!</f>
        <v>#REF!</v>
      </c>
      <c r="V283" t="e">
        <f>#REF!</f>
        <v>#REF!</v>
      </c>
      <c r="W283" t="e">
        <f>#REF!</f>
        <v>#REF!</v>
      </c>
      <c r="X283" t="e">
        <f>#REF!</f>
        <v>#REF!</v>
      </c>
      <c r="Y283" t="e">
        <f>#REF!</f>
        <v>#REF!</v>
      </c>
      <c r="Z283" t="e">
        <f>#REF!</f>
        <v>#REF!</v>
      </c>
      <c r="AA283" t="e">
        <f>#REF!</f>
        <v>#REF!</v>
      </c>
      <c r="AB283" t="e">
        <f>#REF!</f>
        <v>#REF!</v>
      </c>
      <c r="AC283" t="e">
        <f>#REF!</f>
        <v>#REF!</v>
      </c>
      <c r="AD283" t="e">
        <f>#REF!</f>
        <v>#REF!</v>
      </c>
      <c r="AE283" t="e">
        <f>#REF!</f>
        <v>#REF!</v>
      </c>
      <c r="AF283" t="e">
        <f>#REF!</f>
        <v>#REF!</v>
      </c>
      <c r="AG283" t="e">
        <f>#REF!</f>
        <v>#REF!</v>
      </c>
      <c r="AH283" t="e">
        <f>#REF!</f>
        <v>#REF!</v>
      </c>
      <c r="AI283" t="e">
        <f>#REF!</f>
        <v>#REF!</v>
      </c>
      <c r="AO283" s="159" t="e">
        <f>IF(#REF!="",0,#REF!)</f>
        <v>#REF!</v>
      </c>
      <c r="AP283" s="160" t="e">
        <f t="shared" si="9"/>
        <v>#REF!</v>
      </c>
    </row>
    <row r="284" spans="2:42" x14ac:dyDescent="0.25">
      <c r="B284" t="e">
        <f>#REF!</f>
        <v>#REF!</v>
      </c>
      <c r="C284" t="e">
        <f>#REF!</f>
        <v>#REF!</v>
      </c>
      <c r="D284" t="e">
        <f>#REF!</f>
        <v>#REF!</v>
      </c>
      <c r="E284" s="14" t="e">
        <f>#REF!</f>
        <v>#REF!</v>
      </c>
      <c r="F284" t="e">
        <f>#REF!</f>
        <v>#REF!</v>
      </c>
      <c r="G284" t="e">
        <f>#REF!</f>
        <v>#REF!</v>
      </c>
      <c r="H284" t="e">
        <f>#REF!</f>
        <v>#REF!</v>
      </c>
      <c r="I284" t="e">
        <f>#REF!</f>
        <v>#REF!</v>
      </c>
      <c r="J284" t="e">
        <f>#REF!</f>
        <v>#REF!</v>
      </c>
      <c r="K284" t="e">
        <f>#REF!</f>
        <v>#REF!</v>
      </c>
      <c r="L284" t="e">
        <f>#REF!</f>
        <v>#REF!</v>
      </c>
      <c r="M284" t="e">
        <f>#REF!</f>
        <v>#REF!</v>
      </c>
      <c r="N284" t="e">
        <f>#REF!</f>
        <v>#REF!</v>
      </c>
      <c r="O284" t="e">
        <f>#REF!</f>
        <v>#REF!</v>
      </c>
      <c r="P284" t="e">
        <f>#REF!</f>
        <v>#REF!</v>
      </c>
      <c r="Q284" t="e">
        <f>#REF!</f>
        <v>#REF!</v>
      </c>
      <c r="R284" t="e">
        <f>#REF!</f>
        <v>#REF!</v>
      </c>
      <c r="S284" t="e">
        <f>#REF!</f>
        <v>#REF!</v>
      </c>
      <c r="T284" t="e">
        <f>#REF!</f>
        <v>#REF!</v>
      </c>
      <c r="U284" t="e">
        <f>#REF!</f>
        <v>#REF!</v>
      </c>
      <c r="V284" t="e">
        <f>#REF!</f>
        <v>#REF!</v>
      </c>
      <c r="W284" t="e">
        <f>#REF!</f>
        <v>#REF!</v>
      </c>
      <c r="X284" t="e">
        <f>#REF!</f>
        <v>#REF!</v>
      </c>
      <c r="Y284" t="e">
        <f>#REF!</f>
        <v>#REF!</v>
      </c>
      <c r="Z284" t="e">
        <f>#REF!</f>
        <v>#REF!</v>
      </c>
      <c r="AA284" t="e">
        <f>#REF!</f>
        <v>#REF!</v>
      </c>
      <c r="AB284" t="e">
        <f>#REF!</f>
        <v>#REF!</v>
      </c>
      <c r="AC284" t="e">
        <f>#REF!</f>
        <v>#REF!</v>
      </c>
      <c r="AD284" t="e">
        <f>#REF!</f>
        <v>#REF!</v>
      </c>
      <c r="AE284" t="e">
        <f>#REF!</f>
        <v>#REF!</v>
      </c>
      <c r="AF284" t="e">
        <f>#REF!</f>
        <v>#REF!</v>
      </c>
      <c r="AG284" t="e">
        <f>#REF!</f>
        <v>#REF!</v>
      </c>
      <c r="AH284" t="e">
        <f>#REF!</f>
        <v>#REF!</v>
      </c>
      <c r="AI284" t="e">
        <f>#REF!</f>
        <v>#REF!</v>
      </c>
      <c r="AO284" s="159" t="e">
        <f>IF(#REF!="",0,#REF!)</f>
        <v>#REF!</v>
      </c>
      <c r="AP284" s="160" t="e">
        <f t="shared" si="9"/>
        <v>#REF!</v>
      </c>
    </row>
    <row r="285" spans="2:42" x14ac:dyDescent="0.25">
      <c r="B285" t="e">
        <f>#REF!</f>
        <v>#REF!</v>
      </c>
      <c r="C285" t="e">
        <f>#REF!</f>
        <v>#REF!</v>
      </c>
      <c r="D285" t="e">
        <f>#REF!</f>
        <v>#REF!</v>
      </c>
      <c r="E285" s="14" t="e">
        <f>#REF!</f>
        <v>#REF!</v>
      </c>
      <c r="F285" t="e">
        <f>#REF!</f>
        <v>#REF!</v>
      </c>
      <c r="G285" t="e">
        <f>#REF!</f>
        <v>#REF!</v>
      </c>
      <c r="H285" t="e">
        <f>#REF!</f>
        <v>#REF!</v>
      </c>
      <c r="I285" t="e">
        <f>#REF!</f>
        <v>#REF!</v>
      </c>
      <c r="J285" t="e">
        <f>#REF!</f>
        <v>#REF!</v>
      </c>
      <c r="K285" t="e">
        <f>#REF!</f>
        <v>#REF!</v>
      </c>
      <c r="L285" t="e">
        <f>#REF!</f>
        <v>#REF!</v>
      </c>
      <c r="M285" t="e">
        <f>#REF!</f>
        <v>#REF!</v>
      </c>
      <c r="N285" t="e">
        <f>#REF!</f>
        <v>#REF!</v>
      </c>
      <c r="O285" t="e">
        <f>#REF!</f>
        <v>#REF!</v>
      </c>
      <c r="P285" t="e">
        <f>#REF!</f>
        <v>#REF!</v>
      </c>
      <c r="Q285" t="e">
        <f>#REF!</f>
        <v>#REF!</v>
      </c>
      <c r="R285" t="e">
        <f>#REF!</f>
        <v>#REF!</v>
      </c>
      <c r="S285" t="e">
        <f>#REF!</f>
        <v>#REF!</v>
      </c>
      <c r="T285" t="e">
        <f>#REF!</f>
        <v>#REF!</v>
      </c>
      <c r="U285" t="e">
        <f>#REF!</f>
        <v>#REF!</v>
      </c>
      <c r="V285" t="e">
        <f>#REF!</f>
        <v>#REF!</v>
      </c>
      <c r="W285" t="e">
        <f>#REF!</f>
        <v>#REF!</v>
      </c>
      <c r="X285" t="e">
        <f>#REF!</f>
        <v>#REF!</v>
      </c>
      <c r="Y285" t="e">
        <f>#REF!</f>
        <v>#REF!</v>
      </c>
      <c r="Z285" t="e">
        <f>#REF!</f>
        <v>#REF!</v>
      </c>
      <c r="AA285" t="e">
        <f>#REF!</f>
        <v>#REF!</v>
      </c>
      <c r="AB285" t="e">
        <f>#REF!</f>
        <v>#REF!</v>
      </c>
      <c r="AC285" t="e">
        <f>#REF!</f>
        <v>#REF!</v>
      </c>
      <c r="AD285" t="e">
        <f>#REF!</f>
        <v>#REF!</v>
      </c>
      <c r="AE285" t="e">
        <f>#REF!</f>
        <v>#REF!</v>
      </c>
      <c r="AF285" t="e">
        <f>#REF!</f>
        <v>#REF!</v>
      </c>
      <c r="AG285" t="e">
        <f>#REF!</f>
        <v>#REF!</v>
      </c>
      <c r="AH285" t="e">
        <f>#REF!</f>
        <v>#REF!</v>
      </c>
      <c r="AI285" t="e">
        <f>#REF!</f>
        <v>#REF!</v>
      </c>
      <c r="AO285" s="159" t="e">
        <f>IF(#REF!="",0,#REF!)</f>
        <v>#REF!</v>
      </c>
      <c r="AP285" s="160" t="e">
        <f t="shared" si="9"/>
        <v>#REF!</v>
      </c>
    </row>
    <row r="286" spans="2:42" x14ac:dyDescent="0.25">
      <c r="B286" t="e">
        <f>#REF!</f>
        <v>#REF!</v>
      </c>
      <c r="C286" t="e">
        <f>#REF!</f>
        <v>#REF!</v>
      </c>
      <c r="D286" t="e">
        <f>#REF!</f>
        <v>#REF!</v>
      </c>
      <c r="E286" s="14" t="e">
        <f>#REF!</f>
        <v>#REF!</v>
      </c>
      <c r="F286" t="e">
        <f>#REF!</f>
        <v>#REF!</v>
      </c>
      <c r="G286" t="e">
        <f>#REF!</f>
        <v>#REF!</v>
      </c>
      <c r="H286" t="e">
        <f>#REF!</f>
        <v>#REF!</v>
      </c>
      <c r="I286" t="e">
        <f>#REF!</f>
        <v>#REF!</v>
      </c>
      <c r="J286" t="e">
        <f>#REF!</f>
        <v>#REF!</v>
      </c>
      <c r="K286" t="e">
        <f>#REF!</f>
        <v>#REF!</v>
      </c>
      <c r="L286" t="e">
        <f>#REF!</f>
        <v>#REF!</v>
      </c>
      <c r="M286" t="e">
        <f>#REF!</f>
        <v>#REF!</v>
      </c>
      <c r="N286" t="e">
        <f>#REF!</f>
        <v>#REF!</v>
      </c>
      <c r="O286" t="e">
        <f>#REF!</f>
        <v>#REF!</v>
      </c>
      <c r="P286" t="e">
        <f>#REF!</f>
        <v>#REF!</v>
      </c>
      <c r="Q286" t="e">
        <f>#REF!</f>
        <v>#REF!</v>
      </c>
      <c r="R286" t="e">
        <f>#REF!</f>
        <v>#REF!</v>
      </c>
      <c r="S286" t="e">
        <f>#REF!</f>
        <v>#REF!</v>
      </c>
      <c r="T286" t="e">
        <f>#REF!</f>
        <v>#REF!</v>
      </c>
      <c r="U286" t="e">
        <f>#REF!</f>
        <v>#REF!</v>
      </c>
      <c r="V286" t="e">
        <f>#REF!</f>
        <v>#REF!</v>
      </c>
      <c r="W286" t="e">
        <f>#REF!</f>
        <v>#REF!</v>
      </c>
      <c r="X286" t="e">
        <f>#REF!</f>
        <v>#REF!</v>
      </c>
      <c r="Y286" t="e">
        <f>#REF!</f>
        <v>#REF!</v>
      </c>
      <c r="Z286" t="e">
        <f>#REF!</f>
        <v>#REF!</v>
      </c>
      <c r="AA286" t="e">
        <f>#REF!</f>
        <v>#REF!</v>
      </c>
      <c r="AB286" t="e">
        <f>#REF!</f>
        <v>#REF!</v>
      </c>
      <c r="AC286" t="e">
        <f>#REF!</f>
        <v>#REF!</v>
      </c>
      <c r="AD286" t="e">
        <f>#REF!</f>
        <v>#REF!</v>
      </c>
      <c r="AE286" t="e">
        <f>#REF!</f>
        <v>#REF!</v>
      </c>
      <c r="AF286" t="e">
        <f>#REF!</f>
        <v>#REF!</v>
      </c>
      <c r="AG286" t="e">
        <f>#REF!</f>
        <v>#REF!</v>
      </c>
      <c r="AH286" t="e">
        <f>#REF!</f>
        <v>#REF!</v>
      </c>
      <c r="AI286" t="e">
        <f>#REF!</f>
        <v>#REF!</v>
      </c>
      <c r="AO286" s="159" t="e">
        <f>IF(#REF!="",0,#REF!)</f>
        <v>#REF!</v>
      </c>
      <c r="AP286" s="160" t="e">
        <f t="shared" si="9"/>
        <v>#REF!</v>
      </c>
    </row>
    <row r="287" spans="2:42" x14ac:dyDescent="0.25">
      <c r="B287" t="e">
        <f>#REF!</f>
        <v>#REF!</v>
      </c>
      <c r="C287" t="e">
        <f>#REF!</f>
        <v>#REF!</v>
      </c>
      <c r="D287" t="e">
        <f>#REF!</f>
        <v>#REF!</v>
      </c>
      <c r="E287" s="14" t="e">
        <f>#REF!</f>
        <v>#REF!</v>
      </c>
      <c r="F287" t="e">
        <f>#REF!</f>
        <v>#REF!</v>
      </c>
      <c r="G287" t="e">
        <f>#REF!</f>
        <v>#REF!</v>
      </c>
      <c r="H287" t="e">
        <f>#REF!</f>
        <v>#REF!</v>
      </c>
      <c r="I287" t="e">
        <f>#REF!</f>
        <v>#REF!</v>
      </c>
      <c r="J287" t="e">
        <f>#REF!</f>
        <v>#REF!</v>
      </c>
      <c r="K287" t="e">
        <f>#REF!</f>
        <v>#REF!</v>
      </c>
      <c r="L287" t="e">
        <f>#REF!</f>
        <v>#REF!</v>
      </c>
      <c r="M287" t="e">
        <f>#REF!</f>
        <v>#REF!</v>
      </c>
      <c r="N287" t="e">
        <f>#REF!</f>
        <v>#REF!</v>
      </c>
      <c r="O287" t="e">
        <f>#REF!</f>
        <v>#REF!</v>
      </c>
      <c r="P287" t="e">
        <f>#REF!</f>
        <v>#REF!</v>
      </c>
      <c r="Q287" t="e">
        <f>#REF!</f>
        <v>#REF!</v>
      </c>
      <c r="R287" t="e">
        <f>#REF!</f>
        <v>#REF!</v>
      </c>
      <c r="S287" t="e">
        <f>#REF!</f>
        <v>#REF!</v>
      </c>
      <c r="T287" t="e">
        <f>#REF!</f>
        <v>#REF!</v>
      </c>
      <c r="U287" t="e">
        <f>#REF!</f>
        <v>#REF!</v>
      </c>
      <c r="V287" t="e">
        <f>#REF!</f>
        <v>#REF!</v>
      </c>
      <c r="W287" t="e">
        <f>#REF!</f>
        <v>#REF!</v>
      </c>
      <c r="X287" t="e">
        <f>#REF!</f>
        <v>#REF!</v>
      </c>
      <c r="Y287" t="e">
        <f>#REF!</f>
        <v>#REF!</v>
      </c>
      <c r="Z287" t="e">
        <f>#REF!</f>
        <v>#REF!</v>
      </c>
      <c r="AA287" t="e">
        <f>#REF!</f>
        <v>#REF!</v>
      </c>
      <c r="AB287" t="e">
        <f>#REF!</f>
        <v>#REF!</v>
      </c>
      <c r="AC287" t="e">
        <f>#REF!</f>
        <v>#REF!</v>
      </c>
      <c r="AD287" t="e">
        <f>#REF!</f>
        <v>#REF!</v>
      </c>
      <c r="AE287" t="e">
        <f>#REF!</f>
        <v>#REF!</v>
      </c>
      <c r="AF287" t="e">
        <f>#REF!</f>
        <v>#REF!</v>
      </c>
      <c r="AG287" t="e">
        <f>#REF!</f>
        <v>#REF!</v>
      </c>
      <c r="AH287" t="e">
        <f>#REF!</f>
        <v>#REF!</v>
      </c>
      <c r="AI287" t="e">
        <f>#REF!</f>
        <v>#REF!</v>
      </c>
      <c r="AO287" s="159" t="e">
        <f>IF(#REF!="",0,#REF!)</f>
        <v>#REF!</v>
      </c>
      <c r="AP287" s="160" t="e">
        <f t="shared" si="9"/>
        <v>#REF!</v>
      </c>
    </row>
    <row r="288" spans="2:42" x14ac:dyDescent="0.25">
      <c r="B288" t="e">
        <f>#REF!</f>
        <v>#REF!</v>
      </c>
      <c r="C288" t="e">
        <f>#REF!</f>
        <v>#REF!</v>
      </c>
      <c r="D288" t="e">
        <f>#REF!</f>
        <v>#REF!</v>
      </c>
      <c r="E288" s="14" t="e">
        <f>#REF!</f>
        <v>#REF!</v>
      </c>
      <c r="F288" t="e">
        <f>#REF!</f>
        <v>#REF!</v>
      </c>
      <c r="G288" t="e">
        <f>#REF!</f>
        <v>#REF!</v>
      </c>
      <c r="H288" t="e">
        <f>#REF!</f>
        <v>#REF!</v>
      </c>
      <c r="I288" t="e">
        <f>#REF!</f>
        <v>#REF!</v>
      </c>
      <c r="J288" t="e">
        <f>#REF!</f>
        <v>#REF!</v>
      </c>
      <c r="K288" t="e">
        <f>#REF!</f>
        <v>#REF!</v>
      </c>
      <c r="L288" t="e">
        <f>#REF!</f>
        <v>#REF!</v>
      </c>
      <c r="M288" t="e">
        <f>#REF!</f>
        <v>#REF!</v>
      </c>
      <c r="N288" t="e">
        <f>#REF!</f>
        <v>#REF!</v>
      </c>
      <c r="O288" t="e">
        <f>#REF!</f>
        <v>#REF!</v>
      </c>
      <c r="P288" t="e">
        <f>#REF!</f>
        <v>#REF!</v>
      </c>
      <c r="Q288" t="e">
        <f>#REF!</f>
        <v>#REF!</v>
      </c>
      <c r="R288" t="e">
        <f>#REF!</f>
        <v>#REF!</v>
      </c>
      <c r="S288" t="e">
        <f>#REF!</f>
        <v>#REF!</v>
      </c>
      <c r="T288" t="e">
        <f>#REF!</f>
        <v>#REF!</v>
      </c>
      <c r="U288" t="e">
        <f>#REF!</f>
        <v>#REF!</v>
      </c>
      <c r="V288" t="e">
        <f>#REF!</f>
        <v>#REF!</v>
      </c>
      <c r="W288" t="e">
        <f>#REF!</f>
        <v>#REF!</v>
      </c>
      <c r="X288" t="e">
        <f>#REF!</f>
        <v>#REF!</v>
      </c>
      <c r="Y288" t="e">
        <f>#REF!</f>
        <v>#REF!</v>
      </c>
      <c r="Z288" t="e">
        <f>#REF!</f>
        <v>#REF!</v>
      </c>
      <c r="AA288" t="e">
        <f>#REF!</f>
        <v>#REF!</v>
      </c>
      <c r="AB288" t="e">
        <f>#REF!</f>
        <v>#REF!</v>
      </c>
      <c r="AC288" t="e">
        <f>#REF!</f>
        <v>#REF!</v>
      </c>
      <c r="AD288" t="e">
        <f>#REF!</f>
        <v>#REF!</v>
      </c>
      <c r="AE288" t="e">
        <f>#REF!</f>
        <v>#REF!</v>
      </c>
      <c r="AF288" t="e">
        <f>#REF!</f>
        <v>#REF!</v>
      </c>
      <c r="AG288" t="e">
        <f>#REF!</f>
        <v>#REF!</v>
      </c>
      <c r="AH288" t="e">
        <f>#REF!</f>
        <v>#REF!</v>
      </c>
      <c r="AI288" t="e">
        <f>#REF!</f>
        <v>#REF!</v>
      </c>
      <c r="AO288" s="159" t="e">
        <f>IF(#REF!="",0,#REF!)</f>
        <v>#REF!</v>
      </c>
      <c r="AP288" s="160" t="e">
        <f t="shared" si="9"/>
        <v>#REF!</v>
      </c>
    </row>
    <row r="289" spans="2:42" x14ac:dyDescent="0.25">
      <c r="B289" t="e">
        <f>#REF!</f>
        <v>#REF!</v>
      </c>
      <c r="C289" t="e">
        <f>#REF!</f>
        <v>#REF!</v>
      </c>
      <c r="D289" t="e">
        <f>#REF!</f>
        <v>#REF!</v>
      </c>
      <c r="E289" s="14" t="e">
        <f>#REF!</f>
        <v>#REF!</v>
      </c>
      <c r="F289" t="e">
        <f>#REF!</f>
        <v>#REF!</v>
      </c>
      <c r="G289" t="e">
        <f>#REF!</f>
        <v>#REF!</v>
      </c>
      <c r="H289" t="e">
        <f>#REF!</f>
        <v>#REF!</v>
      </c>
      <c r="I289" t="e">
        <f>#REF!</f>
        <v>#REF!</v>
      </c>
      <c r="J289" t="e">
        <f>#REF!</f>
        <v>#REF!</v>
      </c>
      <c r="K289" t="e">
        <f>#REF!</f>
        <v>#REF!</v>
      </c>
      <c r="L289" t="e">
        <f>#REF!</f>
        <v>#REF!</v>
      </c>
      <c r="M289" t="e">
        <f>#REF!</f>
        <v>#REF!</v>
      </c>
      <c r="N289" t="e">
        <f>#REF!</f>
        <v>#REF!</v>
      </c>
      <c r="O289" t="e">
        <f>#REF!</f>
        <v>#REF!</v>
      </c>
      <c r="P289" t="e">
        <f>#REF!</f>
        <v>#REF!</v>
      </c>
      <c r="Q289" t="e">
        <f>#REF!</f>
        <v>#REF!</v>
      </c>
      <c r="R289" t="e">
        <f>#REF!</f>
        <v>#REF!</v>
      </c>
      <c r="S289" t="e">
        <f>#REF!</f>
        <v>#REF!</v>
      </c>
      <c r="T289" t="e">
        <f>#REF!</f>
        <v>#REF!</v>
      </c>
      <c r="U289" t="e">
        <f>#REF!</f>
        <v>#REF!</v>
      </c>
      <c r="V289" t="e">
        <f>#REF!</f>
        <v>#REF!</v>
      </c>
      <c r="W289" t="e">
        <f>#REF!</f>
        <v>#REF!</v>
      </c>
      <c r="X289" t="e">
        <f>#REF!</f>
        <v>#REF!</v>
      </c>
      <c r="Y289" t="e">
        <f>#REF!</f>
        <v>#REF!</v>
      </c>
      <c r="Z289" t="e">
        <f>#REF!</f>
        <v>#REF!</v>
      </c>
      <c r="AA289" t="e">
        <f>#REF!</f>
        <v>#REF!</v>
      </c>
      <c r="AB289" t="e">
        <f>#REF!</f>
        <v>#REF!</v>
      </c>
      <c r="AC289" t="e">
        <f>#REF!</f>
        <v>#REF!</v>
      </c>
      <c r="AD289" t="e">
        <f>#REF!</f>
        <v>#REF!</v>
      </c>
      <c r="AE289" t="e">
        <f>#REF!</f>
        <v>#REF!</v>
      </c>
      <c r="AF289" t="e">
        <f>#REF!</f>
        <v>#REF!</v>
      </c>
      <c r="AG289" t="e">
        <f>#REF!</f>
        <v>#REF!</v>
      </c>
      <c r="AH289" t="e">
        <f>#REF!</f>
        <v>#REF!</v>
      </c>
      <c r="AI289" t="e">
        <f>#REF!</f>
        <v>#REF!</v>
      </c>
      <c r="AO289" s="159" t="e">
        <f>IF(#REF!="",0,#REF!)</f>
        <v>#REF!</v>
      </c>
      <c r="AP289" s="160" t="e">
        <f t="shared" si="9"/>
        <v>#REF!</v>
      </c>
    </row>
    <row r="290" spans="2:42" x14ac:dyDescent="0.25">
      <c r="B290" t="e">
        <f>#REF!</f>
        <v>#REF!</v>
      </c>
      <c r="C290" t="e">
        <f>#REF!</f>
        <v>#REF!</v>
      </c>
      <c r="D290" t="e">
        <f>#REF!</f>
        <v>#REF!</v>
      </c>
      <c r="E290" s="14" t="e">
        <f>#REF!</f>
        <v>#REF!</v>
      </c>
      <c r="F290" t="e">
        <f>#REF!</f>
        <v>#REF!</v>
      </c>
      <c r="G290" t="e">
        <f>#REF!</f>
        <v>#REF!</v>
      </c>
      <c r="H290" t="e">
        <f>#REF!</f>
        <v>#REF!</v>
      </c>
      <c r="I290" t="e">
        <f>#REF!</f>
        <v>#REF!</v>
      </c>
      <c r="J290" t="e">
        <f>#REF!</f>
        <v>#REF!</v>
      </c>
      <c r="K290" t="e">
        <f>#REF!</f>
        <v>#REF!</v>
      </c>
      <c r="L290" t="e">
        <f>#REF!</f>
        <v>#REF!</v>
      </c>
      <c r="M290" t="e">
        <f>#REF!</f>
        <v>#REF!</v>
      </c>
      <c r="N290" t="e">
        <f>#REF!</f>
        <v>#REF!</v>
      </c>
      <c r="O290" t="e">
        <f>#REF!</f>
        <v>#REF!</v>
      </c>
      <c r="P290" t="e">
        <f>#REF!</f>
        <v>#REF!</v>
      </c>
      <c r="Q290" t="e">
        <f>#REF!</f>
        <v>#REF!</v>
      </c>
      <c r="R290" t="e">
        <f>#REF!</f>
        <v>#REF!</v>
      </c>
      <c r="S290" t="e">
        <f>#REF!</f>
        <v>#REF!</v>
      </c>
      <c r="T290" t="e">
        <f>#REF!</f>
        <v>#REF!</v>
      </c>
      <c r="U290" t="e">
        <f>#REF!</f>
        <v>#REF!</v>
      </c>
      <c r="V290" t="e">
        <f>#REF!</f>
        <v>#REF!</v>
      </c>
      <c r="W290" t="e">
        <f>#REF!</f>
        <v>#REF!</v>
      </c>
      <c r="X290" t="e">
        <f>#REF!</f>
        <v>#REF!</v>
      </c>
      <c r="Y290" t="e">
        <f>#REF!</f>
        <v>#REF!</v>
      </c>
      <c r="Z290" t="e">
        <f>#REF!</f>
        <v>#REF!</v>
      </c>
      <c r="AA290" t="e">
        <f>#REF!</f>
        <v>#REF!</v>
      </c>
      <c r="AB290" t="e">
        <f>#REF!</f>
        <v>#REF!</v>
      </c>
      <c r="AC290" t="e">
        <f>#REF!</f>
        <v>#REF!</v>
      </c>
      <c r="AD290" t="e">
        <f>#REF!</f>
        <v>#REF!</v>
      </c>
      <c r="AE290" t="e">
        <f>#REF!</f>
        <v>#REF!</v>
      </c>
      <c r="AF290" t="e">
        <f>#REF!</f>
        <v>#REF!</v>
      </c>
      <c r="AG290" t="e">
        <f>#REF!</f>
        <v>#REF!</v>
      </c>
      <c r="AH290" t="e">
        <f>#REF!</f>
        <v>#REF!</v>
      </c>
      <c r="AI290" t="e">
        <f>#REF!</f>
        <v>#REF!</v>
      </c>
      <c r="AO290" s="159" t="e">
        <f>IF(#REF!="",0,#REF!)</f>
        <v>#REF!</v>
      </c>
      <c r="AP290" s="160" t="e">
        <f t="shared" si="9"/>
        <v>#REF!</v>
      </c>
    </row>
    <row r="291" spans="2:42" x14ac:dyDescent="0.25">
      <c r="B291" t="e">
        <f>#REF!</f>
        <v>#REF!</v>
      </c>
      <c r="C291" t="e">
        <f>#REF!</f>
        <v>#REF!</v>
      </c>
      <c r="D291" t="e">
        <f>#REF!</f>
        <v>#REF!</v>
      </c>
      <c r="E291" s="14" t="e">
        <f>#REF!</f>
        <v>#REF!</v>
      </c>
      <c r="F291" t="e">
        <f>#REF!</f>
        <v>#REF!</v>
      </c>
      <c r="G291" t="e">
        <f>#REF!</f>
        <v>#REF!</v>
      </c>
      <c r="H291" t="e">
        <f>#REF!</f>
        <v>#REF!</v>
      </c>
      <c r="I291" t="e">
        <f>#REF!</f>
        <v>#REF!</v>
      </c>
      <c r="J291" t="e">
        <f>#REF!</f>
        <v>#REF!</v>
      </c>
      <c r="K291" t="e">
        <f>#REF!</f>
        <v>#REF!</v>
      </c>
      <c r="L291" t="e">
        <f>#REF!</f>
        <v>#REF!</v>
      </c>
      <c r="M291" t="e">
        <f>#REF!</f>
        <v>#REF!</v>
      </c>
      <c r="N291" t="e">
        <f>#REF!</f>
        <v>#REF!</v>
      </c>
      <c r="O291" t="e">
        <f>#REF!</f>
        <v>#REF!</v>
      </c>
      <c r="P291" t="e">
        <f>#REF!</f>
        <v>#REF!</v>
      </c>
      <c r="Q291" t="e">
        <f>#REF!</f>
        <v>#REF!</v>
      </c>
      <c r="R291" t="e">
        <f>#REF!</f>
        <v>#REF!</v>
      </c>
      <c r="S291" t="e">
        <f>#REF!</f>
        <v>#REF!</v>
      </c>
      <c r="T291" t="e">
        <f>#REF!</f>
        <v>#REF!</v>
      </c>
      <c r="U291" t="e">
        <f>#REF!</f>
        <v>#REF!</v>
      </c>
      <c r="V291" t="e">
        <f>#REF!</f>
        <v>#REF!</v>
      </c>
      <c r="W291" t="e">
        <f>#REF!</f>
        <v>#REF!</v>
      </c>
      <c r="X291" t="e">
        <f>#REF!</f>
        <v>#REF!</v>
      </c>
      <c r="Y291" t="e">
        <f>#REF!</f>
        <v>#REF!</v>
      </c>
      <c r="Z291" t="e">
        <f>#REF!</f>
        <v>#REF!</v>
      </c>
      <c r="AA291" t="e">
        <f>#REF!</f>
        <v>#REF!</v>
      </c>
      <c r="AB291" t="e">
        <f>#REF!</f>
        <v>#REF!</v>
      </c>
      <c r="AC291" t="e">
        <f>#REF!</f>
        <v>#REF!</v>
      </c>
      <c r="AD291" t="e">
        <f>#REF!</f>
        <v>#REF!</v>
      </c>
      <c r="AE291" t="e">
        <f>#REF!</f>
        <v>#REF!</v>
      </c>
      <c r="AF291" t="e">
        <f>#REF!</f>
        <v>#REF!</v>
      </c>
      <c r="AG291" t="e">
        <f>#REF!</f>
        <v>#REF!</v>
      </c>
      <c r="AH291" t="e">
        <f>#REF!</f>
        <v>#REF!</v>
      </c>
      <c r="AI291" t="e">
        <f>#REF!</f>
        <v>#REF!</v>
      </c>
      <c r="AO291" s="159" t="e">
        <f>IF(#REF!="",0,#REF!)</f>
        <v>#REF!</v>
      </c>
      <c r="AP291" s="160" t="e">
        <f t="shared" si="9"/>
        <v>#REF!</v>
      </c>
    </row>
    <row r="292" spans="2:42" x14ac:dyDescent="0.25">
      <c r="B292" t="e">
        <f>#REF!</f>
        <v>#REF!</v>
      </c>
      <c r="C292" t="e">
        <f>#REF!</f>
        <v>#REF!</v>
      </c>
      <c r="D292" t="e">
        <f>#REF!</f>
        <v>#REF!</v>
      </c>
      <c r="E292" s="14" t="e">
        <f>#REF!</f>
        <v>#REF!</v>
      </c>
      <c r="F292" t="e">
        <f>#REF!</f>
        <v>#REF!</v>
      </c>
      <c r="G292" t="e">
        <f>#REF!</f>
        <v>#REF!</v>
      </c>
      <c r="H292" t="e">
        <f>#REF!</f>
        <v>#REF!</v>
      </c>
      <c r="I292" t="e">
        <f>#REF!</f>
        <v>#REF!</v>
      </c>
      <c r="J292" t="e">
        <f>#REF!</f>
        <v>#REF!</v>
      </c>
      <c r="K292" t="e">
        <f>#REF!</f>
        <v>#REF!</v>
      </c>
      <c r="L292" t="e">
        <f>#REF!</f>
        <v>#REF!</v>
      </c>
      <c r="M292" t="e">
        <f>#REF!</f>
        <v>#REF!</v>
      </c>
      <c r="N292" t="e">
        <f>#REF!</f>
        <v>#REF!</v>
      </c>
      <c r="O292" t="e">
        <f>#REF!</f>
        <v>#REF!</v>
      </c>
      <c r="P292" t="e">
        <f>#REF!</f>
        <v>#REF!</v>
      </c>
      <c r="Q292" t="e">
        <f>#REF!</f>
        <v>#REF!</v>
      </c>
      <c r="R292" t="e">
        <f>#REF!</f>
        <v>#REF!</v>
      </c>
      <c r="S292" t="e">
        <f>#REF!</f>
        <v>#REF!</v>
      </c>
      <c r="T292" t="e">
        <f>#REF!</f>
        <v>#REF!</v>
      </c>
      <c r="U292" t="e">
        <f>#REF!</f>
        <v>#REF!</v>
      </c>
      <c r="V292" t="e">
        <f>#REF!</f>
        <v>#REF!</v>
      </c>
      <c r="W292" t="e">
        <f>#REF!</f>
        <v>#REF!</v>
      </c>
      <c r="X292" t="e">
        <f>#REF!</f>
        <v>#REF!</v>
      </c>
      <c r="Y292" t="e">
        <f>#REF!</f>
        <v>#REF!</v>
      </c>
      <c r="Z292" t="e">
        <f>#REF!</f>
        <v>#REF!</v>
      </c>
      <c r="AA292" t="e">
        <f>#REF!</f>
        <v>#REF!</v>
      </c>
      <c r="AB292" t="e">
        <f>#REF!</f>
        <v>#REF!</v>
      </c>
      <c r="AC292" t="e">
        <f>#REF!</f>
        <v>#REF!</v>
      </c>
      <c r="AD292" t="e">
        <f>#REF!</f>
        <v>#REF!</v>
      </c>
      <c r="AE292" t="e">
        <f>#REF!</f>
        <v>#REF!</v>
      </c>
      <c r="AF292" t="e">
        <f>#REF!</f>
        <v>#REF!</v>
      </c>
      <c r="AG292" t="e">
        <f>#REF!</f>
        <v>#REF!</v>
      </c>
      <c r="AH292" t="e">
        <f>#REF!</f>
        <v>#REF!</v>
      </c>
      <c r="AI292" t="e">
        <f>#REF!</f>
        <v>#REF!</v>
      </c>
      <c r="AO292" s="159" t="e">
        <f>IF(#REF!="",0,#REF!)</f>
        <v>#REF!</v>
      </c>
      <c r="AP292" s="160" t="e">
        <f t="shared" si="9"/>
        <v>#REF!</v>
      </c>
    </row>
    <row r="293" spans="2:42" x14ac:dyDescent="0.25">
      <c r="B293" t="e">
        <f>#REF!</f>
        <v>#REF!</v>
      </c>
      <c r="C293" t="e">
        <f>#REF!</f>
        <v>#REF!</v>
      </c>
      <c r="D293" t="e">
        <f>#REF!</f>
        <v>#REF!</v>
      </c>
      <c r="E293" s="14" t="e">
        <f>#REF!</f>
        <v>#REF!</v>
      </c>
      <c r="F293" t="e">
        <f>#REF!</f>
        <v>#REF!</v>
      </c>
      <c r="G293" t="e">
        <f>#REF!</f>
        <v>#REF!</v>
      </c>
      <c r="H293" t="e">
        <f>#REF!</f>
        <v>#REF!</v>
      </c>
      <c r="I293" t="e">
        <f>#REF!</f>
        <v>#REF!</v>
      </c>
      <c r="J293" t="e">
        <f>#REF!</f>
        <v>#REF!</v>
      </c>
      <c r="K293" t="e">
        <f>#REF!</f>
        <v>#REF!</v>
      </c>
      <c r="L293" t="e">
        <f>#REF!</f>
        <v>#REF!</v>
      </c>
      <c r="M293" t="e">
        <f>#REF!</f>
        <v>#REF!</v>
      </c>
      <c r="N293" t="e">
        <f>#REF!</f>
        <v>#REF!</v>
      </c>
      <c r="O293" t="e">
        <f>#REF!</f>
        <v>#REF!</v>
      </c>
      <c r="P293" t="e">
        <f>#REF!</f>
        <v>#REF!</v>
      </c>
      <c r="Q293" t="e">
        <f>#REF!</f>
        <v>#REF!</v>
      </c>
      <c r="R293" t="e">
        <f>#REF!</f>
        <v>#REF!</v>
      </c>
      <c r="S293" t="e">
        <f>#REF!</f>
        <v>#REF!</v>
      </c>
      <c r="T293" t="e">
        <f>#REF!</f>
        <v>#REF!</v>
      </c>
      <c r="U293" t="e">
        <f>#REF!</f>
        <v>#REF!</v>
      </c>
      <c r="V293" t="e">
        <f>#REF!</f>
        <v>#REF!</v>
      </c>
      <c r="W293" t="e">
        <f>#REF!</f>
        <v>#REF!</v>
      </c>
      <c r="X293" t="e">
        <f>#REF!</f>
        <v>#REF!</v>
      </c>
      <c r="Y293" t="e">
        <f>#REF!</f>
        <v>#REF!</v>
      </c>
      <c r="Z293" t="e">
        <f>#REF!</f>
        <v>#REF!</v>
      </c>
      <c r="AA293" t="e">
        <f>#REF!</f>
        <v>#REF!</v>
      </c>
      <c r="AB293" t="e">
        <f>#REF!</f>
        <v>#REF!</v>
      </c>
      <c r="AC293" t="e">
        <f>#REF!</f>
        <v>#REF!</v>
      </c>
      <c r="AD293" t="e">
        <f>#REF!</f>
        <v>#REF!</v>
      </c>
      <c r="AE293" t="e">
        <f>#REF!</f>
        <v>#REF!</v>
      </c>
      <c r="AF293" t="e">
        <f>#REF!</f>
        <v>#REF!</v>
      </c>
      <c r="AG293" t="e">
        <f>#REF!</f>
        <v>#REF!</v>
      </c>
      <c r="AH293" t="e">
        <f>#REF!</f>
        <v>#REF!</v>
      </c>
      <c r="AI293" t="e">
        <f>#REF!</f>
        <v>#REF!</v>
      </c>
      <c r="AO293" s="159" t="e">
        <f>IF(#REF!="",0,#REF!)</f>
        <v>#REF!</v>
      </c>
      <c r="AP293" s="160" t="e">
        <f t="shared" si="9"/>
        <v>#REF!</v>
      </c>
    </row>
    <row r="294" spans="2:42" x14ac:dyDescent="0.25">
      <c r="B294" t="e">
        <f>#REF!</f>
        <v>#REF!</v>
      </c>
      <c r="C294" t="e">
        <f>#REF!</f>
        <v>#REF!</v>
      </c>
      <c r="D294" t="e">
        <f>#REF!</f>
        <v>#REF!</v>
      </c>
      <c r="E294" s="14" t="e">
        <f>#REF!</f>
        <v>#REF!</v>
      </c>
      <c r="F294" t="e">
        <f>#REF!</f>
        <v>#REF!</v>
      </c>
      <c r="G294" t="e">
        <f>#REF!</f>
        <v>#REF!</v>
      </c>
      <c r="H294" t="e">
        <f>#REF!</f>
        <v>#REF!</v>
      </c>
      <c r="I294" t="e">
        <f>#REF!</f>
        <v>#REF!</v>
      </c>
      <c r="J294" t="e">
        <f>#REF!</f>
        <v>#REF!</v>
      </c>
      <c r="K294" t="e">
        <f>#REF!</f>
        <v>#REF!</v>
      </c>
      <c r="L294" t="e">
        <f>#REF!</f>
        <v>#REF!</v>
      </c>
      <c r="M294" t="e">
        <f>#REF!</f>
        <v>#REF!</v>
      </c>
      <c r="N294" t="e">
        <f>#REF!</f>
        <v>#REF!</v>
      </c>
      <c r="O294" t="e">
        <f>#REF!</f>
        <v>#REF!</v>
      </c>
      <c r="P294" t="e">
        <f>#REF!</f>
        <v>#REF!</v>
      </c>
      <c r="Q294" t="e">
        <f>#REF!</f>
        <v>#REF!</v>
      </c>
      <c r="R294" t="e">
        <f>#REF!</f>
        <v>#REF!</v>
      </c>
      <c r="S294" t="e">
        <f>#REF!</f>
        <v>#REF!</v>
      </c>
      <c r="T294" t="e">
        <f>#REF!</f>
        <v>#REF!</v>
      </c>
      <c r="U294" t="e">
        <f>#REF!</f>
        <v>#REF!</v>
      </c>
      <c r="V294" t="e">
        <f>#REF!</f>
        <v>#REF!</v>
      </c>
      <c r="W294" t="e">
        <f>#REF!</f>
        <v>#REF!</v>
      </c>
      <c r="X294" t="e">
        <f>#REF!</f>
        <v>#REF!</v>
      </c>
      <c r="Y294" t="e">
        <f>#REF!</f>
        <v>#REF!</v>
      </c>
      <c r="Z294" t="e">
        <f>#REF!</f>
        <v>#REF!</v>
      </c>
      <c r="AA294" t="e">
        <f>#REF!</f>
        <v>#REF!</v>
      </c>
      <c r="AB294" t="e">
        <f>#REF!</f>
        <v>#REF!</v>
      </c>
      <c r="AC294" t="e">
        <f>#REF!</f>
        <v>#REF!</v>
      </c>
      <c r="AD294" t="e">
        <f>#REF!</f>
        <v>#REF!</v>
      </c>
      <c r="AE294" t="e">
        <f>#REF!</f>
        <v>#REF!</v>
      </c>
      <c r="AF294" t="e">
        <f>#REF!</f>
        <v>#REF!</v>
      </c>
      <c r="AG294" t="e">
        <f>#REF!</f>
        <v>#REF!</v>
      </c>
      <c r="AH294" t="e">
        <f>#REF!</f>
        <v>#REF!</v>
      </c>
      <c r="AI294" t="e">
        <f>#REF!</f>
        <v>#REF!</v>
      </c>
      <c r="AO294" s="159" t="e">
        <f>IF(#REF!="",0,#REF!)</f>
        <v>#REF!</v>
      </c>
      <c r="AP294" s="160" t="e">
        <f t="shared" si="9"/>
        <v>#REF!</v>
      </c>
    </row>
    <row r="295" spans="2:42" x14ac:dyDescent="0.25">
      <c r="B295" t="e">
        <f>#REF!</f>
        <v>#REF!</v>
      </c>
      <c r="C295" t="e">
        <f>#REF!</f>
        <v>#REF!</v>
      </c>
      <c r="D295" t="e">
        <f>#REF!</f>
        <v>#REF!</v>
      </c>
      <c r="E295" s="14" t="e">
        <f>#REF!</f>
        <v>#REF!</v>
      </c>
      <c r="F295" t="e">
        <f>#REF!</f>
        <v>#REF!</v>
      </c>
      <c r="G295" t="e">
        <f>#REF!</f>
        <v>#REF!</v>
      </c>
      <c r="H295" t="e">
        <f>#REF!</f>
        <v>#REF!</v>
      </c>
      <c r="I295" t="e">
        <f>#REF!</f>
        <v>#REF!</v>
      </c>
      <c r="J295" t="e">
        <f>#REF!</f>
        <v>#REF!</v>
      </c>
      <c r="K295" t="e">
        <f>#REF!</f>
        <v>#REF!</v>
      </c>
      <c r="L295" t="e">
        <f>#REF!</f>
        <v>#REF!</v>
      </c>
      <c r="M295" t="e">
        <f>#REF!</f>
        <v>#REF!</v>
      </c>
      <c r="N295" t="e">
        <f>#REF!</f>
        <v>#REF!</v>
      </c>
      <c r="O295" t="e">
        <f>#REF!</f>
        <v>#REF!</v>
      </c>
      <c r="P295" t="e">
        <f>#REF!</f>
        <v>#REF!</v>
      </c>
      <c r="Q295" t="e">
        <f>#REF!</f>
        <v>#REF!</v>
      </c>
      <c r="R295" t="e">
        <f>#REF!</f>
        <v>#REF!</v>
      </c>
      <c r="S295" t="e">
        <f>#REF!</f>
        <v>#REF!</v>
      </c>
      <c r="T295" t="e">
        <f>#REF!</f>
        <v>#REF!</v>
      </c>
      <c r="U295" t="e">
        <f>#REF!</f>
        <v>#REF!</v>
      </c>
      <c r="V295" t="e">
        <f>#REF!</f>
        <v>#REF!</v>
      </c>
      <c r="W295" t="e">
        <f>#REF!</f>
        <v>#REF!</v>
      </c>
      <c r="X295" t="e">
        <f>#REF!</f>
        <v>#REF!</v>
      </c>
      <c r="Y295" t="e">
        <f>#REF!</f>
        <v>#REF!</v>
      </c>
      <c r="Z295" t="e">
        <f>#REF!</f>
        <v>#REF!</v>
      </c>
      <c r="AA295" t="e">
        <f>#REF!</f>
        <v>#REF!</v>
      </c>
      <c r="AB295" t="e">
        <f>#REF!</f>
        <v>#REF!</v>
      </c>
      <c r="AC295" t="e">
        <f>#REF!</f>
        <v>#REF!</v>
      </c>
      <c r="AD295" t="e">
        <f>#REF!</f>
        <v>#REF!</v>
      </c>
      <c r="AE295" t="e">
        <f>#REF!</f>
        <v>#REF!</v>
      </c>
      <c r="AF295" t="e">
        <f>#REF!</f>
        <v>#REF!</v>
      </c>
      <c r="AG295" t="e">
        <f>#REF!</f>
        <v>#REF!</v>
      </c>
      <c r="AH295" t="e">
        <f>#REF!</f>
        <v>#REF!</v>
      </c>
      <c r="AI295" t="e">
        <f>#REF!</f>
        <v>#REF!</v>
      </c>
      <c r="AO295" s="159" t="e">
        <f>IF(#REF!="",0,#REF!)</f>
        <v>#REF!</v>
      </c>
      <c r="AP295" s="160" t="e">
        <f t="shared" si="9"/>
        <v>#REF!</v>
      </c>
    </row>
    <row r="296" spans="2:42" x14ac:dyDescent="0.25">
      <c r="B296" t="e">
        <f>#REF!</f>
        <v>#REF!</v>
      </c>
      <c r="C296" t="e">
        <f>#REF!</f>
        <v>#REF!</v>
      </c>
      <c r="D296" t="e">
        <f>#REF!</f>
        <v>#REF!</v>
      </c>
      <c r="E296" s="14" t="e">
        <f>#REF!</f>
        <v>#REF!</v>
      </c>
      <c r="F296" t="e">
        <f>#REF!</f>
        <v>#REF!</v>
      </c>
      <c r="G296" t="e">
        <f>#REF!</f>
        <v>#REF!</v>
      </c>
      <c r="H296" t="e">
        <f>#REF!</f>
        <v>#REF!</v>
      </c>
      <c r="I296" t="e">
        <f>#REF!</f>
        <v>#REF!</v>
      </c>
      <c r="J296" t="e">
        <f>#REF!</f>
        <v>#REF!</v>
      </c>
      <c r="K296" t="e">
        <f>#REF!</f>
        <v>#REF!</v>
      </c>
      <c r="L296" t="e">
        <f>#REF!</f>
        <v>#REF!</v>
      </c>
      <c r="M296" t="e">
        <f>#REF!</f>
        <v>#REF!</v>
      </c>
      <c r="N296" t="e">
        <f>#REF!</f>
        <v>#REF!</v>
      </c>
      <c r="O296" t="e">
        <f>#REF!</f>
        <v>#REF!</v>
      </c>
      <c r="P296" t="e">
        <f>#REF!</f>
        <v>#REF!</v>
      </c>
      <c r="Q296" t="e">
        <f>#REF!</f>
        <v>#REF!</v>
      </c>
      <c r="R296" t="e">
        <f>#REF!</f>
        <v>#REF!</v>
      </c>
      <c r="S296" t="e">
        <f>#REF!</f>
        <v>#REF!</v>
      </c>
      <c r="T296" t="e">
        <f>#REF!</f>
        <v>#REF!</v>
      </c>
      <c r="U296" t="e">
        <f>#REF!</f>
        <v>#REF!</v>
      </c>
      <c r="V296" t="e">
        <f>#REF!</f>
        <v>#REF!</v>
      </c>
      <c r="W296" t="e">
        <f>#REF!</f>
        <v>#REF!</v>
      </c>
      <c r="X296" t="e">
        <f>#REF!</f>
        <v>#REF!</v>
      </c>
      <c r="Y296" t="e">
        <f>#REF!</f>
        <v>#REF!</v>
      </c>
      <c r="Z296" t="e">
        <f>#REF!</f>
        <v>#REF!</v>
      </c>
      <c r="AA296" t="e">
        <f>#REF!</f>
        <v>#REF!</v>
      </c>
      <c r="AB296" t="e">
        <f>#REF!</f>
        <v>#REF!</v>
      </c>
      <c r="AC296" t="e">
        <f>#REF!</f>
        <v>#REF!</v>
      </c>
      <c r="AD296" t="e">
        <f>#REF!</f>
        <v>#REF!</v>
      </c>
      <c r="AE296" t="e">
        <f>#REF!</f>
        <v>#REF!</v>
      </c>
      <c r="AF296" t="e">
        <f>#REF!</f>
        <v>#REF!</v>
      </c>
      <c r="AG296" t="e">
        <f>#REF!</f>
        <v>#REF!</v>
      </c>
      <c r="AH296" t="e">
        <f>#REF!</f>
        <v>#REF!</v>
      </c>
      <c r="AI296" t="e">
        <f>#REF!</f>
        <v>#REF!</v>
      </c>
      <c r="AO296" s="159" t="e">
        <f>IF(#REF!="",0,#REF!)</f>
        <v>#REF!</v>
      </c>
      <c r="AP296" s="160" t="e">
        <f t="shared" si="9"/>
        <v>#REF!</v>
      </c>
    </row>
    <row r="297" spans="2:42" x14ac:dyDescent="0.25">
      <c r="B297" t="e">
        <f>#REF!</f>
        <v>#REF!</v>
      </c>
      <c r="C297" t="e">
        <f>#REF!</f>
        <v>#REF!</v>
      </c>
      <c r="D297" t="e">
        <f>#REF!</f>
        <v>#REF!</v>
      </c>
      <c r="E297" s="14" t="e">
        <f>#REF!</f>
        <v>#REF!</v>
      </c>
      <c r="F297" t="e">
        <f>#REF!</f>
        <v>#REF!</v>
      </c>
      <c r="G297" t="e">
        <f>#REF!</f>
        <v>#REF!</v>
      </c>
      <c r="H297" t="e">
        <f>#REF!</f>
        <v>#REF!</v>
      </c>
      <c r="I297" t="e">
        <f>#REF!</f>
        <v>#REF!</v>
      </c>
      <c r="J297" t="e">
        <f>#REF!</f>
        <v>#REF!</v>
      </c>
      <c r="K297" t="e">
        <f>#REF!</f>
        <v>#REF!</v>
      </c>
      <c r="L297" t="e">
        <f>#REF!</f>
        <v>#REF!</v>
      </c>
      <c r="M297" t="e">
        <f>#REF!</f>
        <v>#REF!</v>
      </c>
      <c r="N297" t="e">
        <f>#REF!</f>
        <v>#REF!</v>
      </c>
      <c r="O297" t="e">
        <f>#REF!</f>
        <v>#REF!</v>
      </c>
      <c r="P297" t="e">
        <f>#REF!</f>
        <v>#REF!</v>
      </c>
      <c r="Q297" t="e">
        <f>#REF!</f>
        <v>#REF!</v>
      </c>
      <c r="R297" t="e">
        <f>#REF!</f>
        <v>#REF!</v>
      </c>
      <c r="S297" t="e">
        <f>#REF!</f>
        <v>#REF!</v>
      </c>
      <c r="T297" t="e">
        <f>#REF!</f>
        <v>#REF!</v>
      </c>
      <c r="U297" t="e">
        <f>#REF!</f>
        <v>#REF!</v>
      </c>
      <c r="V297" t="e">
        <f>#REF!</f>
        <v>#REF!</v>
      </c>
      <c r="W297" t="e">
        <f>#REF!</f>
        <v>#REF!</v>
      </c>
      <c r="X297" t="e">
        <f>#REF!</f>
        <v>#REF!</v>
      </c>
      <c r="Y297" t="e">
        <f>#REF!</f>
        <v>#REF!</v>
      </c>
      <c r="Z297" t="e">
        <f>#REF!</f>
        <v>#REF!</v>
      </c>
      <c r="AA297" t="e">
        <f>#REF!</f>
        <v>#REF!</v>
      </c>
      <c r="AB297" t="e">
        <f>#REF!</f>
        <v>#REF!</v>
      </c>
      <c r="AC297" t="e">
        <f>#REF!</f>
        <v>#REF!</v>
      </c>
      <c r="AD297" t="e">
        <f>#REF!</f>
        <v>#REF!</v>
      </c>
      <c r="AE297" t="e">
        <f>#REF!</f>
        <v>#REF!</v>
      </c>
      <c r="AF297" t="e">
        <f>#REF!</f>
        <v>#REF!</v>
      </c>
      <c r="AG297" t="e">
        <f>#REF!</f>
        <v>#REF!</v>
      </c>
      <c r="AH297" t="e">
        <f>#REF!</f>
        <v>#REF!</v>
      </c>
      <c r="AI297" t="e">
        <f>#REF!</f>
        <v>#REF!</v>
      </c>
      <c r="AO297" s="159" t="e">
        <f>IF(#REF!="",0,#REF!)</f>
        <v>#REF!</v>
      </c>
      <c r="AP297" s="160" t="e">
        <f t="shared" si="9"/>
        <v>#REF!</v>
      </c>
    </row>
    <row r="298" spans="2:42" x14ac:dyDescent="0.25">
      <c r="B298" t="e">
        <f>#REF!</f>
        <v>#REF!</v>
      </c>
      <c r="C298" t="e">
        <f>#REF!</f>
        <v>#REF!</v>
      </c>
      <c r="D298" t="e">
        <f>#REF!</f>
        <v>#REF!</v>
      </c>
      <c r="E298" s="14" t="e">
        <f>#REF!</f>
        <v>#REF!</v>
      </c>
      <c r="F298" t="e">
        <f>#REF!</f>
        <v>#REF!</v>
      </c>
      <c r="G298" t="e">
        <f>#REF!</f>
        <v>#REF!</v>
      </c>
      <c r="H298" t="e">
        <f>#REF!</f>
        <v>#REF!</v>
      </c>
      <c r="I298" t="e">
        <f>#REF!</f>
        <v>#REF!</v>
      </c>
      <c r="J298" t="e">
        <f>#REF!</f>
        <v>#REF!</v>
      </c>
      <c r="K298" t="e">
        <f>#REF!</f>
        <v>#REF!</v>
      </c>
      <c r="L298" t="e">
        <f>#REF!</f>
        <v>#REF!</v>
      </c>
      <c r="M298" t="e">
        <f>#REF!</f>
        <v>#REF!</v>
      </c>
      <c r="N298" t="e">
        <f>#REF!</f>
        <v>#REF!</v>
      </c>
      <c r="O298" t="e">
        <f>#REF!</f>
        <v>#REF!</v>
      </c>
      <c r="P298" t="e">
        <f>#REF!</f>
        <v>#REF!</v>
      </c>
      <c r="Q298" t="e">
        <f>#REF!</f>
        <v>#REF!</v>
      </c>
      <c r="R298" t="e">
        <f>#REF!</f>
        <v>#REF!</v>
      </c>
      <c r="S298" t="e">
        <f>#REF!</f>
        <v>#REF!</v>
      </c>
      <c r="T298" t="e">
        <f>#REF!</f>
        <v>#REF!</v>
      </c>
      <c r="U298" t="e">
        <f>#REF!</f>
        <v>#REF!</v>
      </c>
      <c r="V298" t="e">
        <f>#REF!</f>
        <v>#REF!</v>
      </c>
      <c r="W298" t="e">
        <f>#REF!</f>
        <v>#REF!</v>
      </c>
      <c r="X298" t="e">
        <f>#REF!</f>
        <v>#REF!</v>
      </c>
      <c r="Y298" t="e">
        <f>#REF!</f>
        <v>#REF!</v>
      </c>
      <c r="Z298" t="e">
        <f>#REF!</f>
        <v>#REF!</v>
      </c>
      <c r="AA298" t="e">
        <f>#REF!</f>
        <v>#REF!</v>
      </c>
      <c r="AB298" t="e">
        <f>#REF!</f>
        <v>#REF!</v>
      </c>
      <c r="AC298" t="e">
        <f>#REF!</f>
        <v>#REF!</v>
      </c>
      <c r="AD298" t="e">
        <f>#REF!</f>
        <v>#REF!</v>
      </c>
      <c r="AE298" t="e">
        <f>#REF!</f>
        <v>#REF!</v>
      </c>
      <c r="AF298" t="e">
        <f>#REF!</f>
        <v>#REF!</v>
      </c>
      <c r="AG298" t="e">
        <f>#REF!</f>
        <v>#REF!</v>
      </c>
      <c r="AH298" t="e">
        <f>#REF!</f>
        <v>#REF!</v>
      </c>
      <c r="AI298" t="e">
        <f>#REF!</f>
        <v>#REF!</v>
      </c>
      <c r="AO298" s="159" t="e">
        <f>IF(#REF!="",0,#REF!)</f>
        <v>#REF!</v>
      </c>
      <c r="AP298" s="160" t="e">
        <f t="shared" si="9"/>
        <v>#REF!</v>
      </c>
    </row>
    <row r="299" spans="2:42" x14ac:dyDescent="0.25">
      <c r="B299" t="e">
        <f>#REF!</f>
        <v>#REF!</v>
      </c>
      <c r="C299" t="e">
        <f>#REF!</f>
        <v>#REF!</v>
      </c>
      <c r="D299" t="e">
        <f>#REF!</f>
        <v>#REF!</v>
      </c>
      <c r="E299" s="14" t="e">
        <f>#REF!</f>
        <v>#REF!</v>
      </c>
      <c r="F299" t="e">
        <f>#REF!</f>
        <v>#REF!</v>
      </c>
      <c r="G299" t="e">
        <f>#REF!</f>
        <v>#REF!</v>
      </c>
      <c r="H299" t="e">
        <f>#REF!</f>
        <v>#REF!</v>
      </c>
      <c r="I299" t="e">
        <f>#REF!</f>
        <v>#REF!</v>
      </c>
      <c r="J299" t="e">
        <f>#REF!</f>
        <v>#REF!</v>
      </c>
      <c r="K299" t="e">
        <f>#REF!</f>
        <v>#REF!</v>
      </c>
      <c r="L299" t="e">
        <f>#REF!</f>
        <v>#REF!</v>
      </c>
      <c r="M299" t="e">
        <f>#REF!</f>
        <v>#REF!</v>
      </c>
      <c r="N299" t="e">
        <f>#REF!</f>
        <v>#REF!</v>
      </c>
      <c r="O299" t="e">
        <f>#REF!</f>
        <v>#REF!</v>
      </c>
      <c r="P299" t="e">
        <f>#REF!</f>
        <v>#REF!</v>
      </c>
      <c r="Q299" t="e">
        <f>#REF!</f>
        <v>#REF!</v>
      </c>
      <c r="R299" t="e">
        <f>#REF!</f>
        <v>#REF!</v>
      </c>
      <c r="S299" t="e">
        <f>#REF!</f>
        <v>#REF!</v>
      </c>
      <c r="T299" t="e">
        <f>#REF!</f>
        <v>#REF!</v>
      </c>
      <c r="U299" t="e">
        <f>#REF!</f>
        <v>#REF!</v>
      </c>
      <c r="V299" t="e">
        <f>#REF!</f>
        <v>#REF!</v>
      </c>
      <c r="W299" t="e">
        <f>#REF!</f>
        <v>#REF!</v>
      </c>
      <c r="X299" t="e">
        <f>#REF!</f>
        <v>#REF!</v>
      </c>
      <c r="Y299" t="e">
        <f>#REF!</f>
        <v>#REF!</v>
      </c>
      <c r="Z299" t="e">
        <f>#REF!</f>
        <v>#REF!</v>
      </c>
      <c r="AA299" t="e">
        <f>#REF!</f>
        <v>#REF!</v>
      </c>
      <c r="AB299" t="e">
        <f>#REF!</f>
        <v>#REF!</v>
      </c>
      <c r="AC299" t="e">
        <f>#REF!</f>
        <v>#REF!</v>
      </c>
      <c r="AD299" t="e">
        <f>#REF!</f>
        <v>#REF!</v>
      </c>
      <c r="AE299" t="e">
        <f>#REF!</f>
        <v>#REF!</v>
      </c>
      <c r="AF299" t="e">
        <f>#REF!</f>
        <v>#REF!</v>
      </c>
      <c r="AG299" t="e">
        <f>#REF!</f>
        <v>#REF!</v>
      </c>
      <c r="AH299" t="e">
        <f>#REF!</f>
        <v>#REF!</v>
      </c>
      <c r="AI299" t="e">
        <f>#REF!</f>
        <v>#REF!</v>
      </c>
      <c r="AO299" s="159" t="e">
        <f>IF(#REF!="",0,#REF!)</f>
        <v>#REF!</v>
      </c>
      <c r="AP299" s="160" t="e">
        <f t="shared" si="9"/>
        <v>#REF!</v>
      </c>
    </row>
    <row r="300" spans="2:42" x14ac:dyDescent="0.25">
      <c r="B300" t="e">
        <f>#REF!</f>
        <v>#REF!</v>
      </c>
      <c r="C300" t="e">
        <f>#REF!</f>
        <v>#REF!</v>
      </c>
      <c r="D300" t="e">
        <f>#REF!</f>
        <v>#REF!</v>
      </c>
      <c r="E300" s="14" t="e">
        <f>#REF!</f>
        <v>#REF!</v>
      </c>
      <c r="F300" t="e">
        <f>#REF!</f>
        <v>#REF!</v>
      </c>
      <c r="G300" t="e">
        <f>#REF!</f>
        <v>#REF!</v>
      </c>
      <c r="H300" t="e">
        <f>#REF!</f>
        <v>#REF!</v>
      </c>
      <c r="I300" t="e">
        <f>#REF!</f>
        <v>#REF!</v>
      </c>
      <c r="J300" t="e">
        <f>#REF!</f>
        <v>#REF!</v>
      </c>
      <c r="K300" t="e">
        <f>#REF!</f>
        <v>#REF!</v>
      </c>
      <c r="L300" t="e">
        <f>#REF!</f>
        <v>#REF!</v>
      </c>
      <c r="M300" t="e">
        <f>#REF!</f>
        <v>#REF!</v>
      </c>
      <c r="N300" t="e">
        <f>#REF!</f>
        <v>#REF!</v>
      </c>
      <c r="O300" t="e">
        <f>#REF!</f>
        <v>#REF!</v>
      </c>
      <c r="P300" t="e">
        <f>#REF!</f>
        <v>#REF!</v>
      </c>
      <c r="Q300" t="e">
        <f>#REF!</f>
        <v>#REF!</v>
      </c>
      <c r="R300" t="e">
        <f>#REF!</f>
        <v>#REF!</v>
      </c>
      <c r="S300" t="e">
        <f>#REF!</f>
        <v>#REF!</v>
      </c>
      <c r="T300" t="e">
        <f>#REF!</f>
        <v>#REF!</v>
      </c>
      <c r="U300" t="e">
        <f>#REF!</f>
        <v>#REF!</v>
      </c>
      <c r="V300" t="e">
        <f>#REF!</f>
        <v>#REF!</v>
      </c>
      <c r="W300" t="e">
        <f>#REF!</f>
        <v>#REF!</v>
      </c>
      <c r="X300" t="e">
        <f>#REF!</f>
        <v>#REF!</v>
      </c>
      <c r="Y300" t="e">
        <f>#REF!</f>
        <v>#REF!</v>
      </c>
      <c r="Z300" t="e">
        <f>#REF!</f>
        <v>#REF!</v>
      </c>
      <c r="AA300" t="e">
        <f>#REF!</f>
        <v>#REF!</v>
      </c>
      <c r="AB300" t="e">
        <f>#REF!</f>
        <v>#REF!</v>
      </c>
      <c r="AC300" t="e">
        <f>#REF!</f>
        <v>#REF!</v>
      </c>
      <c r="AD300" t="e">
        <f>#REF!</f>
        <v>#REF!</v>
      </c>
      <c r="AE300" t="e">
        <f>#REF!</f>
        <v>#REF!</v>
      </c>
      <c r="AF300" t="e">
        <f>#REF!</f>
        <v>#REF!</v>
      </c>
      <c r="AG300" t="e">
        <f>#REF!</f>
        <v>#REF!</v>
      </c>
      <c r="AH300" t="e">
        <f>#REF!</f>
        <v>#REF!</v>
      </c>
      <c r="AI300" t="e">
        <f>#REF!</f>
        <v>#REF!</v>
      </c>
      <c r="AO300" s="159" t="e">
        <f>IF(#REF!="",0,#REF!)</f>
        <v>#REF!</v>
      </c>
      <c r="AP300" s="160" t="e">
        <f t="shared" si="9"/>
        <v>#REF!</v>
      </c>
    </row>
    <row r="301" spans="2:42" x14ac:dyDescent="0.25">
      <c r="B301" t="e">
        <f>#REF!</f>
        <v>#REF!</v>
      </c>
      <c r="C301" t="e">
        <f>#REF!</f>
        <v>#REF!</v>
      </c>
      <c r="D301" t="e">
        <f>#REF!</f>
        <v>#REF!</v>
      </c>
      <c r="E301" s="14" t="e">
        <f>#REF!</f>
        <v>#REF!</v>
      </c>
      <c r="F301" t="e">
        <f>#REF!</f>
        <v>#REF!</v>
      </c>
      <c r="G301" t="e">
        <f>#REF!</f>
        <v>#REF!</v>
      </c>
      <c r="H301" t="e">
        <f>#REF!</f>
        <v>#REF!</v>
      </c>
      <c r="I301" t="e">
        <f>#REF!</f>
        <v>#REF!</v>
      </c>
      <c r="J301" t="e">
        <f>#REF!</f>
        <v>#REF!</v>
      </c>
      <c r="K301" t="e">
        <f>#REF!</f>
        <v>#REF!</v>
      </c>
      <c r="L301" t="e">
        <f>#REF!</f>
        <v>#REF!</v>
      </c>
      <c r="M301" t="e">
        <f>#REF!</f>
        <v>#REF!</v>
      </c>
      <c r="N301" t="e">
        <f>#REF!</f>
        <v>#REF!</v>
      </c>
      <c r="O301" t="e">
        <f>#REF!</f>
        <v>#REF!</v>
      </c>
      <c r="P301" t="e">
        <f>#REF!</f>
        <v>#REF!</v>
      </c>
      <c r="Q301" t="e">
        <f>#REF!</f>
        <v>#REF!</v>
      </c>
      <c r="R301" t="e">
        <f>#REF!</f>
        <v>#REF!</v>
      </c>
      <c r="S301" t="e">
        <f>#REF!</f>
        <v>#REF!</v>
      </c>
      <c r="T301" t="e">
        <f>#REF!</f>
        <v>#REF!</v>
      </c>
      <c r="U301" t="e">
        <f>#REF!</f>
        <v>#REF!</v>
      </c>
      <c r="V301" t="e">
        <f>#REF!</f>
        <v>#REF!</v>
      </c>
      <c r="W301" t="e">
        <f>#REF!</f>
        <v>#REF!</v>
      </c>
      <c r="X301" t="e">
        <f>#REF!</f>
        <v>#REF!</v>
      </c>
      <c r="Y301" t="e">
        <f>#REF!</f>
        <v>#REF!</v>
      </c>
      <c r="Z301" t="e">
        <f>#REF!</f>
        <v>#REF!</v>
      </c>
      <c r="AA301" t="e">
        <f>#REF!</f>
        <v>#REF!</v>
      </c>
      <c r="AB301" t="e">
        <f>#REF!</f>
        <v>#REF!</v>
      </c>
      <c r="AC301" t="e">
        <f>#REF!</f>
        <v>#REF!</v>
      </c>
      <c r="AD301" t="e">
        <f>#REF!</f>
        <v>#REF!</v>
      </c>
      <c r="AE301" t="e">
        <f>#REF!</f>
        <v>#REF!</v>
      </c>
      <c r="AF301" t="e">
        <f>#REF!</f>
        <v>#REF!</v>
      </c>
      <c r="AG301" t="e">
        <f>#REF!</f>
        <v>#REF!</v>
      </c>
      <c r="AH301" t="e">
        <f>#REF!</f>
        <v>#REF!</v>
      </c>
      <c r="AI301" t="e">
        <f>#REF!</f>
        <v>#REF!</v>
      </c>
      <c r="AO301" s="159" t="e">
        <f>IF(#REF!="",0,#REF!)</f>
        <v>#REF!</v>
      </c>
      <c r="AP301" s="160" t="e">
        <f t="shared" si="9"/>
        <v>#REF!</v>
      </c>
    </row>
    <row r="302" spans="2:42" x14ac:dyDescent="0.25">
      <c r="B302" t="e">
        <f>#REF!</f>
        <v>#REF!</v>
      </c>
      <c r="C302" t="e">
        <f>#REF!</f>
        <v>#REF!</v>
      </c>
      <c r="D302" t="e">
        <f>#REF!</f>
        <v>#REF!</v>
      </c>
      <c r="E302" s="14" t="e">
        <f>#REF!</f>
        <v>#REF!</v>
      </c>
      <c r="F302" t="e">
        <f>#REF!</f>
        <v>#REF!</v>
      </c>
      <c r="G302" t="e">
        <f>#REF!</f>
        <v>#REF!</v>
      </c>
      <c r="H302" t="e">
        <f>#REF!</f>
        <v>#REF!</v>
      </c>
      <c r="I302" t="e">
        <f>#REF!</f>
        <v>#REF!</v>
      </c>
      <c r="J302" t="e">
        <f>#REF!</f>
        <v>#REF!</v>
      </c>
      <c r="K302" t="e">
        <f>#REF!</f>
        <v>#REF!</v>
      </c>
      <c r="L302" t="e">
        <f>#REF!</f>
        <v>#REF!</v>
      </c>
      <c r="M302" t="e">
        <f>#REF!</f>
        <v>#REF!</v>
      </c>
      <c r="N302" t="e">
        <f>#REF!</f>
        <v>#REF!</v>
      </c>
      <c r="O302" t="e">
        <f>#REF!</f>
        <v>#REF!</v>
      </c>
      <c r="P302" t="e">
        <f>#REF!</f>
        <v>#REF!</v>
      </c>
      <c r="Q302" t="e">
        <f>#REF!</f>
        <v>#REF!</v>
      </c>
      <c r="R302" t="e">
        <f>#REF!</f>
        <v>#REF!</v>
      </c>
      <c r="S302" t="e">
        <f>#REF!</f>
        <v>#REF!</v>
      </c>
      <c r="T302" t="e">
        <f>#REF!</f>
        <v>#REF!</v>
      </c>
      <c r="U302" t="e">
        <f>#REF!</f>
        <v>#REF!</v>
      </c>
      <c r="V302" t="e">
        <f>#REF!</f>
        <v>#REF!</v>
      </c>
      <c r="W302" t="e">
        <f>#REF!</f>
        <v>#REF!</v>
      </c>
      <c r="X302" t="e">
        <f>#REF!</f>
        <v>#REF!</v>
      </c>
      <c r="Y302" t="e">
        <f>#REF!</f>
        <v>#REF!</v>
      </c>
      <c r="Z302" t="e">
        <f>#REF!</f>
        <v>#REF!</v>
      </c>
      <c r="AA302" t="e">
        <f>#REF!</f>
        <v>#REF!</v>
      </c>
      <c r="AB302" t="e">
        <f>#REF!</f>
        <v>#REF!</v>
      </c>
      <c r="AC302" t="e">
        <f>#REF!</f>
        <v>#REF!</v>
      </c>
      <c r="AD302" t="e">
        <f>#REF!</f>
        <v>#REF!</v>
      </c>
      <c r="AE302" t="e">
        <f>#REF!</f>
        <v>#REF!</v>
      </c>
      <c r="AF302" t="e">
        <f>#REF!</f>
        <v>#REF!</v>
      </c>
      <c r="AG302" t="e">
        <f>#REF!</f>
        <v>#REF!</v>
      </c>
      <c r="AH302" t="e">
        <f>#REF!</f>
        <v>#REF!</v>
      </c>
      <c r="AI302" t="e">
        <f>#REF!</f>
        <v>#REF!</v>
      </c>
      <c r="AO302" s="159" t="e">
        <f>IF(#REF!="",0,#REF!)</f>
        <v>#REF!</v>
      </c>
      <c r="AP302" s="160" t="e">
        <f t="shared" si="9"/>
        <v>#REF!</v>
      </c>
    </row>
    <row r="303" spans="2:42" x14ac:dyDescent="0.25">
      <c r="B303" t="e">
        <f>#REF!</f>
        <v>#REF!</v>
      </c>
      <c r="C303" t="e">
        <f>#REF!</f>
        <v>#REF!</v>
      </c>
      <c r="D303" t="e">
        <f>#REF!</f>
        <v>#REF!</v>
      </c>
      <c r="E303" s="14" t="e">
        <f>#REF!</f>
        <v>#REF!</v>
      </c>
      <c r="F303" t="e">
        <f>#REF!</f>
        <v>#REF!</v>
      </c>
      <c r="G303" t="e">
        <f>#REF!</f>
        <v>#REF!</v>
      </c>
      <c r="H303" t="e">
        <f>#REF!</f>
        <v>#REF!</v>
      </c>
      <c r="I303" t="e">
        <f>#REF!</f>
        <v>#REF!</v>
      </c>
      <c r="J303" t="e">
        <f>#REF!</f>
        <v>#REF!</v>
      </c>
      <c r="K303" t="e">
        <f>#REF!</f>
        <v>#REF!</v>
      </c>
      <c r="L303" t="e">
        <f>#REF!</f>
        <v>#REF!</v>
      </c>
      <c r="M303" t="e">
        <f>#REF!</f>
        <v>#REF!</v>
      </c>
      <c r="N303" t="e">
        <f>#REF!</f>
        <v>#REF!</v>
      </c>
      <c r="O303" t="e">
        <f>#REF!</f>
        <v>#REF!</v>
      </c>
      <c r="P303" t="e">
        <f>#REF!</f>
        <v>#REF!</v>
      </c>
      <c r="Q303" t="e">
        <f>#REF!</f>
        <v>#REF!</v>
      </c>
      <c r="R303" t="e">
        <f>#REF!</f>
        <v>#REF!</v>
      </c>
      <c r="S303" t="e">
        <f>#REF!</f>
        <v>#REF!</v>
      </c>
      <c r="T303" t="e">
        <f>#REF!</f>
        <v>#REF!</v>
      </c>
      <c r="U303" t="e">
        <f>#REF!</f>
        <v>#REF!</v>
      </c>
      <c r="V303" t="e">
        <f>#REF!</f>
        <v>#REF!</v>
      </c>
      <c r="W303" t="e">
        <f>#REF!</f>
        <v>#REF!</v>
      </c>
      <c r="X303" t="e">
        <f>#REF!</f>
        <v>#REF!</v>
      </c>
      <c r="Y303" t="e">
        <f>#REF!</f>
        <v>#REF!</v>
      </c>
      <c r="Z303" t="e">
        <f>#REF!</f>
        <v>#REF!</v>
      </c>
      <c r="AA303" t="e">
        <f>#REF!</f>
        <v>#REF!</v>
      </c>
      <c r="AB303" t="e">
        <f>#REF!</f>
        <v>#REF!</v>
      </c>
      <c r="AC303" t="e">
        <f>#REF!</f>
        <v>#REF!</v>
      </c>
      <c r="AD303" t="e">
        <f>#REF!</f>
        <v>#REF!</v>
      </c>
      <c r="AE303" t="e">
        <f>#REF!</f>
        <v>#REF!</v>
      </c>
      <c r="AF303" t="e">
        <f>#REF!</f>
        <v>#REF!</v>
      </c>
      <c r="AG303" t="e">
        <f>#REF!</f>
        <v>#REF!</v>
      </c>
      <c r="AH303" t="e">
        <f>#REF!</f>
        <v>#REF!</v>
      </c>
      <c r="AI303" t="e">
        <f>#REF!</f>
        <v>#REF!</v>
      </c>
      <c r="AO303" s="159" t="e">
        <f>IF(#REF!="",0,#REF!)</f>
        <v>#REF!</v>
      </c>
      <c r="AP303" s="160" t="e">
        <f t="shared" si="9"/>
        <v>#REF!</v>
      </c>
    </row>
    <row r="304" spans="2:42" x14ac:dyDescent="0.25">
      <c r="B304" t="e">
        <f>#REF!</f>
        <v>#REF!</v>
      </c>
      <c r="C304" t="e">
        <f>#REF!</f>
        <v>#REF!</v>
      </c>
      <c r="D304" t="e">
        <f>#REF!</f>
        <v>#REF!</v>
      </c>
      <c r="E304" s="14" t="e">
        <f>#REF!</f>
        <v>#REF!</v>
      </c>
      <c r="F304" t="e">
        <f>#REF!</f>
        <v>#REF!</v>
      </c>
      <c r="G304" t="e">
        <f>#REF!</f>
        <v>#REF!</v>
      </c>
      <c r="H304" t="e">
        <f>#REF!</f>
        <v>#REF!</v>
      </c>
      <c r="I304" t="e">
        <f>#REF!</f>
        <v>#REF!</v>
      </c>
      <c r="J304" t="e">
        <f>#REF!</f>
        <v>#REF!</v>
      </c>
      <c r="K304" t="e">
        <f>#REF!</f>
        <v>#REF!</v>
      </c>
      <c r="L304" t="e">
        <f>#REF!</f>
        <v>#REF!</v>
      </c>
      <c r="M304" t="e">
        <f>#REF!</f>
        <v>#REF!</v>
      </c>
      <c r="N304" t="e">
        <f>#REF!</f>
        <v>#REF!</v>
      </c>
      <c r="O304" t="e">
        <f>#REF!</f>
        <v>#REF!</v>
      </c>
      <c r="P304" t="e">
        <f>#REF!</f>
        <v>#REF!</v>
      </c>
      <c r="Q304" t="e">
        <f>#REF!</f>
        <v>#REF!</v>
      </c>
      <c r="R304" t="e">
        <f>#REF!</f>
        <v>#REF!</v>
      </c>
      <c r="S304" t="e">
        <f>#REF!</f>
        <v>#REF!</v>
      </c>
      <c r="T304" t="e">
        <f>#REF!</f>
        <v>#REF!</v>
      </c>
      <c r="U304" t="e">
        <f>#REF!</f>
        <v>#REF!</v>
      </c>
      <c r="V304" t="e">
        <f>#REF!</f>
        <v>#REF!</v>
      </c>
      <c r="W304" t="e">
        <f>#REF!</f>
        <v>#REF!</v>
      </c>
      <c r="X304" t="e">
        <f>#REF!</f>
        <v>#REF!</v>
      </c>
      <c r="Y304" t="e">
        <f>#REF!</f>
        <v>#REF!</v>
      </c>
      <c r="Z304" t="e">
        <f>#REF!</f>
        <v>#REF!</v>
      </c>
      <c r="AA304" t="e">
        <f>#REF!</f>
        <v>#REF!</v>
      </c>
      <c r="AB304" t="e">
        <f>#REF!</f>
        <v>#REF!</v>
      </c>
      <c r="AC304" t="e">
        <f>#REF!</f>
        <v>#REF!</v>
      </c>
      <c r="AD304" t="e">
        <f>#REF!</f>
        <v>#REF!</v>
      </c>
      <c r="AE304" t="e">
        <f>#REF!</f>
        <v>#REF!</v>
      </c>
      <c r="AF304" t="e">
        <f>#REF!</f>
        <v>#REF!</v>
      </c>
      <c r="AG304" t="e">
        <f>#REF!</f>
        <v>#REF!</v>
      </c>
      <c r="AH304" t="e">
        <f>#REF!</f>
        <v>#REF!</v>
      </c>
      <c r="AI304" t="e">
        <f>#REF!</f>
        <v>#REF!</v>
      </c>
      <c r="AO304" s="159" t="e">
        <f>IF(#REF!="",0,#REF!)</f>
        <v>#REF!</v>
      </c>
      <c r="AP304" s="160" t="e">
        <f t="shared" si="9"/>
        <v>#REF!</v>
      </c>
    </row>
    <row r="305" spans="2:42" x14ac:dyDescent="0.25">
      <c r="B305" t="e">
        <f>#REF!</f>
        <v>#REF!</v>
      </c>
      <c r="C305" t="e">
        <f>#REF!</f>
        <v>#REF!</v>
      </c>
      <c r="D305" t="e">
        <f>#REF!</f>
        <v>#REF!</v>
      </c>
      <c r="E305" s="14" t="e">
        <f>#REF!</f>
        <v>#REF!</v>
      </c>
      <c r="F305" t="e">
        <f>#REF!</f>
        <v>#REF!</v>
      </c>
      <c r="G305" t="e">
        <f>#REF!</f>
        <v>#REF!</v>
      </c>
      <c r="H305" t="e">
        <f>#REF!</f>
        <v>#REF!</v>
      </c>
      <c r="I305" t="e">
        <f>#REF!</f>
        <v>#REF!</v>
      </c>
      <c r="J305" t="e">
        <f>#REF!</f>
        <v>#REF!</v>
      </c>
      <c r="K305" t="e">
        <f>#REF!</f>
        <v>#REF!</v>
      </c>
      <c r="L305" t="e">
        <f>#REF!</f>
        <v>#REF!</v>
      </c>
      <c r="M305" t="e">
        <f>#REF!</f>
        <v>#REF!</v>
      </c>
      <c r="N305" t="e">
        <f>#REF!</f>
        <v>#REF!</v>
      </c>
      <c r="O305" t="e">
        <f>#REF!</f>
        <v>#REF!</v>
      </c>
      <c r="P305" t="e">
        <f>#REF!</f>
        <v>#REF!</v>
      </c>
      <c r="Q305" t="e">
        <f>#REF!</f>
        <v>#REF!</v>
      </c>
      <c r="R305" t="e">
        <f>#REF!</f>
        <v>#REF!</v>
      </c>
      <c r="S305" t="e">
        <f>#REF!</f>
        <v>#REF!</v>
      </c>
      <c r="T305" t="e">
        <f>#REF!</f>
        <v>#REF!</v>
      </c>
      <c r="U305" t="e">
        <f>#REF!</f>
        <v>#REF!</v>
      </c>
      <c r="V305" t="e">
        <f>#REF!</f>
        <v>#REF!</v>
      </c>
      <c r="W305" t="e">
        <f>#REF!</f>
        <v>#REF!</v>
      </c>
      <c r="X305" t="e">
        <f>#REF!</f>
        <v>#REF!</v>
      </c>
      <c r="Y305" t="e">
        <f>#REF!</f>
        <v>#REF!</v>
      </c>
      <c r="Z305" t="e">
        <f>#REF!</f>
        <v>#REF!</v>
      </c>
      <c r="AA305" t="e">
        <f>#REF!</f>
        <v>#REF!</v>
      </c>
      <c r="AB305" t="e">
        <f>#REF!</f>
        <v>#REF!</v>
      </c>
      <c r="AC305" t="e">
        <f>#REF!</f>
        <v>#REF!</v>
      </c>
      <c r="AD305" t="e">
        <f>#REF!</f>
        <v>#REF!</v>
      </c>
      <c r="AE305" t="e">
        <f>#REF!</f>
        <v>#REF!</v>
      </c>
      <c r="AF305" t="e">
        <f>#REF!</f>
        <v>#REF!</v>
      </c>
      <c r="AG305" t="e">
        <f>#REF!</f>
        <v>#REF!</v>
      </c>
      <c r="AH305" t="e">
        <f>#REF!</f>
        <v>#REF!</v>
      </c>
      <c r="AI305" t="e">
        <f>#REF!</f>
        <v>#REF!</v>
      </c>
      <c r="AO305" s="159" t="e">
        <f>IF(#REF!="",0,#REF!)</f>
        <v>#REF!</v>
      </c>
      <c r="AP305" s="160" t="e">
        <f t="shared" si="9"/>
        <v>#REF!</v>
      </c>
    </row>
    <row r="306" spans="2:42" x14ac:dyDescent="0.25">
      <c r="B306" t="e">
        <f>#REF!</f>
        <v>#REF!</v>
      </c>
      <c r="C306" t="e">
        <f>#REF!</f>
        <v>#REF!</v>
      </c>
      <c r="D306" t="e">
        <f>#REF!</f>
        <v>#REF!</v>
      </c>
      <c r="E306" s="14" t="e">
        <f>#REF!</f>
        <v>#REF!</v>
      </c>
      <c r="F306" t="e">
        <f>#REF!</f>
        <v>#REF!</v>
      </c>
      <c r="G306" t="e">
        <f>#REF!</f>
        <v>#REF!</v>
      </c>
      <c r="H306" t="e">
        <f>#REF!</f>
        <v>#REF!</v>
      </c>
      <c r="I306" t="e">
        <f>#REF!</f>
        <v>#REF!</v>
      </c>
      <c r="J306" t="e">
        <f>#REF!</f>
        <v>#REF!</v>
      </c>
      <c r="K306" t="e">
        <f>#REF!</f>
        <v>#REF!</v>
      </c>
      <c r="L306" t="e">
        <f>#REF!</f>
        <v>#REF!</v>
      </c>
      <c r="M306" t="e">
        <f>#REF!</f>
        <v>#REF!</v>
      </c>
      <c r="N306" t="e">
        <f>#REF!</f>
        <v>#REF!</v>
      </c>
      <c r="O306" t="e">
        <f>#REF!</f>
        <v>#REF!</v>
      </c>
      <c r="P306" t="e">
        <f>#REF!</f>
        <v>#REF!</v>
      </c>
      <c r="Q306" t="e">
        <f>#REF!</f>
        <v>#REF!</v>
      </c>
      <c r="R306" t="e">
        <f>#REF!</f>
        <v>#REF!</v>
      </c>
      <c r="S306" t="e">
        <f>#REF!</f>
        <v>#REF!</v>
      </c>
      <c r="T306" t="e">
        <f>#REF!</f>
        <v>#REF!</v>
      </c>
      <c r="U306" t="e">
        <f>#REF!</f>
        <v>#REF!</v>
      </c>
      <c r="V306" t="e">
        <f>#REF!</f>
        <v>#REF!</v>
      </c>
      <c r="W306" t="e">
        <f>#REF!</f>
        <v>#REF!</v>
      </c>
      <c r="X306" t="e">
        <f>#REF!</f>
        <v>#REF!</v>
      </c>
      <c r="Y306" t="e">
        <f>#REF!</f>
        <v>#REF!</v>
      </c>
      <c r="Z306" t="e">
        <f>#REF!</f>
        <v>#REF!</v>
      </c>
      <c r="AA306" t="e">
        <f>#REF!</f>
        <v>#REF!</v>
      </c>
      <c r="AB306" t="e">
        <f>#REF!</f>
        <v>#REF!</v>
      </c>
      <c r="AC306" t="e">
        <f>#REF!</f>
        <v>#REF!</v>
      </c>
      <c r="AD306" t="e">
        <f>#REF!</f>
        <v>#REF!</v>
      </c>
      <c r="AE306" t="e">
        <f>#REF!</f>
        <v>#REF!</v>
      </c>
      <c r="AF306" t="e">
        <f>#REF!</f>
        <v>#REF!</v>
      </c>
      <c r="AG306" t="e">
        <f>#REF!</f>
        <v>#REF!</v>
      </c>
      <c r="AH306" t="e">
        <f>#REF!</f>
        <v>#REF!</v>
      </c>
      <c r="AI306" t="e">
        <f>#REF!</f>
        <v>#REF!</v>
      </c>
      <c r="AO306" s="159" t="e">
        <f>IF(#REF!="",0,#REF!)</f>
        <v>#REF!</v>
      </c>
      <c r="AP306" s="160" t="e">
        <f t="shared" si="9"/>
        <v>#REF!</v>
      </c>
    </row>
    <row r="307" spans="2:42" x14ac:dyDescent="0.25">
      <c r="AP307" s="161"/>
    </row>
    <row r="308" spans="2:42" x14ac:dyDescent="0.25">
      <c r="AP308" s="161"/>
    </row>
    <row r="309" spans="2:42" x14ac:dyDescent="0.25">
      <c r="AP309" s="161"/>
    </row>
    <row r="310" spans="2:42" x14ac:dyDescent="0.25">
      <c r="AP310" s="161"/>
    </row>
    <row r="311" spans="2:42" x14ac:dyDescent="0.25">
      <c r="B311" t="e">
        <f>#REF!</f>
        <v>#REF!</v>
      </c>
      <c r="C311" t="e">
        <f>#REF!</f>
        <v>#REF!</v>
      </c>
      <c r="D311" t="e">
        <f>#REF!</f>
        <v>#REF!</v>
      </c>
      <c r="E311" s="14" t="e">
        <f>#REF!</f>
        <v>#REF!</v>
      </c>
      <c r="F311" t="e">
        <f>#REF!</f>
        <v>#REF!</v>
      </c>
      <c r="G311" t="e">
        <f>#REF!</f>
        <v>#REF!</v>
      </c>
      <c r="H311" t="e">
        <f>#REF!</f>
        <v>#REF!</v>
      </c>
      <c r="I311" t="e">
        <f>#REF!</f>
        <v>#REF!</v>
      </c>
      <c r="J311" t="e">
        <f>#REF!</f>
        <v>#REF!</v>
      </c>
      <c r="K311" t="e">
        <f>#REF!</f>
        <v>#REF!</v>
      </c>
      <c r="L311" t="e">
        <f>#REF!</f>
        <v>#REF!</v>
      </c>
      <c r="M311" t="e">
        <f>#REF!</f>
        <v>#REF!</v>
      </c>
      <c r="N311" t="e">
        <f>#REF!</f>
        <v>#REF!</v>
      </c>
      <c r="O311" t="e">
        <f>#REF!</f>
        <v>#REF!</v>
      </c>
      <c r="P311" t="e">
        <f>#REF!</f>
        <v>#REF!</v>
      </c>
      <c r="Q311" t="e">
        <f>#REF!</f>
        <v>#REF!</v>
      </c>
      <c r="R311" t="e">
        <f>#REF!</f>
        <v>#REF!</v>
      </c>
      <c r="S311" t="e">
        <f>#REF!</f>
        <v>#REF!</v>
      </c>
      <c r="T311" t="e">
        <f>#REF!</f>
        <v>#REF!</v>
      </c>
      <c r="U311" t="e">
        <f>#REF!</f>
        <v>#REF!</v>
      </c>
      <c r="V311" t="e">
        <f>#REF!</f>
        <v>#REF!</v>
      </c>
      <c r="W311" t="e">
        <f>#REF!</f>
        <v>#REF!</v>
      </c>
      <c r="X311" t="e">
        <f>#REF!</f>
        <v>#REF!</v>
      </c>
      <c r="Y311" t="e">
        <f>#REF!</f>
        <v>#REF!</v>
      </c>
      <c r="Z311" t="e">
        <f>#REF!</f>
        <v>#REF!</v>
      </c>
      <c r="AA311" t="e">
        <f>#REF!</f>
        <v>#REF!</v>
      </c>
      <c r="AB311" t="e">
        <f>#REF!</f>
        <v>#REF!</v>
      </c>
      <c r="AC311" t="e">
        <f>#REF!</f>
        <v>#REF!</v>
      </c>
      <c r="AD311" t="e">
        <f>#REF!</f>
        <v>#REF!</v>
      </c>
      <c r="AE311" t="e">
        <f>#REF!</f>
        <v>#REF!</v>
      </c>
      <c r="AF311" t="e">
        <f>#REF!</f>
        <v>#REF!</v>
      </c>
      <c r="AG311" t="e">
        <f>#REF!</f>
        <v>#REF!</v>
      </c>
      <c r="AH311" t="e">
        <f>#REF!</f>
        <v>#REF!</v>
      </c>
      <c r="AI311" t="e">
        <f>#REF!</f>
        <v>#REF!</v>
      </c>
      <c r="AO311" s="159" t="e">
        <f>IF(#REF!="",0,#REF!)</f>
        <v>#REF!</v>
      </c>
      <c r="AP311" s="160" t="e">
        <f t="shared" ref="AP311:AP340" si="10">SUM(F311:AI311)-AO311</f>
        <v>#REF!</v>
      </c>
    </row>
    <row r="312" spans="2:42" x14ac:dyDescent="0.25">
      <c r="B312" t="e">
        <f>#REF!</f>
        <v>#REF!</v>
      </c>
      <c r="C312" t="e">
        <f>#REF!</f>
        <v>#REF!</v>
      </c>
      <c r="D312" t="e">
        <f>#REF!</f>
        <v>#REF!</v>
      </c>
      <c r="E312" s="14" t="e">
        <f>#REF!</f>
        <v>#REF!</v>
      </c>
      <c r="F312" t="e">
        <f>#REF!</f>
        <v>#REF!</v>
      </c>
      <c r="G312" t="e">
        <f>#REF!</f>
        <v>#REF!</v>
      </c>
      <c r="H312" t="e">
        <f>#REF!</f>
        <v>#REF!</v>
      </c>
      <c r="I312" t="e">
        <f>#REF!</f>
        <v>#REF!</v>
      </c>
      <c r="J312" t="e">
        <f>#REF!</f>
        <v>#REF!</v>
      </c>
      <c r="K312" t="e">
        <f>#REF!</f>
        <v>#REF!</v>
      </c>
      <c r="L312" t="e">
        <f>#REF!</f>
        <v>#REF!</v>
      </c>
      <c r="M312" t="e">
        <f>#REF!</f>
        <v>#REF!</v>
      </c>
      <c r="N312" t="e">
        <f>#REF!</f>
        <v>#REF!</v>
      </c>
      <c r="O312" t="e">
        <f>#REF!</f>
        <v>#REF!</v>
      </c>
      <c r="P312" t="e">
        <f>#REF!</f>
        <v>#REF!</v>
      </c>
      <c r="Q312" t="e">
        <f>#REF!</f>
        <v>#REF!</v>
      </c>
      <c r="R312" t="e">
        <f>#REF!</f>
        <v>#REF!</v>
      </c>
      <c r="S312" t="e">
        <f>#REF!</f>
        <v>#REF!</v>
      </c>
      <c r="T312" t="e">
        <f>#REF!</f>
        <v>#REF!</v>
      </c>
      <c r="U312" t="e">
        <f>#REF!</f>
        <v>#REF!</v>
      </c>
      <c r="V312" t="e">
        <f>#REF!</f>
        <v>#REF!</v>
      </c>
      <c r="W312" t="e">
        <f>#REF!</f>
        <v>#REF!</v>
      </c>
      <c r="X312" t="e">
        <f>#REF!</f>
        <v>#REF!</v>
      </c>
      <c r="Y312" t="e">
        <f>#REF!</f>
        <v>#REF!</v>
      </c>
      <c r="Z312" t="e">
        <f>#REF!</f>
        <v>#REF!</v>
      </c>
      <c r="AA312" t="e">
        <f>#REF!</f>
        <v>#REF!</v>
      </c>
      <c r="AB312" t="e">
        <f>#REF!</f>
        <v>#REF!</v>
      </c>
      <c r="AC312" t="e">
        <f>#REF!</f>
        <v>#REF!</v>
      </c>
      <c r="AD312" t="e">
        <f>#REF!</f>
        <v>#REF!</v>
      </c>
      <c r="AE312" t="e">
        <f>#REF!</f>
        <v>#REF!</v>
      </c>
      <c r="AF312" t="e">
        <f>#REF!</f>
        <v>#REF!</v>
      </c>
      <c r="AG312" t="e">
        <f>#REF!</f>
        <v>#REF!</v>
      </c>
      <c r="AH312" t="e">
        <f>#REF!</f>
        <v>#REF!</v>
      </c>
      <c r="AI312" t="e">
        <f>#REF!</f>
        <v>#REF!</v>
      </c>
      <c r="AO312" s="159" t="e">
        <f>IF(#REF!="",0,#REF!)</f>
        <v>#REF!</v>
      </c>
      <c r="AP312" s="160" t="e">
        <f t="shared" si="10"/>
        <v>#REF!</v>
      </c>
    </row>
    <row r="313" spans="2:42" x14ac:dyDescent="0.25">
      <c r="B313" t="e">
        <f>#REF!</f>
        <v>#REF!</v>
      </c>
      <c r="C313" t="e">
        <f>#REF!</f>
        <v>#REF!</v>
      </c>
      <c r="D313" t="e">
        <f>#REF!</f>
        <v>#REF!</v>
      </c>
      <c r="E313" s="14" t="e">
        <f>#REF!</f>
        <v>#REF!</v>
      </c>
      <c r="F313" t="e">
        <f>#REF!</f>
        <v>#REF!</v>
      </c>
      <c r="G313" t="e">
        <f>#REF!</f>
        <v>#REF!</v>
      </c>
      <c r="H313" t="e">
        <f>#REF!</f>
        <v>#REF!</v>
      </c>
      <c r="I313" t="e">
        <f>#REF!</f>
        <v>#REF!</v>
      </c>
      <c r="J313" t="e">
        <f>#REF!</f>
        <v>#REF!</v>
      </c>
      <c r="K313" t="e">
        <f>#REF!</f>
        <v>#REF!</v>
      </c>
      <c r="L313" t="e">
        <f>#REF!</f>
        <v>#REF!</v>
      </c>
      <c r="M313" t="e">
        <f>#REF!</f>
        <v>#REF!</v>
      </c>
      <c r="N313" t="e">
        <f>#REF!</f>
        <v>#REF!</v>
      </c>
      <c r="O313" t="e">
        <f>#REF!</f>
        <v>#REF!</v>
      </c>
      <c r="P313" t="e">
        <f>#REF!</f>
        <v>#REF!</v>
      </c>
      <c r="Q313" t="e">
        <f>#REF!</f>
        <v>#REF!</v>
      </c>
      <c r="R313" t="e">
        <f>#REF!</f>
        <v>#REF!</v>
      </c>
      <c r="S313" t="e">
        <f>#REF!</f>
        <v>#REF!</v>
      </c>
      <c r="T313" t="e">
        <f>#REF!</f>
        <v>#REF!</v>
      </c>
      <c r="U313" t="e">
        <f>#REF!</f>
        <v>#REF!</v>
      </c>
      <c r="V313" t="e">
        <f>#REF!</f>
        <v>#REF!</v>
      </c>
      <c r="W313" t="e">
        <f>#REF!</f>
        <v>#REF!</v>
      </c>
      <c r="X313" t="e">
        <f>#REF!</f>
        <v>#REF!</v>
      </c>
      <c r="Y313" t="e">
        <f>#REF!</f>
        <v>#REF!</v>
      </c>
      <c r="Z313" t="e">
        <f>#REF!</f>
        <v>#REF!</v>
      </c>
      <c r="AA313" t="e">
        <f>#REF!</f>
        <v>#REF!</v>
      </c>
      <c r="AB313" t="e">
        <f>#REF!</f>
        <v>#REF!</v>
      </c>
      <c r="AC313" t="e">
        <f>#REF!</f>
        <v>#REF!</v>
      </c>
      <c r="AD313" t="e">
        <f>#REF!</f>
        <v>#REF!</v>
      </c>
      <c r="AE313" t="e">
        <f>#REF!</f>
        <v>#REF!</v>
      </c>
      <c r="AF313" t="e">
        <f>#REF!</f>
        <v>#REF!</v>
      </c>
      <c r="AG313" t="e">
        <f>#REF!</f>
        <v>#REF!</v>
      </c>
      <c r="AH313" t="e">
        <f>#REF!</f>
        <v>#REF!</v>
      </c>
      <c r="AI313" t="e">
        <f>#REF!</f>
        <v>#REF!</v>
      </c>
      <c r="AO313" s="159" t="e">
        <f>IF(#REF!="",0,#REF!)</f>
        <v>#REF!</v>
      </c>
      <c r="AP313" s="160" t="e">
        <f t="shared" si="10"/>
        <v>#REF!</v>
      </c>
    </row>
    <row r="314" spans="2:42" x14ac:dyDescent="0.25">
      <c r="B314" t="e">
        <f>#REF!</f>
        <v>#REF!</v>
      </c>
      <c r="C314" t="e">
        <f>#REF!</f>
        <v>#REF!</v>
      </c>
      <c r="D314" t="e">
        <f>#REF!</f>
        <v>#REF!</v>
      </c>
      <c r="E314" s="14" t="e">
        <f>#REF!</f>
        <v>#REF!</v>
      </c>
      <c r="F314" t="e">
        <f>#REF!</f>
        <v>#REF!</v>
      </c>
      <c r="G314" t="e">
        <f>#REF!</f>
        <v>#REF!</v>
      </c>
      <c r="H314" t="e">
        <f>#REF!</f>
        <v>#REF!</v>
      </c>
      <c r="I314" t="e">
        <f>#REF!</f>
        <v>#REF!</v>
      </c>
      <c r="J314" t="e">
        <f>#REF!</f>
        <v>#REF!</v>
      </c>
      <c r="K314" t="e">
        <f>#REF!</f>
        <v>#REF!</v>
      </c>
      <c r="L314" t="e">
        <f>#REF!</f>
        <v>#REF!</v>
      </c>
      <c r="M314" t="e">
        <f>#REF!</f>
        <v>#REF!</v>
      </c>
      <c r="N314" t="e">
        <f>#REF!</f>
        <v>#REF!</v>
      </c>
      <c r="O314" t="e">
        <f>#REF!</f>
        <v>#REF!</v>
      </c>
      <c r="P314" t="e">
        <f>#REF!</f>
        <v>#REF!</v>
      </c>
      <c r="Q314" t="e">
        <f>#REF!</f>
        <v>#REF!</v>
      </c>
      <c r="R314" t="e">
        <f>#REF!</f>
        <v>#REF!</v>
      </c>
      <c r="S314" t="e">
        <f>#REF!</f>
        <v>#REF!</v>
      </c>
      <c r="T314" t="e">
        <f>#REF!</f>
        <v>#REF!</v>
      </c>
      <c r="U314" t="e">
        <f>#REF!</f>
        <v>#REF!</v>
      </c>
      <c r="V314" t="e">
        <f>#REF!</f>
        <v>#REF!</v>
      </c>
      <c r="W314" t="e">
        <f>#REF!</f>
        <v>#REF!</v>
      </c>
      <c r="X314" t="e">
        <f>#REF!</f>
        <v>#REF!</v>
      </c>
      <c r="Y314" t="e">
        <f>#REF!</f>
        <v>#REF!</v>
      </c>
      <c r="Z314" t="e">
        <f>#REF!</f>
        <v>#REF!</v>
      </c>
      <c r="AA314" t="e">
        <f>#REF!</f>
        <v>#REF!</v>
      </c>
      <c r="AB314" t="e">
        <f>#REF!</f>
        <v>#REF!</v>
      </c>
      <c r="AC314" t="e">
        <f>#REF!</f>
        <v>#REF!</v>
      </c>
      <c r="AD314" t="e">
        <f>#REF!</f>
        <v>#REF!</v>
      </c>
      <c r="AE314" t="e">
        <f>#REF!</f>
        <v>#REF!</v>
      </c>
      <c r="AF314" t="e">
        <f>#REF!</f>
        <v>#REF!</v>
      </c>
      <c r="AG314" t="e">
        <f>#REF!</f>
        <v>#REF!</v>
      </c>
      <c r="AH314" t="e">
        <f>#REF!</f>
        <v>#REF!</v>
      </c>
      <c r="AI314" t="e">
        <f>#REF!</f>
        <v>#REF!</v>
      </c>
      <c r="AO314" s="159" t="e">
        <f>IF(#REF!="",0,#REF!)</f>
        <v>#REF!</v>
      </c>
      <c r="AP314" s="160" t="e">
        <f t="shared" si="10"/>
        <v>#REF!</v>
      </c>
    </row>
    <row r="315" spans="2:42" x14ac:dyDescent="0.25">
      <c r="B315" t="e">
        <f>#REF!</f>
        <v>#REF!</v>
      </c>
      <c r="C315" t="e">
        <f>#REF!</f>
        <v>#REF!</v>
      </c>
      <c r="D315" t="e">
        <f>#REF!</f>
        <v>#REF!</v>
      </c>
      <c r="E315" s="14" t="e">
        <f>#REF!</f>
        <v>#REF!</v>
      </c>
      <c r="F315" t="e">
        <f>#REF!</f>
        <v>#REF!</v>
      </c>
      <c r="G315" t="e">
        <f>#REF!</f>
        <v>#REF!</v>
      </c>
      <c r="H315" t="e">
        <f>#REF!</f>
        <v>#REF!</v>
      </c>
      <c r="I315" t="e">
        <f>#REF!</f>
        <v>#REF!</v>
      </c>
      <c r="J315" t="e">
        <f>#REF!</f>
        <v>#REF!</v>
      </c>
      <c r="K315" t="e">
        <f>#REF!</f>
        <v>#REF!</v>
      </c>
      <c r="L315" t="e">
        <f>#REF!</f>
        <v>#REF!</v>
      </c>
      <c r="M315" t="e">
        <f>#REF!</f>
        <v>#REF!</v>
      </c>
      <c r="N315" t="e">
        <f>#REF!</f>
        <v>#REF!</v>
      </c>
      <c r="O315" t="e">
        <f>#REF!</f>
        <v>#REF!</v>
      </c>
      <c r="P315" t="e">
        <f>#REF!</f>
        <v>#REF!</v>
      </c>
      <c r="Q315" t="e">
        <f>#REF!</f>
        <v>#REF!</v>
      </c>
      <c r="R315" t="e">
        <f>#REF!</f>
        <v>#REF!</v>
      </c>
      <c r="S315" t="e">
        <f>#REF!</f>
        <v>#REF!</v>
      </c>
      <c r="T315" t="e">
        <f>#REF!</f>
        <v>#REF!</v>
      </c>
      <c r="U315" t="e">
        <f>#REF!</f>
        <v>#REF!</v>
      </c>
      <c r="V315" t="e">
        <f>#REF!</f>
        <v>#REF!</v>
      </c>
      <c r="W315" t="e">
        <f>#REF!</f>
        <v>#REF!</v>
      </c>
      <c r="X315" t="e">
        <f>#REF!</f>
        <v>#REF!</v>
      </c>
      <c r="Y315" t="e">
        <f>#REF!</f>
        <v>#REF!</v>
      </c>
      <c r="Z315" t="e">
        <f>#REF!</f>
        <v>#REF!</v>
      </c>
      <c r="AA315" t="e">
        <f>#REF!</f>
        <v>#REF!</v>
      </c>
      <c r="AB315" t="e">
        <f>#REF!</f>
        <v>#REF!</v>
      </c>
      <c r="AC315" t="e">
        <f>#REF!</f>
        <v>#REF!</v>
      </c>
      <c r="AD315" t="e">
        <f>#REF!</f>
        <v>#REF!</v>
      </c>
      <c r="AE315" t="e">
        <f>#REF!</f>
        <v>#REF!</v>
      </c>
      <c r="AF315" t="e">
        <f>#REF!</f>
        <v>#REF!</v>
      </c>
      <c r="AG315" t="e">
        <f>#REF!</f>
        <v>#REF!</v>
      </c>
      <c r="AH315" t="e">
        <f>#REF!</f>
        <v>#REF!</v>
      </c>
      <c r="AI315" t="e">
        <f>#REF!</f>
        <v>#REF!</v>
      </c>
      <c r="AO315" s="159" t="e">
        <f>IF(#REF!="",0,#REF!)</f>
        <v>#REF!</v>
      </c>
      <c r="AP315" s="160" t="e">
        <f t="shared" si="10"/>
        <v>#REF!</v>
      </c>
    </row>
    <row r="316" spans="2:42" x14ac:dyDescent="0.25">
      <c r="B316" t="e">
        <f>#REF!</f>
        <v>#REF!</v>
      </c>
      <c r="C316" t="e">
        <f>#REF!</f>
        <v>#REF!</v>
      </c>
      <c r="D316" t="e">
        <f>#REF!</f>
        <v>#REF!</v>
      </c>
      <c r="E316" s="14" t="e">
        <f>#REF!</f>
        <v>#REF!</v>
      </c>
      <c r="F316" t="e">
        <f>#REF!</f>
        <v>#REF!</v>
      </c>
      <c r="G316" t="e">
        <f>#REF!</f>
        <v>#REF!</v>
      </c>
      <c r="H316" t="e">
        <f>#REF!</f>
        <v>#REF!</v>
      </c>
      <c r="I316" t="e">
        <f>#REF!</f>
        <v>#REF!</v>
      </c>
      <c r="J316" t="e">
        <f>#REF!</f>
        <v>#REF!</v>
      </c>
      <c r="K316" t="e">
        <f>#REF!</f>
        <v>#REF!</v>
      </c>
      <c r="L316" t="e">
        <f>#REF!</f>
        <v>#REF!</v>
      </c>
      <c r="M316" t="e">
        <f>#REF!</f>
        <v>#REF!</v>
      </c>
      <c r="N316" t="e">
        <f>#REF!</f>
        <v>#REF!</v>
      </c>
      <c r="O316" t="e">
        <f>#REF!</f>
        <v>#REF!</v>
      </c>
      <c r="P316" t="e">
        <f>#REF!</f>
        <v>#REF!</v>
      </c>
      <c r="Q316" t="e">
        <f>#REF!</f>
        <v>#REF!</v>
      </c>
      <c r="R316" t="e">
        <f>#REF!</f>
        <v>#REF!</v>
      </c>
      <c r="S316" t="e">
        <f>#REF!</f>
        <v>#REF!</v>
      </c>
      <c r="T316" t="e">
        <f>#REF!</f>
        <v>#REF!</v>
      </c>
      <c r="U316" t="e">
        <f>#REF!</f>
        <v>#REF!</v>
      </c>
      <c r="V316" t="e">
        <f>#REF!</f>
        <v>#REF!</v>
      </c>
      <c r="W316" t="e">
        <f>#REF!</f>
        <v>#REF!</v>
      </c>
      <c r="X316" t="e">
        <f>#REF!</f>
        <v>#REF!</v>
      </c>
      <c r="Y316" t="e">
        <f>#REF!</f>
        <v>#REF!</v>
      </c>
      <c r="Z316" t="e">
        <f>#REF!</f>
        <v>#REF!</v>
      </c>
      <c r="AA316" t="e">
        <f>#REF!</f>
        <v>#REF!</v>
      </c>
      <c r="AB316" t="e">
        <f>#REF!</f>
        <v>#REF!</v>
      </c>
      <c r="AC316" t="e">
        <f>#REF!</f>
        <v>#REF!</v>
      </c>
      <c r="AD316" t="e">
        <f>#REF!</f>
        <v>#REF!</v>
      </c>
      <c r="AE316" t="e">
        <f>#REF!</f>
        <v>#REF!</v>
      </c>
      <c r="AF316" t="e">
        <f>#REF!</f>
        <v>#REF!</v>
      </c>
      <c r="AG316" t="e">
        <f>#REF!</f>
        <v>#REF!</v>
      </c>
      <c r="AH316" t="e">
        <f>#REF!</f>
        <v>#REF!</v>
      </c>
      <c r="AI316" t="e">
        <f>#REF!</f>
        <v>#REF!</v>
      </c>
      <c r="AO316" s="159" t="e">
        <f>IF(#REF!="",0,#REF!)</f>
        <v>#REF!</v>
      </c>
      <c r="AP316" s="160" t="e">
        <f t="shared" si="10"/>
        <v>#REF!</v>
      </c>
    </row>
    <row r="317" spans="2:42" x14ac:dyDescent="0.25">
      <c r="B317" t="e">
        <f>#REF!</f>
        <v>#REF!</v>
      </c>
      <c r="C317" t="e">
        <f>#REF!</f>
        <v>#REF!</v>
      </c>
      <c r="D317" t="e">
        <f>#REF!</f>
        <v>#REF!</v>
      </c>
      <c r="E317" s="14" t="e">
        <f>#REF!</f>
        <v>#REF!</v>
      </c>
      <c r="F317" t="e">
        <f>#REF!</f>
        <v>#REF!</v>
      </c>
      <c r="G317" t="e">
        <f>#REF!</f>
        <v>#REF!</v>
      </c>
      <c r="H317" t="e">
        <f>#REF!</f>
        <v>#REF!</v>
      </c>
      <c r="I317" t="e">
        <f>#REF!</f>
        <v>#REF!</v>
      </c>
      <c r="J317" t="e">
        <f>#REF!</f>
        <v>#REF!</v>
      </c>
      <c r="K317" t="e">
        <f>#REF!</f>
        <v>#REF!</v>
      </c>
      <c r="L317" t="e">
        <f>#REF!</f>
        <v>#REF!</v>
      </c>
      <c r="M317" t="e">
        <f>#REF!</f>
        <v>#REF!</v>
      </c>
      <c r="N317" t="e">
        <f>#REF!</f>
        <v>#REF!</v>
      </c>
      <c r="O317" t="e">
        <f>#REF!</f>
        <v>#REF!</v>
      </c>
      <c r="P317" t="e">
        <f>#REF!</f>
        <v>#REF!</v>
      </c>
      <c r="Q317" t="e">
        <f>#REF!</f>
        <v>#REF!</v>
      </c>
      <c r="R317" t="e">
        <f>#REF!</f>
        <v>#REF!</v>
      </c>
      <c r="S317" t="e">
        <f>#REF!</f>
        <v>#REF!</v>
      </c>
      <c r="T317" t="e">
        <f>#REF!</f>
        <v>#REF!</v>
      </c>
      <c r="U317" t="e">
        <f>#REF!</f>
        <v>#REF!</v>
      </c>
      <c r="V317" t="e">
        <f>#REF!</f>
        <v>#REF!</v>
      </c>
      <c r="W317" t="e">
        <f>#REF!</f>
        <v>#REF!</v>
      </c>
      <c r="X317" t="e">
        <f>#REF!</f>
        <v>#REF!</v>
      </c>
      <c r="Y317" t="e">
        <f>#REF!</f>
        <v>#REF!</v>
      </c>
      <c r="Z317" t="e">
        <f>#REF!</f>
        <v>#REF!</v>
      </c>
      <c r="AA317" t="e">
        <f>#REF!</f>
        <v>#REF!</v>
      </c>
      <c r="AB317" t="e">
        <f>#REF!</f>
        <v>#REF!</v>
      </c>
      <c r="AC317" t="e">
        <f>#REF!</f>
        <v>#REF!</v>
      </c>
      <c r="AD317" t="e">
        <f>#REF!</f>
        <v>#REF!</v>
      </c>
      <c r="AE317" t="e">
        <f>#REF!</f>
        <v>#REF!</v>
      </c>
      <c r="AF317" t="e">
        <f>#REF!</f>
        <v>#REF!</v>
      </c>
      <c r="AG317" t="e">
        <f>#REF!</f>
        <v>#REF!</v>
      </c>
      <c r="AH317" t="e">
        <f>#REF!</f>
        <v>#REF!</v>
      </c>
      <c r="AI317" t="e">
        <f>#REF!</f>
        <v>#REF!</v>
      </c>
      <c r="AO317" s="159" t="e">
        <f>IF(#REF!="",0,#REF!)</f>
        <v>#REF!</v>
      </c>
      <c r="AP317" s="160" t="e">
        <f t="shared" si="10"/>
        <v>#REF!</v>
      </c>
    </row>
    <row r="318" spans="2:42" x14ac:dyDescent="0.25">
      <c r="B318" t="e">
        <f>#REF!</f>
        <v>#REF!</v>
      </c>
      <c r="C318" t="e">
        <f>#REF!</f>
        <v>#REF!</v>
      </c>
      <c r="D318" t="e">
        <f>#REF!</f>
        <v>#REF!</v>
      </c>
      <c r="E318" s="14" t="e">
        <f>#REF!</f>
        <v>#REF!</v>
      </c>
      <c r="F318" t="e">
        <f>#REF!</f>
        <v>#REF!</v>
      </c>
      <c r="G318" t="e">
        <f>#REF!</f>
        <v>#REF!</v>
      </c>
      <c r="H318" t="e">
        <f>#REF!</f>
        <v>#REF!</v>
      </c>
      <c r="I318" t="e">
        <f>#REF!</f>
        <v>#REF!</v>
      </c>
      <c r="J318" t="e">
        <f>#REF!</f>
        <v>#REF!</v>
      </c>
      <c r="K318" t="e">
        <f>#REF!</f>
        <v>#REF!</v>
      </c>
      <c r="L318" t="e">
        <f>#REF!</f>
        <v>#REF!</v>
      </c>
      <c r="M318" t="e">
        <f>#REF!</f>
        <v>#REF!</v>
      </c>
      <c r="N318" t="e">
        <f>#REF!</f>
        <v>#REF!</v>
      </c>
      <c r="O318" t="e">
        <f>#REF!</f>
        <v>#REF!</v>
      </c>
      <c r="P318" t="e">
        <f>#REF!</f>
        <v>#REF!</v>
      </c>
      <c r="Q318" t="e">
        <f>#REF!</f>
        <v>#REF!</v>
      </c>
      <c r="R318" t="e">
        <f>#REF!</f>
        <v>#REF!</v>
      </c>
      <c r="S318" t="e">
        <f>#REF!</f>
        <v>#REF!</v>
      </c>
      <c r="T318" t="e">
        <f>#REF!</f>
        <v>#REF!</v>
      </c>
      <c r="U318" t="e">
        <f>#REF!</f>
        <v>#REF!</v>
      </c>
      <c r="V318" t="e">
        <f>#REF!</f>
        <v>#REF!</v>
      </c>
      <c r="W318" t="e">
        <f>#REF!</f>
        <v>#REF!</v>
      </c>
      <c r="X318" t="e">
        <f>#REF!</f>
        <v>#REF!</v>
      </c>
      <c r="Y318" t="e">
        <f>#REF!</f>
        <v>#REF!</v>
      </c>
      <c r="Z318" t="e">
        <f>#REF!</f>
        <v>#REF!</v>
      </c>
      <c r="AA318" t="e">
        <f>#REF!</f>
        <v>#REF!</v>
      </c>
      <c r="AB318" t="e">
        <f>#REF!</f>
        <v>#REF!</v>
      </c>
      <c r="AC318" t="e">
        <f>#REF!</f>
        <v>#REF!</v>
      </c>
      <c r="AD318" t="e">
        <f>#REF!</f>
        <v>#REF!</v>
      </c>
      <c r="AE318" t="e">
        <f>#REF!</f>
        <v>#REF!</v>
      </c>
      <c r="AF318" t="e">
        <f>#REF!</f>
        <v>#REF!</v>
      </c>
      <c r="AG318" t="e">
        <f>#REF!</f>
        <v>#REF!</v>
      </c>
      <c r="AH318" t="e">
        <f>#REF!</f>
        <v>#REF!</v>
      </c>
      <c r="AI318" t="e">
        <f>#REF!</f>
        <v>#REF!</v>
      </c>
      <c r="AO318" s="159" t="e">
        <f>IF(#REF!="",0,#REF!)</f>
        <v>#REF!</v>
      </c>
      <c r="AP318" s="160" t="e">
        <f t="shared" si="10"/>
        <v>#REF!</v>
      </c>
    </row>
    <row r="319" spans="2:42" x14ac:dyDescent="0.25">
      <c r="B319" t="e">
        <f>#REF!</f>
        <v>#REF!</v>
      </c>
      <c r="C319" t="e">
        <f>#REF!</f>
        <v>#REF!</v>
      </c>
      <c r="D319" t="e">
        <f>#REF!</f>
        <v>#REF!</v>
      </c>
      <c r="E319" s="14" t="e">
        <f>#REF!</f>
        <v>#REF!</v>
      </c>
      <c r="F319" t="e">
        <f>#REF!</f>
        <v>#REF!</v>
      </c>
      <c r="G319" t="e">
        <f>#REF!</f>
        <v>#REF!</v>
      </c>
      <c r="H319" t="e">
        <f>#REF!</f>
        <v>#REF!</v>
      </c>
      <c r="I319" t="e">
        <f>#REF!</f>
        <v>#REF!</v>
      </c>
      <c r="J319" t="e">
        <f>#REF!</f>
        <v>#REF!</v>
      </c>
      <c r="K319" t="e">
        <f>#REF!</f>
        <v>#REF!</v>
      </c>
      <c r="L319" t="e">
        <f>#REF!</f>
        <v>#REF!</v>
      </c>
      <c r="M319" t="e">
        <f>#REF!</f>
        <v>#REF!</v>
      </c>
      <c r="N319" t="e">
        <f>#REF!</f>
        <v>#REF!</v>
      </c>
      <c r="O319" t="e">
        <f>#REF!</f>
        <v>#REF!</v>
      </c>
      <c r="P319" t="e">
        <f>#REF!</f>
        <v>#REF!</v>
      </c>
      <c r="Q319" t="e">
        <f>#REF!</f>
        <v>#REF!</v>
      </c>
      <c r="R319" t="e">
        <f>#REF!</f>
        <v>#REF!</v>
      </c>
      <c r="S319" t="e">
        <f>#REF!</f>
        <v>#REF!</v>
      </c>
      <c r="T319" t="e">
        <f>#REF!</f>
        <v>#REF!</v>
      </c>
      <c r="U319" t="e">
        <f>#REF!</f>
        <v>#REF!</v>
      </c>
      <c r="V319" t="e">
        <f>#REF!</f>
        <v>#REF!</v>
      </c>
      <c r="W319" t="e">
        <f>#REF!</f>
        <v>#REF!</v>
      </c>
      <c r="X319" t="e">
        <f>#REF!</f>
        <v>#REF!</v>
      </c>
      <c r="Y319" t="e">
        <f>#REF!</f>
        <v>#REF!</v>
      </c>
      <c r="Z319" t="e">
        <f>#REF!</f>
        <v>#REF!</v>
      </c>
      <c r="AA319" t="e">
        <f>#REF!</f>
        <v>#REF!</v>
      </c>
      <c r="AB319" t="e">
        <f>#REF!</f>
        <v>#REF!</v>
      </c>
      <c r="AC319" t="e">
        <f>#REF!</f>
        <v>#REF!</v>
      </c>
      <c r="AD319" t="e">
        <f>#REF!</f>
        <v>#REF!</v>
      </c>
      <c r="AE319" t="e">
        <f>#REF!</f>
        <v>#REF!</v>
      </c>
      <c r="AF319" t="e">
        <f>#REF!</f>
        <v>#REF!</v>
      </c>
      <c r="AG319" t="e">
        <f>#REF!</f>
        <v>#REF!</v>
      </c>
      <c r="AH319" t="e">
        <f>#REF!</f>
        <v>#REF!</v>
      </c>
      <c r="AI319" t="e">
        <f>#REF!</f>
        <v>#REF!</v>
      </c>
      <c r="AO319" s="159" t="e">
        <f>IF(#REF!="",0,#REF!)</f>
        <v>#REF!</v>
      </c>
      <c r="AP319" s="160" t="e">
        <f t="shared" si="10"/>
        <v>#REF!</v>
      </c>
    </row>
    <row r="320" spans="2:42" x14ac:dyDescent="0.25">
      <c r="B320" t="e">
        <f>#REF!</f>
        <v>#REF!</v>
      </c>
      <c r="C320" t="e">
        <f>#REF!</f>
        <v>#REF!</v>
      </c>
      <c r="D320" t="e">
        <f>#REF!</f>
        <v>#REF!</v>
      </c>
      <c r="E320" s="14" t="e">
        <f>#REF!</f>
        <v>#REF!</v>
      </c>
      <c r="F320" t="e">
        <f>#REF!</f>
        <v>#REF!</v>
      </c>
      <c r="G320" t="e">
        <f>#REF!</f>
        <v>#REF!</v>
      </c>
      <c r="H320" t="e">
        <f>#REF!</f>
        <v>#REF!</v>
      </c>
      <c r="I320" t="e">
        <f>#REF!</f>
        <v>#REF!</v>
      </c>
      <c r="J320" t="e">
        <f>#REF!</f>
        <v>#REF!</v>
      </c>
      <c r="K320" t="e">
        <f>#REF!</f>
        <v>#REF!</v>
      </c>
      <c r="L320" t="e">
        <f>#REF!</f>
        <v>#REF!</v>
      </c>
      <c r="M320" t="e">
        <f>#REF!</f>
        <v>#REF!</v>
      </c>
      <c r="N320" t="e">
        <f>#REF!</f>
        <v>#REF!</v>
      </c>
      <c r="O320" t="e">
        <f>#REF!</f>
        <v>#REF!</v>
      </c>
      <c r="P320" t="e">
        <f>#REF!</f>
        <v>#REF!</v>
      </c>
      <c r="Q320" t="e">
        <f>#REF!</f>
        <v>#REF!</v>
      </c>
      <c r="R320" t="e">
        <f>#REF!</f>
        <v>#REF!</v>
      </c>
      <c r="S320" t="e">
        <f>#REF!</f>
        <v>#REF!</v>
      </c>
      <c r="T320" t="e">
        <f>#REF!</f>
        <v>#REF!</v>
      </c>
      <c r="U320" t="e">
        <f>#REF!</f>
        <v>#REF!</v>
      </c>
      <c r="V320" t="e">
        <f>#REF!</f>
        <v>#REF!</v>
      </c>
      <c r="W320" t="e">
        <f>#REF!</f>
        <v>#REF!</v>
      </c>
      <c r="X320" t="e">
        <f>#REF!</f>
        <v>#REF!</v>
      </c>
      <c r="Y320" t="e">
        <f>#REF!</f>
        <v>#REF!</v>
      </c>
      <c r="Z320" t="e">
        <f>#REF!</f>
        <v>#REF!</v>
      </c>
      <c r="AA320" t="e">
        <f>#REF!</f>
        <v>#REF!</v>
      </c>
      <c r="AB320" t="e">
        <f>#REF!</f>
        <v>#REF!</v>
      </c>
      <c r="AC320" t="e">
        <f>#REF!</f>
        <v>#REF!</v>
      </c>
      <c r="AD320" t="e">
        <f>#REF!</f>
        <v>#REF!</v>
      </c>
      <c r="AE320" t="e">
        <f>#REF!</f>
        <v>#REF!</v>
      </c>
      <c r="AF320" t="e">
        <f>#REF!</f>
        <v>#REF!</v>
      </c>
      <c r="AG320" t="e">
        <f>#REF!</f>
        <v>#REF!</v>
      </c>
      <c r="AH320" t="e">
        <f>#REF!</f>
        <v>#REF!</v>
      </c>
      <c r="AI320" t="e">
        <f>#REF!</f>
        <v>#REF!</v>
      </c>
      <c r="AO320" s="159" t="e">
        <f>IF(#REF!="",0,#REF!)</f>
        <v>#REF!</v>
      </c>
      <c r="AP320" s="160" t="e">
        <f t="shared" si="10"/>
        <v>#REF!</v>
      </c>
    </row>
    <row r="321" spans="2:42" x14ac:dyDescent="0.25">
      <c r="B321" t="e">
        <f>#REF!</f>
        <v>#REF!</v>
      </c>
      <c r="C321" t="e">
        <f>#REF!</f>
        <v>#REF!</v>
      </c>
      <c r="D321" t="e">
        <f>#REF!</f>
        <v>#REF!</v>
      </c>
      <c r="E321" s="14" t="e">
        <f>#REF!</f>
        <v>#REF!</v>
      </c>
      <c r="F321" t="e">
        <f>#REF!</f>
        <v>#REF!</v>
      </c>
      <c r="G321" t="e">
        <f>#REF!</f>
        <v>#REF!</v>
      </c>
      <c r="H321" t="e">
        <f>#REF!</f>
        <v>#REF!</v>
      </c>
      <c r="I321" t="e">
        <f>#REF!</f>
        <v>#REF!</v>
      </c>
      <c r="J321" t="e">
        <f>#REF!</f>
        <v>#REF!</v>
      </c>
      <c r="K321" t="e">
        <f>#REF!</f>
        <v>#REF!</v>
      </c>
      <c r="L321" t="e">
        <f>#REF!</f>
        <v>#REF!</v>
      </c>
      <c r="M321" t="e">
        <f>#REF!</f>
        <v>#REF!</v>
      </c>
      <c r="N321" t="e">
        <f>#REF!</f>
        <v>#REF!</v>
      </c>
      <c r="O321" t="e">
        <f>#REF!</f>
        <v>#REF!</v>
      </c>
      <c r="P321" t="e">
        <f>#REF!</f>
        <v>#REF!</v>
      </c>
      <c r="Q321" t="e">
        <f>#REF!</f>
        <v>#REF!</v>
      </c>
      <c r="R321" t="e">
        <f>#REF!</f>
        <v>#REF!</v>
      </c>
      <c r="S321" t="e">
        <f>#REF!</f>
        <v>#REF!</v>
      </c>
      <c r="T321" t="e">
        <f>#REF!</f>
        <v>#REF!</v>
      </c>
      <c r="U321" t="e">
        <f>#REF!</f>
        <v>#REF!</v>
      </c>
      <c r="V321" t="e">
        <f>#REF!</f>
        <v>#REF!</v>
      </c>
      <c r="W321" t="e">
        <f>#REF!</f>
        <v>#REF!</v>
      </c>
      <c r="X321" t="e">
        <f>#REF!</f>
        <v>#REF!</v>
      </c>
      <c r="Y321" t="e">
        <f>#REF!</f>
        <v>#REF!</v>
      </c>
      <c r="Z321" t="e">
        <f>#REF!</f>
        <v>#REF!</v>
      </c>
      <c r="AA321" t="e">
        <f>#REF!</f>
        <v>#REF!</v>
      </c>
      <c r="AB321" t="e">
        <f>#REF!</f>
        <v>#REF!</v>
      </c>
      <c r="AC321" t="e">
        <f>#REF!</f>
        <v>#REF!</v>
      </c>
      <c r="AD321" t="e">
        <f>#REF!</f>
        <v>#REF!</v>
      </c>
      <c r="AE321" t="e">
        <f>#REF!</f>
        <v>#REF!</v>
      </c>
      <c r="AF321" t="e">
        <f>#REF!</f>
        <v>#REF!</v>
      </c>
      <c r="AG321" t="e">
        <f>#REF!</f>
        <v>#REF!</v>
      </c>
      <c r="AH321" t="e">
        <f>#REF!</f>
        <v>#REF!</v>
      </c>
      <c r="AI321" t="e">
        <f>#REF!</f>
        <v>#REF!</v>
      </c>
      <c r="AO321" s="159" t="e">
        <f>IF(#REF!="",0,#REF!)</f>
        <v>#REF!</v>
      </c>
      <c r="AP321" s="160" t="e">
        <f t="shared" si="10"/>
        <v>#REF!</v>
      </c>
    </row>
    <row r="322" spans="2:42" x14ac:dyDescent="0.25">
      <c r="B322" t="e">
        <f>#REF!</f>
        <v>#REF!</v>
      </c>
      <c r="C322" t="e">
        <f>#REF!</f>
        <v>#REF!</v>
      </c>
      <c r="D322" t="e">
        <f>#REF!</f>
        <v>#REF!</v>
      </c>
      <c r="E322" s="14" t="e">
        <f>#REF!</f>
        <v>#REF!</v>
      </c>
      <c r="F322" t="e">
        <f>#REF!</f>
        <v>#REF!</v>
      </c>
      <c r="G322" t="e">
        <f>#REF!</f>
        <v>#REF!</v>
      </c>
      <c r="H322" t="e">
        <f>#REF!</f>
        <v>#REF!</v>
      </c>
      <c r="I322" t="e">
        <f>#REF!</f>
        <v>#REF!</v>
      </c>
      <c r="J322" t="e">
        <f>#REF!</f>
        <v>#REF!</v>
      </c>
      <c r="K322" t="e">
        <f>#REF!</f>
        <v>#REF!</v>
      </c>
      <c r="L322" t="e">
        <f>#REF!</f>
        <v>#REF!</v>
      </c>
      <c r="M322" t="e">
        <f>#REF!</f>
        <v>#REF!</v>
      </c>
      <c r="N322" t="e">
        <f>#REF!</f>
        <v>#REF!</v>
      </c>
      <c r="O322" t="e">
        <f>#REF!</f>
        <v>#REF!</v>
      </c>
      <c r="P322" t="e">
        <f>#REF!</f>
        <v>#REF!</v>
      </c>
      <c r="Q322" t="e">
        <f>#REF!</f>
        <v>#REF!</v>
      </c>
      <c r="R322" t="e">
        <f>#REF!</f>
        <v>#REF!</v>
      </c>
      <c r="S322" t="e">
        <f>#REF!</f>
        <v>#REF!</v>
      </c>
      <c r="T322" t="e">
        <f>#REF!</f>
        <v>#REF!</v>
      </c>
      <c r="U322" t="e">
        <f>#REF!</f>
        <v>#REF!</v>
      </c>
      <c r="V322" t="e">
        <f>#REF!</f>
        <v>#REF!</v>
      </c>
      <c r="W322" t="e">
        <f>#REF!</f>
        <v>#REF!</v>
      </c>
      <c r="X322" t="e">
        <f>#REF!</f>
        <v>#REF!</v>
      </c>
      <c r="Y322" t="e">
        <f>#REF!</f>
        <v>#REF!</v>
      </c>
      <c r="Z322" t="e">
        <f>#REF!</f>
        <v>#REF!</v>
      </c>
      <c r="AA322" t="e">
        <f>#REF!</f>
        <v>#REF!</v>
      </c>
      <c r="AB322" t="e">
        <f>#REF!</f>
        <v>#REF!</v>
      </c>
      <c r="AC322" t="e">
        <f>#REF!</f>
        <v>#REF!</v>
      </c>
      <c r="AD322" t="e">
        <f>#REF!</f>
        <v>#REF!</v>
      </c>
      <c r="AE322" t="e">
        <f>#REF!</f>
        <v>#REF!</v>
      </c>
      <c r="AF322" t="e">
        <f>#REF!</f>
        <v>#REF!</v>
      </c>
      <c r="AG322" t="e">
        <f>#REF!</f>
        <v>#REF!</v>
      </c>
      <c r="AH322" t="e">
        <f>#REF!</f>
        <v>#REF!</v>
      </c>
      <c r="AI322" t="e">
        <f>#REF!</f>
        <v>#REF!</v>
      </c>
      <c r="AO322" s="159" t="e">
        <f>IF(#REF!="",0,#REF!)</f>
        <v>#REF!</v>
      </c>
      <c r="AP322" s="160" t="e">
        <f t="shared" si="10"/>
        <v>#REF!</v>
      </c>
    </row>
    <row r="323" spans="2:42" x14ac:dyDescent="0.25">
      <c r="B323" t="e">
        <f>#REF!</f>
        <v>#REF!</v>
      </c>
      <c r="C323" t="e">
        <f>#REF!</f>
        <v>#REF!</v>
      </c>
      <c r="D323" t="e">
        <f>#REF!</f>
        <v>#REF!</v>
      </c>
      <c r="E323" s="14" t="e">
        <f>#REF!</f>
        <v>#REF!</v>
      </c>
      <c r="F323" t="e">
        <f>#REF!</f>
        <v>#REF!</v>
      </c>
      <c r="G323" t="e">
        <f>#REF!</f>
        <v>#REF!</v>
      </c>
      <c r="H323" t="e">
        <f>#REF!</f>
        <v>#REF!</v>
      </c>
      <c r="I323" t="e">
        <f>#REF!</f>
        <v>#REF!</v>
      </c>
      <c r="J323" t="e">
        <f>#REF!</f>
        <v>#REF!</v>
      </c>
      <c r="K323" t="e">
        <f>#REF!</f>
        <v>#REF!</v>
      </c>
      <c r="L323" t="e">
        <f>#REF!</f>
        <v>#REF!</v>
      </c>
      <c r="M323" t="e">
        <f>#REF!</f>
        <v>#REF!</v>
      </c>
      <c r="N323" t="e">
        <f>#REF!</f>
        <v>#REF!</v>
      </c>
      <c r="O323" t="e">
        <f>#REF!</f>
        <v>#REF!</v>
      </c>
      <c r="P323" t="e">
        <f>#REF!</f>
        <v>#REF!</v>
      </c>
      <c r="Q323" t="e">
        <f>#REF!</f>
        <v>#REF!</v>
      </c>
      <c r="R323" t="e">
        <f>#REF!</f>
        <v>#REF!</v>
      </c>
      <c r="S323" t="e">
        <f>#REF!</f>
        <v>#REF!</v>
      </c>
      <c r="T323" t="e">
        <f>#REF!</f>
        <v>#REF!</v>
      </c>
      <c r="U323" t="e">
        <f>#REF!</f>
        <v>#REF!</v>
      </c>
      <c r="V323" t="e">
        <f>#REF!</f>
        <v>#REF!</v>
      </c>
      <c r="W323" t="e">
        <f>#REF!</f>
        <v>#REF!</v>
      </c>
      <c r="X323" t="e">
        <f>#REF!</f>
        <v>#REF!</v>
      </c>
      <c r="Y323" t="e">
        <f>#REF!</f>
        <v>#REF!</v>
      </c>
      <c r="Z323" t="e">
        <f>#REF!</f>
        <v>#REF!</v>
      </c>
      <c r="AA323" t="e">
        <f>#REF!</f>
        <v>#REF!</v>
      </c>
      <c r="AB323" t="e">
        <f>#REF!</f>
        <v>#REF!</v>
      </c>
      <c r="AC323" t="e">
        <f>#REF!</f>
        <v>#REF!</v>
      </c>
      <c r="AD323" t="e">
        <f>#REF!</f>
        <v>#REF!</v>
      </c>
      <c r="AE323" t="e">
        <f>#REF!</f>
        <v>#REF!</v>
      </c>
      <c r="AF323" t="e">
        <f>#REF!</f>
        <v>#REF!</v>
      </c>
      <c r="AG323" t="e">
        <f>#REF!</f>
        <v>#REF!</v>
      </c>
      <c r="AH323" t="e">
        <f>#REF!</f>
        <v>#REF!</v>
      </c>
      <c r="AI323" t="e">
        <f>#REF!</f>
        <v>#REF!</v>
      </c>
      <c r="AO323" s="159" t="e">
        <f>IF(#REF!="",0,#REF!)</f>
        <v>#REF!</v>
      </c>
      <c r="AP323" s="160" t="e">
        <f t="shared" si="10"/>
        <v>#REF!</v>
      </c>
    </row>
    <row r="324" spans="2:42" x14ac:dyDescent="0.25">
      <c r="B324" t="e">
        <f>#REF!</f>
        <v>#REF!</v>
      </c>
      <c r="C324" t="e">
        <f>#REF!</f>
        <v>#REF!</v>
      </c>
      <c r="D324" t="e">
        <f>#REF!</f>
        <v>#REF!</v>
      </c>
      <c r="E324" s="14" t="e">
        <f>#REF!</f>
        <v>#REF!</v>
      </c>
      <c r="F324" t="e">
        <f>#REF!</f>
        <v>#REF!</v>
      </c>
      <c r="G324" t="e">
        <f>#REF!</f>
        <v>#REF!</v>
      </c>
      <c r="H324" t="e">
        <f>#REF!</f>
        <v>#REF!</v>
      </c>
      <c r="I324" t="e">
        <f>#REF!</f>
        <v>#REF!</v>
      </c>
      <c r="J324" t="e">
        <f>#REF!</f>
        <v>#REF!</v>
      </c>
      <c r="K324" t="e">
        <f>#REF!</f>
        <v>#REF!</v>
      </c>
      <c r="L324" t="e">
        <f>#REF!</f>
        <v>#REF!</v>
      </c>
      <c r="M324" t="e">
        <f>#REF!</f>
        <v>#REF!</v>
      </c>
      <c r="N324" t="e">
        <f>#REF!</f>
        <v>#REF!</v>
      </c>
      <c r="O324" t="e">
        <f>#REF!</f>
        <v>#REF!</v>
      </c>
      <c r="P324" t="e">
        <f>#REF!</f>
        <v>#REF!</v>
      </c>
      <c r="Q324" t="e">
        <f>#REF!</f>
        <v>#REF!</v>
      </c>
      <c r="R324" t="e">
        <f>#REF!</f>
        <v>#REF!</v>
      </c>
      <c r="S324" t="e">
        <f>#REF!</f>
        <v>#REF!</v>
      </c>
      <c r="T324" t="e">
        <f>#REF!</f>
        <v>#REF!</v>
      </c>
      <c r="U324" t="e">
        <f>#REF!</f>
        <v>#REF!</v>
      </c>
      <c r="V324" t="e">
        <f>#REF!</f>
        <v>#REF!</v>
      </c>
      <c r="W324" t="e">
        <f>#REF!</f>
        <v>#REF!</v>
      </c>
      <c r="X324" t="e">
        <f>#REF!</f>
        <v>#REF!</v>
      </c>
      <c r="Y324" t="e">
        <f>#REF!</f>
        <v>#REF!</v>
      </c>
      <c r="Z324" t="e">
        <f>#REF!</f>
        <v>#REF!</v>
      </c>
      <c r="AA324" t="e">
        <f>#REF!</f>
        <v>#REF!</v>
      </c>
      <c r="AB324" t="e">
        <f>#REF!</f>
        <v>#REF!</v>
      </c>
      <c r="AC324" t="e">
        <f>#REF!</f>
        <v>#REF!</v>
      </c>
      <c r="AD324" t="e">
        <f>#REF!</f>
        <v>#REF!</v>
      </c>
      <c r="AE324" t="e">
        <f>#REF!</f>
        <v>#REF!</v>
      </c>
      <c r="AF324" t="e">
        <f>#REF!</f>
        <v>#REF!</v>
      </c>
      <c r="AG324" t="e">
        <f>#REF!</f>
        <v>#REF!</v>
      </c>
      <c r="AH324" t="e">
        <f>#REF!</f>
        <v>#REF!</v>
      </c>
      <c r="AI324" t="e">
        <f>#REF!</f>
        <v>#REF!</v>
      </c>
      <c r="AO324" s="159" t="e">
        <f>IF(#REF!="",0,#REF!)</f>
        <v>#REF!</v>
      </c>
      <c r="AP324" s="160" t="e">
        <f t="shared" si="10"/>
        <v>#REF!</v>
      </c>
    </row>
    <row r="325" spans="2:42" x14ac:dyDescent="0.25">
      <c r="B325" t="e">
        <f>#REF!</f>
        <v>#REF!</v>
      </c>
      <c r="C325" t="e">
        <f>#REF!</f>
        <v>#REF!</v>
      </c>
      <c r="D325" t="e">
        <f>#REF!</f>
        <v>#REF!</v>
      </c>
      <c r="E325" s="14" t="e">
        <f>#REF!</f>
        <v>#REF!</v>
      </c>
      <c r="F325" t="e">
        <f>#REF!</f>
        <v>#REF!</v>
      </c>
      <c r="G325" t="e">
        <f>#REF!</f>
        <v>#REF!</v>
      </c>
      <c r="H325" t="e">
        <f>#REF!</f>
        <v>#REF!</v>
      </c>
      <c r="I325" t="e">
        <f>#REF!</f>
        <v>#REF!</v>
      </c>
      <c r="J325" t="e">
        <f>#REF!</f>
        <v>#REF!</v>
      </c>
      <c r="K325" t="e">
        <f>#REF!</f>
        <v>#REF!</v>
      </c>
      <c r="L325" t="e">
        <f>#REF!</f>
        <v>#REF!</v>
      </c>
      <c r="M325" t="e">
        <f>#REF!</f>
        <v>#REF!</v>
      </c>
      <c r="N325" t="e">
        <f>#REF!</f>
        <v>#REF!</v>
      </c>
      <c r="O325" t="e">
        <f>#REF!</f>
        <v>#REF!</v>
      </c>
      <c r="P325" t="e">
        <f>#REF!</f>
        <v>#REF!</v>
      </c>
      <c r="Q325" t="e">
        <f>#REF!</f>
        <v>#REF!</v>
      </c>
      <c r="R325" t="e">
        <f>#REF!</f>
        <v>#REF!</v>
      </c>
      <c r="S325" t="e">
        <f>#REF!</f>
        <v>#REF!</v>
      </c>
      <c r="T325" t="e">
        <f>#REF!</f>
        <v>#REF!</v>
      </c>
      <c r="U325" t="e">
        <f>#REF!</f>
        <v>#REF!</v>
      </c>
      <c r="V325" t="e">
        <f>#REF!</f>
        <v>#REF!</v>
      </c>
      <c r="W325" t="e">
        <f>#REF!</f>
        <v>#REF!</v>
      </c>
      <c r="X325" t="e">
        <f>#REF!</f>
        <v>#REF!</v>
      </c>
      <c r="Y325" t="e">
        <f>#REF!</f>
        <v>#REF!</v>
      </c>
      <c r="Z325" t="e">
        <f>#REF!</f>
        <v>#REF!</v>
      </c>
      <c r="AA325" t="e">
        <f>#REF!</f>
        <v>#REF!</v>
      </c>
      <c r="AB325" t="e">
        <f>#REF!</f>
        <v>#REF!</v>
      </c>
      <c r="AC325" t="e">
        <f>#REF!</f>
        <v>#REF!</v>
      </c>
      <c r="AD325" t="e">
        <f>#REF!</f>
        <v>#REF!</v>
      </c>
      <c r="AE325" t="e">
        <f>#REF!</f>
        <v>#REF!</v>
      </c>
      <c r="AF325" t="e">
        <f>#REF!</f>
        <v>#REF!</v>
      </c>
      <c r="AG325" t="e">
        <f>#REF!</f>
        <v>#REF!</v>
      </c>
      <c r="AH325" t="e">
        <f>#REF!</f>
        <v>#REF!</v>
      </c>
      <c r="AI325" t="e">
        <f>#REF!</f>
        <v>#REF!</v>
      </c>
      <c r="AO325" s="159" t="e">
        <f>IF(#REF!="",0,#REF!)</f>
        <v>#REF!</v>
      </c>
      <c r="AP325" s="160" t="e">
        <f t="shared" si="10"/>
        <v>#REF!</v>
      </c>
    </row>
    <row r="326" spans="2:42" x14ac:dyDescent="0.25">
      <c r="B326" t="e">
        <f>#REF!</f>
        <v>#REF!</v>
      </c>
      <c r="C326" t="e">
        <f>#REF!</f>
        <v>#REF!</v>
      </c>
      <c r="D326" t="e">
        <f>#REF!</f>
        <v>#REF!</v>
      </c>
      <c r="E326" s="14" t="e">
        <f>#REF!</f>
        <v>#REF!</v>
      </c>
      <c r="F326" t="e">
        <f>#REF!</f>
        <v>#REF!</v>
      </c>
      <c r="G326" t="e">
        <f>#REF!</f>
        <v>#REF!</v>
      </c>
      <c r="H326" t="e">
        <f>#REF!</f>
        <v>#REF!</v>
      </c>
      <c r="I326" t="e">
        <f>#REF!</f>
        <v>#REF!</v>
      </c>
      <c r="J326" t="e">
        <f>#REF!</f>
        <v>#REF!</v>
      </c>
      <c r="K326" t="e">
        <f>#REF!</f>
        <v>#REF!</v>
      </c>
      <c r="L326" t="e">
        <f>#REF!</f>
        <v>#REF!</v>
      </c>
      <c r="M326" t="e">
        <f>#REF!</f>
        <v>#REF!</v>
      </c>
      <c r="N326" t="e">
        <f>#REF!</f>
        <v>#REF!</v>
      </c>
      <c r="O326" t="e">
        <f>#REF!</f>
        <v>#REF!</v>
      </c>
      <c r="P326" t="e">
        <f>#REF!</f>
        <v>#REF!</v>
      </c>
      <c r="Q326" t="e">
        <f>#REF!</f>
        <v>#REF!</v>
      </c>
      <c r="R326" t="e">
        <f>#REF!</f>
        <v>#REF!</v>
      </c>
      <c r="S326" t="e">
        <f>#REF!</f>
        <v>#REF!</v>
      </c>
      <c r="T326" t="e">
        <f>#REF!</f>
        <v>#REF!</v>
      </c>
      <c r="U326" t="e">
        <f>#REF!</f>
        <v>#REF!</v>
      </c>
      <c r="V326" t="e">
        <f>#REF!</f>
        <v>#REF!</v>
      </c>
      <c r="W326" t="e">
        <f>#REF!</f>
        <v>#REF!</v>
      </c>
      <c r="X326" t="e">
        <f>#REF!</f>
        <v>#REF!</v>
      </c>
      <c r="Y326" t="e">
        <f>#REF!</f>
        <v>#REF!</v>
      </c>
      <c r="Z326" t="e">
        <f>#REF!</f>
        <v>#REF!</v>
      </c>
      <c r="AA326" t="e">
        <f>#REF!</f>
        <v>#REF!</v>
      </c>
      <c r="AB326" t="e">
        <f>#REF!</f>
        <v>#REF!</v>
      </c>
      <c r="AC326" t="e">
        <f>#REF!</f>
        <v>#REF!</v>
      </c>
      <c r="AD326" t="e">
        <f>#REF!</f>
        <v>#REF!</v>
      </c>
      <c r="AE326" t="e">
        <f>#REF!</f>
        <v>#REF!</v>
      </c>
      <c r="AF326" t="e">
        <f>#REF!</f>
        <v>#REF!</v>
      </c>
      <c r="AG326" t="e">
        <f>#REF!</f>
        <v>#REF!</v>
      </c>
      <c r="AH326" t="e">
        <f>#REF!</f>
        <v>#REF!</v>
      </c>
      <c r="AI326" t="e">
        <f>#REF!</f>
        <v>#REF!</v>
      </c>
      <c r="AO326" s="159" t="e">
        <f>IF(#REF!="",0,#REF!)</f>
        <v>#REF!</v>
      </c>
      <c r="AP326" s="160" t="e">
        <f t="shared" si="10"/>
        <v>#REF!</v>
      </c>
    </row>
    <row r="327" spans="2:42" x14ac:dyDescent="0.25">
      <c r="B327" t="e">
        <f>#REF!</f>
        <v>#REF!</v>
      </c>
      <c r="C327" t="e">
        <f>#REF!</f>
        <v>#REF!</v>
      </c>
      <c r="D327" t="e">
        <f>#REF!</f>
        <v>#REF!</v>
      </c>
      <c r="E327" s="14" t="e">
        <f>#REF!</f>
        <v>#REF!</v>
      </c>
      <c r="F327" t="e">
        <f>#REF!</f>
        <v>#REF!</v>
      </c>
      <c r="G327" t="e">
        <f>#REF!</f>
        <v>#REF!</v>
      </c>
      <c r="H327" t="e">
        <f>#REF!</f>
        <v>#REF!</v>
      </c>
      <c r="I327" t="e">
        <f>#REF!</f>
        <v>#REF!</v>
      </c>
      <c r="J327" t="e">
        <f>#REF!</f>
        <v>#REF!</v>
      </c>
      <c r="K327" t="e">
        <f>#REF!</f>
        <v>#REF!</v>
      </c>
      <c r="L327" t="e">
        <f>#REF!</f>
        <v>#REF!</v>
      </c>
      <c r="M327" t="e">
        <f>#REF!</f>
        <v>#REF!</v>
      </c>
      <c r="N327" t="e">
        <f>#REF!</f>
        <v>#REF!</v>
      </c>
      <c r="O327" t="e">
        <f>#REF!</f>
        <v>#REF!</v>
      </c>
      <c r="P327" t="e">
        <f>#REF!</f>
        <v>#REF!</v>
      </c>
      <c r="Q327" t="e">
        <f>#REF!</f>
        <v>#REF!</v>
      </c>
      <c r="R327" t="e">
        <f>#REF!</f>
        <v>#REF!</v>
      </c>
      <c r="S327" t="e">
        <f>#REF!</f>
        <v>#REF!</v>
      </c>
      <c r="T327" t="e">
        <f>#REF!</f>
        <v>#REF!</v>
      </c>
      <c r="U327" t="e">
        <f>#REF!</f>
        <v>#REF!</v>
      </c>
      <c r="V327" t="e">
        <f>#REF!</f>
        <v>#REF!</v>
      </c>
      <c r="W327" t="e">
        <f>#REF!</f>
        <v>#REF!</v>
      </c>
      <c r="X327" t="e">
        <f>#REF!</f>
        <v>#REF!</v>
      </c>
      <c r="Y327" t="e">
        <f>#REF!</f>
        <v>#REF!</v>
      </c>
      <c r="Z327" t="e">
        <f>#REF!</f>
        <v>#REF!</v>
      </c>
      <c r="AA327" t="e">
        <f>#REF!</f>
        <v>#REF!</v>
      </c>
      <c r="AB327" t="e">
        <f>#REF!</f>
        <v>#REF!</v>
      </c>
      <c r="AC327" t="e">
        <f>#REF!</f>
        <v>#REF!</v>
      </c>
      <c r="AD327" t="e">
        <f>#REF!</f>
        <v>#REF!</v>
      </c>
      <c r="AE327" t="e">
        <f>#REF!</f>
        <v>#REF!</v>
      </c>
      <c r="AF327" t="e">
        <f>#REF!</f>
        <v>#REF!</v>
      </c>
      <c r="AG327" t="e">
        <f>#REF!</f>
        <v>#REF!</v>
      </c>
      <c r="AH327" t="e">
        <f>#REF!</f>
        <v>#REF!</v>
      </c>
      <c r="AI327" t="e">
        <f>#REF!</f>
        <v>#REF!</v>
      </c>
      <c r="AO327" s="159" t="e">
        <f>IF(#REF!="",0,#REF!)</f>
        <v>#REF!</v>
      </c>
      <c r="AP327" s="160" t="e">
        <f t="shared" si="10"/>
        <v>#REF!</v>
      </c>
    </row>
    <row r="328" spans="2:42" x14ac:dyDescent="0.25">
      <c r="B328" t="e">
        <f>#REF!</f>
        <v>#REF!</v>
      </c>
      <c r="C328" t="e">
        <f>#REF!</f>
        <v>#REF!</v>
      </c>
      <c r="D328" t="e">
        <f>#REF!</f>
        <v>#REF!</v>
      </c>
      <c r="E328" s="14" t="e">
        <f>#REF!</f>
        <v>#REF!</v>
      </c>
      <c r="F328" t="e">
        <f>#REF!</f>
        <v>#REF!</v>
      </c>
      <c r="G328" t="e">
        <f>#REF!</f>
        <v>#REF!</v>
      </c>
      <c r="H328" t="e">
        <f>#REF!</f>
        <v>#REF!</v>
      </c>
      <c r="I328" t="e">
        <f>#REF!</f>
        <v>#REF!</v>
      </c>
      <c r="J328" t="e">
        <f>#REF!</f>
        <v>#REF!</v>
      </c>
      <c r="K328" t="e">
        <f>#REF!</f>
        <v>#REF!</v>
      </c>
      <c r="L328" t="e">
        <f>#REF!</f>
        <v>#REF!</v>
      </c>
      <c r="M328" t="e">
        <f>#REF!</f>
        <v>#REF!</v>
      </c>
      <c r="N328" t="e">
        <f>#REF!</f>
        <v>#REF!</v>
      </c>
      <c r="O328" t="e">
        <f>#REF!</f>
        <v>#REF!</v>
      </c>
      <c r="P328" t="e">
        <f>#REF!</f>
        <v>#REF!</v>
      </c>
      <c r="Q328" t="e">
        <f>#REF!</f>
        <v>#REF!</v>
      </c>
      <c r="R328" t="e">
        <f>#REF!</f>
        <v>#REF!</v>
      </c>
      <c r="S328" t="e">
        <f>#REF!</f>
        <v>#REF!</v>
      </c>
      <c r="T328" t="e">
        <f>#REF!</f>
        <v>#REF!</v>
      </c>
      <c r="U328" t="e">
        <f>#REF!</f>
        <v>#REF!</v>
      </c>
      <c r="V328" t="e">
        <f>#REF!</f>
        <v>#REF!</v>
      </c>
      <c r="W328" t="e">
        <f>#REF!</f>
        <v>#REF!</v>
      </c>
      <c r="X328" t="e">
        <f>#REF!</f>
        <v>#REF!</v>
      </c>
      <c r="Y328" t="e">
        <f>#REF!</f>
        <v>#REF!</v>
      </c>
      <c r="Z328" t="e">
        <f>#REF!</f>
        <v>#REF!</v>
      </c>
      <c r="AA328" t="e">
        <f>#REF!</f>
        <v>#REF!</v>
      </c>
      <c r="AB328" t="e">
        <f>#REF!</f>
        <v>#REF!</v>
      </c>
      <c r="AC328" t="e">
        <f>#REF!</f>
        <v>#REF!</v>
      </c>
      <c r="AD328" t="e">
        <f>#REF!</f>
        <v>#REF!</v>
      </c>
      <c r="AE328" t="e">
        <f>#REF!</f>
        <v>#REF!</v>
      </c>
      <c r="AF328" t="e">
        <f>#REF!</f>
        <v>#REF!</v>
      </c>
      <c r="AG328" t="e">
        <f>#REF!</f>
        <v>#REF!</v>
      </c>
      <c r="AH328" t="e">
        <f>#REF!</f>
        <v>#REF!</v>
      </c>
      <c r="AI328" t="e">
        <f>#REF!</f>
        <v>#REF!</v>
      </c>
      <c r="AO328" s="159" t="e">
        <f>IF(#REF!="",0,#REF!)</f>
        <v>#REF!</v>
      </c>
      <c r="AP328" s="160" t="e">
        <f t="shared" si="10"/>
        <v>#REF!</v>
      </c>
    </row>
    <row r="329" spans="2:42" x14ac:dyDescent="0.25">
      <c r="B329" t="e">
        <f>#REF!</f>
        <v>#REF!</v>
      </c>
      <c r="C329" t="e">
        <f>#REF!</f>
        <v>#REF!</v>
      </c>
      <c r="D329" t="e">
        <f>#REF!</f>
        <v>#REF!</v>
      </c>
      <c r="E329" s="14" t="e">
        <f>#REF!</f>
        <v>#REF!</v>
      </c>
      <c r="F329" t="e">
        <f>#REF!</f>
        <v>#REF!</v>
      </c>
      <c r="G329" t="e">
        <f>#REF!</f>
        <v>#REF!</v>
      </c>
      <c r="H329" t="e">
        <f>#REF!</f>
        <v>#REF!</v>
      </c>
      <c r="I329" t="e">
        <f>#REF!</f>
        <v>#REF!</v>
      </c>
      <c r="J329" t="e">
        <f>#REF!</f>
        <v>#REF!</v>
      </c>
      <c r="K329" t="e">
        <f>#REF!</f>
        <v>#REF!</v>
      </c>
      <c r="L329" t="e">
        <f>#REF!</f>
        <v>#REF!</v>
      </c>
      <c r="M329" t="e">
        <f>#REF!</f>
        <v>#REF!</v>
      </c>
      <c r="N329" t="e">
        <f>#REF!</f>
        <v>#REF!</v>
      </c>
      <c r="O329" t="e">
        <f>#REF!</f>
        <v>#REF!</v>
      </c>
      <c r="P329" t="e">
        <f>#REF!</f>
        <v>#REF!</v>
      </c>
      <c r="Q329" t="e">
        <f>#REF!</f>
        <v>#REF!</v>
      </c>
      <c r="R329" t="e">
        <f>#REF!</f>
        <v>#REF!</v>
      </c>
      <c r="S329" t="e">
        <f>#REF!</f>
        <v>#REF!</v>
      </c>
      <c r="T329" t="e">
        <f>#REF!</f>
        <v>#REF!</v>
      </c>
      <c r="U329" t="e">
        <f>#REF!</f>
        <v>#REF!</v>
      </c>
      <c r="V329" t="e">
        <f>#REF!</f>
        <v>#REF!</v>
      </c>
      <c r="W329" t="e">
        <f>#REF!</f>
        <v>#REF!</v>
      </c>
      <c r="X329" t="e">
        <f>#REF!</f>
        <v>#REF!</v>
      </c>
      <c r="Y329" t="e">
        <f>#REF!</f>
        <v>#REF!</v>
      </c>
      <c r="Z329" t="e">
        <f>#REF!</f>
        <v>#REF!</v>
      </c>
      <c r="AA329" t="e">
        <f>#REF!</f>
        <v>#REF!</v>
      </c>
      <c r="AB329" t="e">
        <f>#REF!</f>
        <v>#REF!</v>
      </c>
      <c r="AC329" t="e">
        <f>#REF!</f>
        <v>#REF!</v>
      </c>
      <c r="AD329" t="e">
        <f>#REF!</f>
        <v>#REF!</v>
      </c>
      <c r="AE329" t="e">
        <f>#REF!</f>
        <v>#REF!</v>
      </c>
      <c r="AF329" t="e">
        <f>#REF!</f>
        <v>#REF!</v>
      </c>
      <c r="AG329" t="e">
        <f>#REF!</f>
        <v>#REF!</v>
      </c>
      <c r="AH329" t="e">
        <f>#REF!</f>
        <v>#REF!</v>
      </c>
      <c r="AI329" t="e">
        <f>#REF!</f>
        <v>#REF!</v>
      </c>
      <c r="AO329" s="159" t="e">
        <f>IF(#REF!="",0,#REF!)</f>
        <v>#REF!</v>
      </c>
      <c r="AP329" s="160" t="e">
        <f t="shared" si="10"/>
        <v>#REF!</v>
      </c>
    </row>
    <row r="330" spans="2:42" x14ac:dyDescent="0.25">
      <c r="B330" t="e">
        <f>#REF!</f>
        <v>#REF!</v>
      </c>
      <c r="C330" t="e">
        <f>#REF!</f>
        <v>#REF!</v>
      </c>
      <c r="D330" t="e">
        <f>#REF!</f>
        <v>#REF!</v>
      </c>
      <c r="E330" s="14" t="e">
        <f>#REF!</f>
        <v>#REF!</v>
      </c>
      <c r="F330" t="e">
        <f>#REF!</f>
        <v>#REF!</v>
      </c>
      <c r="G330" t="e">
        <f>#REF!</f>
        <v>#REF!</v>
      </c>
      <c r="H330" t="e">
        <f>#REF!</f>
        <v>#REF!</v>
      </c>
      <c r="I330" t="e">
        <f>#REF!</f>
        <v>#REF!</v>
      </c>
      <c r="J330" t="e">
        <f>#REF!</f>
        <v>#REF!</v>
      </c>
      <c r="K330" t="e">
        <f>#REF!</f>
        <v>#REF!</v>
      </c>
      <c r="L330" t="e">
        <f>#REF!</f>
        <v>#REF!</v>
      </c>
      <c r="M330" t="e">
        <f>#REF!</f>
        <v>#REF!</v>
      </c>
      <c r="N330" t="e">
        <f>#REF!</f>
        <v>#REF!</v>
      </c>
      <c r="O330" t="e">
        <f>#REF!</f>
        <v>#REF!</v>
      </c>
      <c r="P330" t="e">
        <f>#REF!</f>
        <v>#REF!</v>
      </c>
      <c r="Q330" t="e">
        <f>#REF!</f>
        <v>#REF!</v>
      </c>
      <c r="R330" t="e">
        <f>#REF!</f>
        <v>#REF!</v>
      </c>
      <c r="S330" t="e">
        <f>#REF!</f>
        <v>#REF!</v>
      </c>
      <c r="T330" t="e">
        <f>#REF!</f>
        <v>#REF!</v>
      </c>
      <c r="U330" t="e">
        <f>#REF!</f>
        <v>#REF!</v>
      </c>
      <c r="V330" t="e">
        <f>#REF!</f>
        <v>#REF!</v>
      </c>
      <c r="W330" t="e">
        <f>#REF!</f>
        <v>#REF!</v>
      </c>
      <c r="X330" t="e">
        <f>#REF!</f>
        <v>#REF!</v>
      </c>
      <c r="Y330" t="e">
        <f>#REF!</f>
        <v>#REF!</v>
      </c>
      <c r="Z330" t="e">
        <f>#REF!</f>
        <v>#REF!</v>
      </c>
      <c r="AA330" t="e">
        <f>#REF!</f>
        <v>#REF!</v>
      </c>
      <c r="AB330" t="e">
        <f>#REF!</f>
        <v>#REF!</v>
      </c>
      <c r="AC330" t="e">
        <f>#REF!</f>
        <v>#REF!</v>
      </c>
      <c r="AD330" t="e">
        <f>#REF!</f>
        <v>#REF!</v>
      </c>
      <c r="AE330" t="e">
        <f>#REF!</f>
        <v>#REF!</v>
      </c>
      <c r="AF330" t="e">
        <f>#REF!</f>
        <v>#REF!</v>
      </c>
      <c r="AG330" t="e">
        <f>#REF!</f>
        <v>#REF!</v>
      </c>
      <c r="AH330" t="e">
        <f>#REF!</f>
        <v>#REF!</v>
      </c>
      <c r="AI330" t="e">
        <f>#REF!</f>
        <v>#REF!</v>
      </c>
      <c r="AO330" s="159" t="e">
        <f>IF(#REF!="",0,#REF!)</f>
        <v>#REF!</v>
      </c>
      <c r="AP330" s="160" t="e">
        <f t="shared" si="10"/>
        <v>#REF!</v>
      </c>
    </row>
    <row r="331" spans="2:42" x14ac:dyDescent="0.25">
      <c r="B331" t="e">
        <f>#REF!</f>
        <v>#REF!</v>
      </c>
      <c r="C331" t="e">
        <f>#REF!</f>
        <v>#REF!</v>
      </c>
      <c r="D331" t="e">
        <f>#REF!</f>
        <v>#REF!</v>
      </c>
      <c r="E331" s="14" t="e">
        <f>#REF!</f>
        <v>#REF!</v>
      </c>
      <c r="F331" t="e">
        <f>#REF!</f>
        <v>#REF!</v>
      </c>
      <c r="G331" t="e">
        <f>#REF!</f>
        <v>#REF!</v>
      </c>
      <c r="H331" t="e">
        <f>#REF!</f>
        <v>#REF!</v>
      </c>
      <c r="I331" t="e">
        <f>#REF!</f>
        <v>#REF!</v>
      </c>
      <c r="J331" t="e">
        <f>#REF!</f>
        <v>#REF!</v>
      </c>
      <c r="K331" t="e">
        <f>#REF!</f>
        <v>#REF!</v>
      </c>
      <c r="L331" t="e">
        <f>#REF!</f>
        <v>#REF!</v>
      </c>
      <c r="M331" t="e">
        <f>#REF!</f>
        <v>#REF!</v>
      </c>
      <c r="N331" t="e">
        <f>#REF!</f>
        <v>#REF!</v>
      </c>
      <c r="O331" t="e">
        <f>#REF!</f>
        <v>#REF!</v>
      </c>
      <c r="P331" t="e">
        <f>#REF!</f>
        <v>#REF!</v>
      </c>
      <c r="Q331" t="e">
        <f>#REF!</f>
        <v>#REF!</v>
      </c>
      <c r="R331" t="e">
        <f>#REF!</f>
        <v>#REF!</v>
      </c>
      <c r="S331" t="e">
        <f>#REF!</f>
        <v>#REF!</v>
      </c>
      <c r="T331" t="e">
        <f>#REF!</f>
        <v>#REF!</v>
      </c>
      <c r="U331" t="e">
        <f>#REF!</f>
        <v>#REF!</v>
      </c>
      <c r="V331" t="e">
        <f>#REF!</f>
        <v>#REF!</v>
      </c>
      <c r="W331" t="e">
        <f>#REF!</f>
        <v>#REF!</v>
      </c>
      <c r="X331" t="e">
        <f>#REF!</f>
        <v>#REF!</v>
      </c>
      <c r="Y331" t="e">
        <f>#REF!</f>
        <v>#REF!</v>
      </c>
      <c r="Z331" t="e">
        <f>#REF!</f>
        <v>#REF!</v>
      </c>
      <c r="AA331" t="e">
        <f>#REF!</f>
        <v>#REF!</v>
      </c>
      <c r="AB331" t="e">
        <f>#REF!</f>
        <v>#REF!</v>
      </c>
      <c r="AC331" t="e">
        <f>#REF!</f>
        <v>#REF!</v>
      </c>
      <c r="AD331" t="e">
        <f>#REF!</f>
        <v>#REF!</v>
      </c>
      <c r="AE331" t="e">
        <f>#REF!</f>
        <v>#REF!</v>
      </c>
      <c r="AF331" t="e">
        <f>#REF!</f>
        <v>#REF!</v>
      </c>
      <c r="AG331" t="e">
        <f>#REF!</f>
        <v>#REF!</v>
      </c>
      <c r="AH331" t="e">
        <f>#REF!</f>
        <v>#REF!</v>
      </c>
      <c r="AI331" t="e">
        <f>#REF!</f>
        <v>#REF!</v>
      </c>
      <c r="AO331" s="159" t="e">
        <f>IF(#REF!="",0,#REF!)</f>
        <v>#REF!</v>
      </c>
      <c r="AP331" s="160" t="e">
        <f t="shared" si="10"/>
        <v>#REF!</v>
      </c>
    </row>
    <row r="332" spans="2:42" x14ac:dyDescent="0.25">
      <c r="B332" t="e">
        <f>#REF!</f>
        <v>#REF!</v>
      </c>
      <c r="C332" t="e">
        <f>#REF!</f>
        <v>#REF!</v>
      </c>
      <c r="D332" t="e">
        <f>#REF!</f>
        <v>#REF!</v>
      </c>
      <c r="E332" s="14" t="e">
        <f>#REF!</f>
        <v>#REF!</v>
      </c>
      <c r="F332" t="e">
        <f>#REF!</f>
        <v>#REF!</v>
      </c>
      <c r="G332" t="e">
        <f>#REF!</f>
        <v>#REF!</v>
      </c>
      <c r="H332" t="e">
        <f>#REF!</f>
        <v>#REF!</v>
      </c>
      <c r="I332" t="e">
        <f>#REF!</f>
        <v>#REF!</v>
      </c>
      <c r="J332" t="e">
        <f>#REF!</f>
        <v>#REF!</v>
      </c>
      <c r="K332" t="e">
        <f>#REF!</f>
        <v>#REF!</v>
      </c>
      <c r="L332" t="e">
        <f>#REF!</f>
        <v>#REF!</v>
      </c>
      <c r="M332" t="e">
        <f>#REF!</f>
        <v>#REF!</v>
      </c>
      <c r="N332" t="e">
        <f>#REF!</f>
        <v>#REF!</v>
      </c>
      <c r="O332" t="e">
        <f>#REF!</f>
        <v>#REF!</v>
      </c>
      <c r="P332" t="e">
        <f>#REF!</f>
        <v>#REF!</v>
      </c>
      <c r="Q332" t="e">
        <f>#REF!</f>
        <v>#REF!</v>
      </c>
      <c r="R332" t="e">
        <f>#REF!</f>
        <v>#REF!</v>
      </c>
      <c r="S332" t="e">
        <f>#REF!</f>
        <v>#REF!</v>
      </c>
      <c r="T332" t="e">
        <f>#REF!</f>
        <v>#REF!</v>
      </c>
      <c r="U332" t="e">
        <f>#REF!</f>
        <v>#REF!</v>
      </c>
      <c r="V332" t="e">
        <f>#REF!</f>
        <v>#REF!</v>
      </c>
      <c r="W332" t="e">
        <f>#REF!</f>
        <v>#REF!</v>
      </c>
      <c r="X332" t="e">
        <f>#REF!</f>
        <v>#REF!</v>
      </c>
      <c r="Y332" t="e">
        <f>#REF!</f>
        <v>#REF!</v>
      </c>
      <c r="Z332" t="e">
        <f>#REF!</f>
        <v>#REF!</v>
      </c>
      <c r="AA332" t="e">
        <f>#REF!</f>
        <v>#REF!</v>
      </c>
      <c r="AB332" t="e">
        <f>#REF!</f>
        <v>#REF!</v>
      </c>
      <c r="AC332" t="e">
        <f>#REF!</f>
        <v>#REF!</v>
      </c>
      <c r="AD332" t="e">
        <f>#REF!</f>
        <v>#REF!</v>
      </c>
      <c r="AE332" t="e">
        <f>#REF!</f>
        <v>#REF!</v>
      </c>
      <c r="AF332" t="e">
        <f>#REF!</f>
        <v>#REF!</v>
      </c>
      <c r="AG332" t="e">
        <f>#REF!</f>
        <v>#REF!</v>
      </c>
      <c r="AH332" t="e">
        <f>#REF!</f>
        <v>#REF!</v>
      </c>
      <c r="AI332" t="e">
        <f>#REF!</f>
        <v>#REF!</v>
      </c>
      <c r="AO332" s="159" t="e">
        <f>IF(#REF!="",0,#REF!)</f>
        <v>#REF!</v>
      </c>
      <c r="AP332" s="160" t="e">
        <f t="shared" si="10"/>
        <v>#REF!</v>
      </c>
    </row>
    <row r="333" spans="2:42" x14ac:dyDescent="0.25">
      <c r="B333" t="e">
        <f>#REF!</f>
        <v>#REF!</v>
      </c>
      <c r="C333" t="e">
        <f>#REF!</f>
        <v>#REF!</v>
      </c>
      <c r="D333" t="e">
        <f>#REF!</f>
        <v>#REF!</v>
      </c>
      <c r="E333" s="14" t="e">
        <f>#REF!</f>
        <v>#REF!</v>
      </c>
      <c r="F333" t="e">
        <f>#REF!</f>
        <v>#REF!</v>
      </c>
      <c r="G333" t="e">
        <f>#REF!</f>
        <v>#REF!</v>
      </c>
      <c r="H333" t="e">
        <f>#REF!</f>
        <v>#REF!</v>
      </c>
      <c r="I333" t="e">
        <f>#REF!</f>
        <v>#REF!</v>
      </c>
      <c r="J333" t="e">
        <f>#REF!</f>
        <v>#REF!</v>
      </c>
      <c r="K333" t="e">
        <f>#REF!</f>
        <v>#REF!</v>
      </c>
      <c r="L333" t="e">
        <f>#REF!</f>
        <v>#REF!</v>
      </c>
      <c r="M333" t="e">
        <f>#REF!</f>
        <v>#REF!</v>
      </c>
      <c r="N333" t="e">
        <f>#REF!</f>
        <v>#REF!</v>
      </c>
      <c r="O333" t="e">
        <f>#REF!</f>
        <v>#REF!</v>
      </c>
      <c r="P333" t="e">
        <f>#REF!</f>
        <v>#REF!</v>
      </c>
      <c r="Q333" t="e">
        <f>#REF!</f>
        <v>#REF!</v>
      </c>
      <c r="R333" t="e">
        <f>#REF!</f>
        <v>#REF!</v>
      </c>
      <c r="S333" t="e">
        <f>#REF!</f>
        <v>#REF!</v>
      </c>
      <c r="T333" t="e">
        <f>#REF!</f>
        <v>#REF!</v>
      </c>
      <c r="U333" t="e">
        <f>#REF!</f>
        <v>#REF!</v>
      </c>
      <c r="V333" t="e">
        <f>#REF!</f>
        <v>#REF!</v>
      </c>
      <c r="W333" t="e">
        <f>#REF!</f>
        <v>#REF!</v>
      </c>
      <c r="X333" t="e">
        <f>#REF!</f>
        <v>#REF!</v>
      </c>
      <c r="Y333" t="e">
        <f>#REF!</f>
        <v>#REF!</v>
      </c>
      <c r="Z333" t="e">
        <f>#REF!</f>
        <v>#REF!</v>
      </c>
      <c r="AA333" t="e">
        <f>#REF!</f>
        <v>#REF!</v>
      </c>
      <c r="AB333" t="e">
        <f>#REF!</f>
        <v>#REF!</v>
      </c>
      <c r="AC333" t="e">
        <f>#REF!</f>
        <v>#REF!</v>
      </c>
      <c r="AD333" t="e">
        <f>#REF!</f>
        <v>#REF!</v>
      </c>
      <c r="AE333" t="e">
        <f>#REF!</f>
        <v>#REF!</v>
      </c>
      <c r="AF333" t="e">
        <f>#REF!</f>
        <v>#REF!</v>
      </c>
      <c r="AG333" t="e">
        <f>#REF!</f>
        <v>#REF!</v>
      </c>
      <c r="AH333" t="e">
        <f>#REF!</f>
        <v>#REF!</v>
      </c>
      <c r="AI333" t="e">
        <f>#REF!</f>
        <v>#REF!</v>
      </c>
      <c r="AO333" s="159" t="e">
        <f>IF(#REF!="",0,#REF!)</f>
        <v>#REF!</v>
      </c>
      <c r="AP333" s="160" t="e">
        <f t="shared" si="10"/>
        <v>#REF!</v>
      </c>
    </row>
    <row r="334" spans="2:42" x14ac:dyDescent="0.25">
      <c r="B334" t="e">
        <f>#REF!</f>
        <v>#REF!</v>
      </c>
      <c r="C334" t="e">
        <f>#REF!</f>
        <v>#REF!</v>
      </c>
      <c r="D334" t="e">
        <f>#REF!</f>
        <v>#REF!</v>
      </c>
      <c r="E334" s="14" t="e">
        <f>#REF!</f>
        <v>#REF!</v>
      </c>
      <c r="F334" t="e">
        <f>#REF!</f>
        <v>#REF!</v>
      </c>
      <c r="G334" t="e">
        <f>#REF!</f>
        <v>#REF!</v>
      </c>
      <c r="H334" t="e">
        <f>#REF!</f>
        <v>#REF!</v>
      </c>
      <c r="I334" t="e">
        <f>#REF!</f>
        <v>#REF!</v>
      </c>
      <c r="J334" t="e">
        <f>#REF!</f>
        <v>#REF!</v>
      </c>
      <c r="K334" t="e">
        <f>#REF!</f>
        <v>#REF!</v>
      </c>
      <c r="L334" t="e">
        <f>#REF!</f>
        <v>#REF!</v>
      </c>
      <c r="M334" t="e">
        <f>#REF!</f>
        <v>#REF!</v>
      </c>
      <c r="N334" t="e">
        <f>#REF!</f>
        <v>#REF!</v>
      </c>
      <c r="O334" t="e">
        <f>#REF!</f>
        <v>#REF!</v>
      </c>
      <c r="P334" t="e">
        <f>#REF!</f>
        <v>#REF!</v>
      </c>
      <c r="Q334" t="e">
        <f>#REF!</f>
        <v>#REF!</v>
      </c>
      <c r="R334" t="e">
        <f>#REF!</f>
        <v>#REF!</v>
      </c>
      <c r="S334" t="e">
        <f>#REF!</f>
        <v>#REF!</v>
      </c>
      <c r="T334" t="e">
        <f>#REF!</f>
        <v>#REF!</v>
      </c>
      <c r="U334" t="e">
        <f>#REF!</f>
        <v>#REF!</v>
      </c>
      <c r="V334" t="e">
        <f>#REF!</f>
        <v>#REF!</v>
      </c>
      <c r="W334" t="e">
        <f>#REF!</f>
        <v>#REF!</v>
      </c>
      <c r="X334" t="e">
        <f>#REF!</f>
        <v>#REF!</v>
      </c>
      <c r="Y334" t="e">
        <f>#REF!</f>
        <v>#REF!</v>
      </c>
      <c r="Z334" t="e">
        <f>#REF!</f>
        <v>#REF!</v>
      </c>
      <c r="AA334" t="e">
        <f>#REF!</f>
        <v>#REF!</v>
      </c>
      <c r="AB334" t="e">
        <f>#REF!</f>
        <v>#REF!</v>
      </c>
      <c r="AC334" t="e">
        <f>#REF!</f>
        <v>#REF!</v>
      </c>
      <c r="AD334" t="e">
        <f>#REF!</f>
        <v>#REF!</v>
      </c>
      <c r="AE334" t="e">
        <f>#REF!</f>
        <v>#REF!</v>
      </c>
      <c r="AF334" t="e">
        <f>#REF!</f>
        <v>#REF!</v>
      </c>
      <c r="AG334" t="e">
        <f>#REF!</f>
        <v>#REF!</v>
      </c>
      <c r="AH334" t="e">
        <f>#REF!</f>
        <v>#REF!</v>
      </c>
      <c r="AI334" t="e">
        <f>#REF!</f>
        <v>#REF!</v>
      </c>
      <c r="AO334" s="159" t="e">
        <f>IF(#REF!="",0,#REF!)</f>
        <v>#REF!</v>
      </c>
      <c r="AP334" s="160" t="e">
        <f t="shared" si="10"/>
        <v>#REF!</v>
      </c>
    </row>
    <row r="335" spans="2:42" x14ac:dyDescent="0.25">
      <c r="B335" t="e">
        <f>#REF!</f>
        <v>#REF!</v>
      </c>
      <c r="C335" t="e">
        <f>#REF!</f>
        <v>#REF!</v>
      </c>
      <c r="D335" t="e">
        <f>#REF!</f>
        <v>#REF!</v>
      </c>
      <c r="E335" s="14" t="e">
        <f>#REF!</f>
        <v>#REF!</v>
      </c>
      <c r="F335" t="e">
        <f>#REF!</f>
        <v>#REF!</v>
      </c>
      <c r="G335" t="e">
        <f>#REF!</f>
        <v>#REF!</v>
      </c>
      <c r="H335" t="e">
        <f>#REF!</f>
        <v>#REF!</v>
      </c>
      <c r="I335" t="e">
        <f>#REF!</f>
        <v>#REF!</v>
      </c>
      <c r="J335" t="e">
        <f>#REF!</f>
        <v>#REF!</v>
      </c>
      <c r="K335" t="e">
        <f>#REF!</f>
        <v>#REF!</v>
      </c>
      <c r="L335" t="e">
        <f>#REF!</f>
        <v>#REF!</v>
      </c>
      <c r="M335" t="e">
        <f>#REF!</f>
        <v>#REF!</v>
      </c>
      <c r="N335" t="e">
        <f>#REF!</f>
        <v>#REF!</v>
      </c>
      <c r="O335" t="e">
        <f>#REF!</f>
        <v>#REF!</v>
      </c>
      <c r="P335" t="e">
        <f>#REF!</f>
        <v>#REF!</v>
      </c>
      <c r="Q335" t="e">
        <f>#REF!</f>
        <v>#REF!</v>
      </c>
      <c r="R335" t="e">
        <f>#REF!</f>
        <v>#REF!</v>
      </c>
      <c r="S335" t="e">
        <f>#REF!</f>
        <v>#REF!</v>
      </c>
      <c r="T335" t="e">
        <f>#REF!</f>
        <v>#REF!</v>
      </c>
      <c r="U335" t="e">
        <f>#REF!</f>
        <v>#REF!</v>
      </c>
      <c r="V335" t="e">
        <f>#REF!</f>
        <v>#REF!</v>
      </c>
      <c r="W335" t="e">
        <f>#REF!</f>
        <v>#REF!</v>
      </c>
      <c r="X335" t="e">
        <f>#REF!</f>
        <v>#REF!</v>
      </c>
      <c r="Y335" t="e">
        <f>#REF!</f>
        <v>#REF!</v>
      </c>
      <c r="Z335" t="e">
        <f>#REF!</f>
        <v>#REF!</v>
      </c>
      <c r="AA335" t="e">
        <f>#REF!</f>
        <v>#REF!</v>
      </c>
      <c r="AB335" t="e">
        <f>#REF!</f>
        <v>#REF!</v>
      </c>
      <c r="AC335" t="e">
        <f>#REF!</f>
        <v>#REF!</v>
      </c>
      <c r="AD335" t="e">
        <f>#REF!</f>
        <v>#REF!</v>
      </c>
      <c r="AE335" t="e">
        <f>#REF!</f>
        <v>#REF!</v>
      </c>
      <c r="AF335" t="e">
        <f>#REF!</f>
        <v>#REF!</v>
      </c>
      <c r="AG335" t="e">
        <f>#REF!</f>
        <v>#REF!</v>
      </c>
      <c r="AH335" t="e">
        <f>#REF!</f>
        <v>#REF!</v>
      </c>
      <c r="AI335" t="e">
        <f>#REF!</f>
        <v>#REF!</v>
      </c>
      <c r="AO335" s="159" t="e">
        <f>IF(#REF!="",0,#REF!)</f>
        <v>#REF!</v>
      </c>
      <c r="AP335" s="160" t="e">
        <f t="shared" si="10"/>
        <v>#REF!</v>
      </c>
    </row>
    <row r="336" spans="2:42" x14ac:dyDescent="0.25">
      <c r="B336" t="e">
        <f>#REF!</f>
        <v>#REF!</v>
      </c>
      <c r="C336" t="e">
        <f>#REF!</f>
        <v>#REF!</v>
      </c>
      <c r="D336" t="e">
        <f>#REF!</f>
        <v>#REF!</v>
      </c>
      <c r="E336" s="14" t="e">
        <f>#REF!</f>
        <v>#REF!</v>
      </c>
      <c r="F336" t="e">
        <f>#REF!</f>
        <v>#REF!</v>
      </c>
      <c r="G336" t="e">
        <f>#REF!</f>
        <v>#REF!</v>
      </c>
      <c r="H336" t="e">
        <f>#REF!</f>
        <v>#REF!</v>
      </c>
      <c r="I336" t="e">
        <f>#REF!</f>
        <v>#REF!</v>
      </c>
      <c r="J336" t="e">
        <f>#REF!</f>
        <v>#REF!</v>
      </c>
      <c r="K336" t="e">
        <f>#REF!</f>
        <v>#REF!</v>
      </c>
      <c r="L336" t="e">
        <f>#REF!</f>
        <v>#REF!</v>
      </c>
      <c r="M336" t="e">
        <f>#REF!</f>
        <v>#REF!</v>
      </c>
      <c r="N336" t="e">
        <f>#REF!</f>
        <v>#REF!</v>
      </c>
      <c r="O336" t="e">
        <f>#REF!</f>
        <v>#REF!</v>
      </c>
      <c r="P336" t="e">
        <f>#REF!</f>
        <v>#REF!</v>
      </c>
      <c r="Q336" t="e">
        <f>#REF!</f>
        <v>#REF!</v>
      </c>
      <c r="R336" t="e">
        <f>#REF!</f>
        <v>#REF!</v>
      </c>
      <c r="S336" t="e">
        <f>#REF!</f>
        <v>#REF!</v>
      </c>
      <c r="T336" t="e">
        <f>#REF!</f>
        <v>#REF!</v>
      </c>
      <c r="U336" t="e">
        <f>#REF!</f>
        <v>#REF!</v>
      </c>
      <c r="V336" t="e">
        <f>#REF!</f>
        <v>#REF!</v>
      </c>
      <c r="W336" t="e">
        <f>#REF!</f>
        <v>#REF!</v>
      </c>
      <c r="X336" t="e">
        <f>#REF!</f>
        <v>#REF!</v>
      </c>
      <c r="Y336" t="e">
        <f>#REF!</f>
        <v>#REF!</v>
      </c>
      <c r="Z336" t="e">
        <f>#REF!</f>
        <v>#REF!</v>
      </c>
      <c r="AA336" t="e">
        <f>#REF!</f>
        <v>#REF!</v>
      </c>
      <c r="AB336" t="e">
        <f>#REF!</f>
        <v>#REF!</v>
      </c>
      <c r="AC336" t="e">
        <f>#REF!</f>
        <v>#REF!</v>
      </c>
      <c r="AD336" t="e">
        <f>#REF!</f>
        <v>#REF!</v>
      </c>
      <c r="AE336" t="e">
        <f>#REF!</f>
        <v>#REF!</v>
      </c>
      <c r="AF336" t="e">
        <f>#REF!</f>
        <v>#REF!</v>
      </c>
      <c r="AG336" t="e">
        <f>#REF!</f>
        <v>#REF!</v>
      </c>
      <c r="AH336" t="e">
        <f>#REF!</f>
        <v>#REF!</v>
      </c>
      <c r="AI336" t="e">
        <f>#REF!</f>
        <v>#REF!</v>
      </c>
      <c r="AO336" s="159" t="e">
        <f>IF(#REF!="",0,#REF!)</f>
        <v>#REF!</v>
      </c>
      <c r="AP336" s="160" t="e">
        <f t="shared" si="10"/>
        <v>#REF!</v>
      </c>
    </row>
    <row r="337" spans="2:42" x14ac:dyDescent="0.25">
      <c r="B337" t="e">
        <f>#REF!</f>
        <v>#REF!</v>
      </c>
      <c r="C337" t="e">
        <f>#REF!</f>
        <v>#REF!</v>
      </c>
      <c r="D337" t="e">
        <f>#REF!</f>
        <v>#REF!</v>
      </c>
      <c r="E337" s="14" t="e">
        <f>#REF!</f>
        <v>#REF!</v>
      </c>
      <c r="F337" t="e">
        <f>#REF!</f>
        <v>#REF!</v>
      </c>
      <c r="G337" t="e">
        <f>#REF!</f>
        <v>#REF!</v>
      </c>
      <c r="H337" t="e">
        <f>#REF!</f>
        <v>#REF!</v>
      </c>
      <c r="I337" t="e">
        <f>#REF!</f>
        <v>#REF!</v>
      </c>
      <c r="J337" t="e">
        <f>#REF!</f>
        <v>#REF!</v>
      </c>
      <c r="K337" t="e">
        <f>#REF!</f>
        <v>#REF!</v>
      </c>
      <c r="L337" t="e">
        <f>#REF!</f>
        <v>#REF!</v>
      </c>
      <c r="M337" t="e">
        <f>#REF!</f>
        <v>#REF!</v>
      </c>
      <c r="N337" t="e">
        <f>#REF!</f>
        <v>#REF!</v>
      </c>
      <c r="O337" t="e">
        <f>#REF!</f>
        <v>#REF!</v>
      </c>
      <c r="P337" t="e">
        <f>#REF!</f>
        <v>#REF!</v>
      </c>
      <c r="Q337" t="e">
        <f>#REF!</f>
        <v>#REF!</v>
      </c>
      <c r="R337" t="e">
        <f>#REF!</f>
        <v>#REF!</v>
      </c>
      <c r="S337" t="e">
        <f>#REF!</f>
        <v>#REF!</v>
      </c>
      <c r="T337" t="e">
        <f>#REF!</f>
        <v>#REF!</v>
      </c>
      <c r="U337" t="e">
        <f>#REF!</f>
        <v>#REF!</v>
      </c>
      <c r="V337" t="e">
        <f>#REF!</f>
        <v>#REF!</v>
      </c>
      <c r="W337" t="e">
        <f>#REF!</f>
        <v>#REF!</v>
      </c>
      <c r="X337" t="e">
        <f>#REF!</f>
        <v>#REF!</v>
      </c>
      <c r="Y337" t="e">
        <f>#REF!</f>
        <v>#REF!</v>
      </c>
      <c r="Z337" t="e">
        <f>#REF!</f>
        <v>#REF!</v>
      </c>
      <c r="AA337" t="e">
        <f>#REF!</f>
        <v>#REF!</v>
      </c>
      <c r="AB337" t="e">
        <f>#REF!</f>
        <v>#REF!</v>
      </c>
      <c r="AC337" t="e">
        <f>#REF!</f>
        <v>#REF!</v>
      </c>
      <c r="AD337" t="e">
        <f>#REF!</f>
        <v>#REF!</v>
      </c>
      <c r="AE337" t="e">
        <f>#REF!</f>
        <v>#REF!</v>
      </c>
      <c r="AF337" t="e">
        <f>#REF!</f>
        <v>#REF!</v>
      </c>
      <c r="AG337" t="e">
        <f>#REF!</f>
        <v>#REF!</v>
      </c>
      <c r="AH337" t="e">
        <f>#REF!</f>
        <v>#REF!</v>
      </c>
      <c r="AI337" t="e">
        <f>#REF!</f>
        <v>#REF!</v>
      </c>
      <c r="AO337" s="159" t="e">
        <f>IF(#REF!="",0,#REF!)</f>
        <v>#REF!</v>
      </c>
      <c r="AP337" s="160" t="e">
        <f t="shared" si="10"/>
        <v>#REF!</v>
      </c>
    </row>
    <row r="338" spans="2:42" x14ac:dyDescent="0.25">
      <c r="B338" t="e">
        <f>#REF!</f>
        <v>#REF!</v>
      </c>
      <c r="C338" t="e">
        <f>#REF!</f>
        <v>#REF!</v>
      </c>
      <c r="D338" t="e">
        <f>#REF!</f>
        <v>#REF!</v>
      </c>
      <c r="E338" s="14" t="e">
        <f>#REF!</f>
        <v>#REF!</v>
      </c>
      <c r="F338" t="e">
        <f>#REF!</f>
        <v>#REF!</v>
      </c>
      <c r="G338" t="e">
        <f>#REF!</f>
        <v>#REF!</v>
      </c>
      <c r="H338" t="e">
        <f>#REF!</f>
        <v>#REF!</v>
      </c>
      <c r="I338" t="e">
        <f>#REF!</f>
        <v>#REF!</v>
      </c>
      <c r="J338" t="e">
        <f>#REF!</f>
        <v>#REF!</v>
      </c>
      <c r="K338" t="e">
        <f>#REF!</f>
        <v>#REF!</v>
      </c>
      <c r="L338" t="e">
        <f>#REF!</f>
        <v>#REF!</v>
      </c>
      <c r="M338" t="e">
        <f>#REF!</f>
        <v>#REF!</v>
      </c>
      <c r="N338" t="e">
        <f>#REF!</f>
        <v>#REF!</v>
      </c>
      <c r="O338" t="e">
        <f>#REF!</f>
        <v>#REF!</v>
      </c>
      <c r="P338" t="e">
        <f>#REF!</f>
        <v>#REF!</v>
      </c>
      <c r="Q338" t="e">
        <f>#REF!</f>
        <v>#REF!</v>
      </c>
      <c r="R338" t="e">
        <f>#REF!</f>
        <v>#REF!</v>
      </c>
      <c r="S338" t="e">
        <f>#REF!</f>
        <v>#REF!</v>
      </c>
      <c r="T338" t="e">
        <f>#REF!</f>
        <v>#REF!</v>
      </c>
      <c r="U338" t="e">
        <f>#REF!</f>
        <v>#REF!</v>
      </c>
      <c r="V338" t="e">
        <f>#REF!</f>
        <v>#REF!</v>
      </c>
      <c r="W338" t="e">
        <f>#REF!</f>
        <v>#REF!</v>
      </c>
      <c r="X338" t="e">
        <f>#REF!</f>
        <v>#REF!</v>
      </c>
      <c r="Y338" t="e">
        <f>#REF!</f>
        <v>#REF!</v>
      </c>
      <c r="Z338" t="e">
        <f>#REF!</f>
        <v>#REF!</v>
      </c>
      <c r="AA338" t="e">
        <f>#REF!</f>
        <v>#REF!</v>
      </c>
      <c r="AB338" t="e">
        <f>#REF!</f>
        <v>#REF!</v>
      </c>
      <c r="AC338" t="e">
        <f>#REF!</f>
        <v>#REF!</v>
      </c>
      <c r="AD338" t="e">
        <f>#REF!</f>
        <v>#REF!</v>
      </c>
      <c r="AE338" t="e">
        <f>#REF!</f>
        <v>#REF!</v>
      </c>
      <c r="AF338" t="e">
        <f>#REF!</f>
        <v>#REF!</v>
      </c>
      <c r="AG338" t="e">
        <f>#REF!</f>
        <v>#REF!</v>
      </c>
      <c r="AH338" t="e">
        <f>#REF!</f>
        <v>#REF!</v>
      </c>
      <c r="AI338" t="e">
        <f>#REF!</f>
        <v>#REF!</v>
      </c>
      <c r="AO338" s="159" t="e">
        <f>IF(#REF!="",0,#REF!)</f>
        <v>#REF!</v>
      </c>
      <c r="AP338" s="160" t="e">
        <f t="shared" si="10"/>
        <v>#REF!</v>
      </c>
    </row>
    <row r="339" spans="2:42" x14ac:dyDescent="0.25">
      <c r="B339" t="e">
        <f>#REF!</f>
        <v>#REF!</v>
      </c>
      <c r="C339" t="e">
        <f>#REF!</f>
        <v>#REF!</v>
      </c>
      <c r="D339" t="e">
        <f>#REF!</f>
        <v>#REF!</v>
      </c>
      <c r="E339" s="14" t="e">
        <f>#REF!</f>
        <v>#REF!</v>
      </c>
      <c r="F339" t="e">
        <f>#REF!</f>
        <v>#REF!</v>
      </c>
      <c r="G339" t="e">
        <f>#REF!</f>
        <v>#REF!</v>
      </c>
      <c r="H339" t="e">
        <f>#REF!</f>
        <v>#REF!</v>
      </c>
      <c r="I339" t="e">
        <f>#REF!</f>
        <v>#REF!</v>
      </c>
      <c r="J339" t="e">
        <f>#REF!</f>
        <v>#REF!</v>
      </c>
      <c r="K339" t="e">
        <f>#REF!</f>
        <v>#REF!</v>
      </c>
      <c r="L339" t="e">
        <f>#REF!</f>
        <v>#REF!</v>
      </c>
      <c r="M339" t="e">
        <f>#REF!</f>
        <v>#REF!</v>
      </c>
      <c r="N339" t="e">
        <f>#REF!</f>
        <v>#REF!</v>
      </c>
      <c r="O339" t="e">
        <f>#REF!</f>
        <v>#REF!</v>
      </c>
      <c r="P339" t="e">
        <f>#REF!</f>
        <v>#REF!</v>
      </c>
      <c r="Q339" t="e">
        <f>#REF!</f>
        <v>#REF!</v>
      </c>
      <c r="R339" t="e">
        <f>#REF!</f>
        <v>#REF!</v>
      </c>
      <c r="S339" t="e">
        <f>#REF!</f>
        <v>#REF!</v>
      </c>
      <c r="T339" t="e">
        <f>#REF!</f>
        <v>#REF!</v>
      </c>
      <c r="U339" t="e">
        <f>#REF!</f>
        <v>#REF!</v>
      </c>
      <c r="V339" t="e">
        <f>#REF!</f>
        <v>#REF!</v>
      </c>
      <c r="W339" t="e">
        <f>#REF!</f>
        <v>#REF!</v>
      </c>
      <c r="X339" t="e">
        <f>#REF!</f>
        <v>#REF!</v>
      </c>
      <c r="Y339" t="e">
        <f>#REF!</f>
        <v>#REF!</v>
      </c>
      <c r="Z339" t="e">
        <f>#REF!</f>
        <v>#REF!</v>
      </c>
      <c r="AA339" t="e">
        <f>#REF!</f>
        <v>#REF!</v>
      </c>
      <c r="AB339" t="e">
        <f>#REF!</f>
        <v>#REF!</v>
      </c>
      <c r="AC339" t="e">
        <f>#REF!</f>
        <v>#REF!</v>
      </c>
      <c r="AD339" t="e">
        <f>#REF!</f>
        <v>#REF!</v>
      </c>
      <c r="AE339" t="e">
        <f>#REF!</f>
        <v>#REF!</v>
      </c>
      <c r="AF339" t="e">
        <f>#REF!</f>
        <v>#REF!</v>
      </c>
      <c r="AG339" t="e">
        <f>#REF!</f>
        <v>#REF!</v>
      </c>
      <c r="AH339" t="e">
        <f>#REF!</f>
        <v>#REF!</v>
      </c>
      <c r="AI339" t="e">
        <f>#REF!</f>
        <v>#REF!</v>
      </c>
      <c r="AO339" s="159" t="e">
        <f>IF(#REF!="",0,#REF!)</f>
        <v>#REF!</v>
      </c>
      <c r="AP339" s="160" t="e">
        <f t="shared" si="10"/>
        <v>#REF!</v>
      </c>
    </row>
    <row r="340" spans="2:42" x14ac:dyDescent="0.25">
      <c r="B340" t="e">
        <f>#REF!</f>
        <v>#REF!</v>
      </c>
      <c r="C340" t="e">
        <f>#REF!</f>
        <v>#REF!</v>
      </c>
      <c r="D340" t="e">
        <f>#REF!</f>
        <v>#REF!</v>
      </c>
      <c r="E340" s="14" t="e">
        <f>#REF!</f>
        <v>#REF!</v>
      </c>
      <c r="F340" t="e">
        <f>#REF!</f>
        <v>#REF!</v>
      </c>
      <c r="G340" t="e">
        <f>#REF!</f>
        <v>#REF!</v>
      </c>
      <c r="H340" t="e">
        <f>#REF!</f>
        <v>#REF!</v>
      </c>
      <c r="I340" t="e">
        <f>#REF!</f>
        <v>#REF!</v>
      </c>
      <c r="J340" t="e">
        <f>#REF!</f>
        <v>#REF!</v>
      </c>
      <c r="K340" t="e">
        <f>#REF!</f>
        <v>#REF!</v>
      </c>
      <c r="L340" t="e">
        <f>#REF!</f>
        <v>#REF!</v>
      </c>
      <c r="M340" t="e">
        <f>#REF!</f>
        <v>#REF!</v>
      </c>
      <c r="N340" t="e">
        <f>#REF!</f>
        <v>#REF!</v>
      </c>
      <c r="O340" t="e">
        <f>#REF!</f>
        <v>#REF!</v>
      </c>
      <c r="P340" t="e">
        <f>#REF!</f>
        <v>#REF!</v>
      </c>
      <c r="Q340" t="e">
        <f>#REF!</f>
        <v>#REF!</v>
      </c>
      <c r="R340" t="e">
        <f>#REF!</f>
        <v>#REF!</v>
      </c>
      <c r="S340" t="e">
        <f>#REF!</f>
        <v>#REF!</v>
      </c>
      <c r="T340" t="e">
        <f>#REF!</f>
        <v>#REF!</v>
      </c>
      <c r="U340" t="e">
        <f>#REF!</f>
        <v>#REF!</v>
      </c>
      <c r="V340" t="e">
        <f>#REF!</f>
        <v>#REF!</v>
      </c>
      <c r="W340" t="e">
        <f>#REF!</f>
        <v>#REF!</v>
      </c>
      <c r="X340" t="e">
        <f>#REF!</f>
        <v>#REF!</v>
      </c>
      <c r="Y340" t="e">
        <f>#REF!</f>
        <v>#REF!</v>
      </c>
      <c r="Z340" t="e">
        <f>#REF!</f>
        <v>#REF!</v>
      </c>
      <c r="AA340" t="e">
        <f>#REF!</f>
        <v>#REF!</v>
      </c>
      <c r="AB340" t="e">
        <f>#REF!</f>
        <v>#REF!</v>
      </c>
      <c r="AC340" t="e">
        <f>#REF!</f>
        <v>#REF!</v>
      </c>
      <c r="AD340" t="e">
        <f>#REF!</f>
        <v>#REF!</v>
      </c>
      <c r="AE340" t="e">
        <f>#REF!</f>
        <v>#REF!</v>
      </c>
      <c r="AF340" t="e">
        <f>#REF!</f>
        <v>#REF!</v>
      </c>
      <c r="AG340" t="e">
        <f>#REF!</f>
        <v>#REF!</v>
      </c>
      <c r="AH340" t="e">
        <f>#REF!</f>
        <v>#REF!</v>
      </c>
      <c r="AI340" t="e">
        <f>#REF!</f>
        <v>#REF!</v>
      </c>
      <c r="AO340" s="159" t="e">
        <f>IF(#REF!="",0,#REF!)</f>
        <v>#REF!</v>
      </c>
      <c r="AP340" s="160" t="e">
        <f t="shared" si="10"/>
        <v>#REF!</v>
      </c>
    </row>
    <row r="342" spans="2:42" x14ac:dyDescent="0.25">
      <c r="D342" t="s">
        <v>155</v>
      </c>
      <c r="E342" s="14" t="e">
        <f>SUM(E5:E340)</f>
        <v>#REF!</v>
      </c>
    </row>
    <row r="343" spans="2:42" x14ac:dyDescent="0.25">
      <c r="D343" t="s">
        <v>53</v>
      </c>
      <c r="E343" t="e">
        <f>SUM(F5:AI340)</f>
        <v>#REF!</v>
      </c>
    </row>
    <row r="345" spans="2:42" ht="15.75" thickBot="1" x14ac:dyDescent="0.3">
      <c r="E345" s="165" t="s">
        <v>140</v>
      </c>
      <c r="F345" s="158" t="e">
        <f>IF('Budget by Period'!$AG$13&gt;0,'Budget by Period'!$AG$13,0)</f>
        <v>#REF!</v>
      </c>
      <c r="G345" s="158" t="e">
        <f>IF('Budget by Period'!$AG$14&gt;0,'Budget by Period'!$AG$14,0)</f>
        <v>#REF!</v>
      </c>
      <c r="H345" s="158" t="e">
        <f>IF('Budget by Period'!$AG$15&gt;0,'Budget by Period'!$AG$15,0)</f>
        <v>#REF!</v>
      </c>
      <c r="I345" s="158" t="e">
        <f>IF('Budget by Period'!$AG$16&gt;0,'Budget by Period'!$AG$16,0)</f>
        <v>#REF!</v>
      </c>
      <c r="J345" s="158" t="e">
        <f>IF('Budget by Period'!$AG$17&gt;0,'Budget by Period'!$AG$17,0)</f>
        <v>#REF!</v>
      </c>
      <c r="K345" s="158" t="e">
        <f>IF('Budget by Period'!$AG$18&gt;0,'Budget by Period'!$AG$18,0)</f>
        <v>#REF!</v>
      </c>
      <c r="L345" s="158" t="e">
        <f>IF('Budget by Period'!$AG$19&gt;0,'Budget by Period'!$AG$19,0)</f>
        <v>#REF!</v>
      </c>
      <c r="M345" s="158" t="e">
        <f>IF('Budget by Period'!$AG$20&gt;0,'Budget by Period'!$AG$20,0)</f>
        <v>#REF!</v>
      </c>
      <c r="N345" s="158" t="e">
        <f>IF('Budget by Period'!$AG$21&gt;0,'Budget by Period'!$AG$21,0)</f>
        <v>#REF!</v>
      </c>
      <c r="O345" s="158" t="e">
        <f>IF('Budget by Period'!$AG$22&gt;0,'Budget by Period'!$AG$22,0)</f>
        <v>#REF!</v>
      </c>
      <c r="P345" s="158" t="e">
        <f>IF('Budget by Period'!$AG$23&gt;0,'Budget by Period'!$AG$23,0)</f>
        <v>#REF!</v>
      </c>
      <c r="Q345" s="158" t="e">
        <f>IF('Budget by Period'!$AG$24&gt;0,'Budget by Period'!$AG$24,0)</f>
        <v>#REF!</v>
      </c>
      <c r="R345" s="158" t="e">
        <f>IF('Budget by Period'!$AG$25&gt;0,'Budget by Period'!$AG$25,0)</f>
        <v>#REF!</v>
      </c>
      <c r="S345" s="158" t="e">
        <f>IF('Budget by Period'!$AG$26&gt;0,'Budget by Period'!$AG$26,0)</f>
        <v>#REF!</v>
      </c>
      <c r="T345" s="158" t="e">
        <f>IF('Budget by Period'!$AG$27&gt;0,'Budget by Period'!$AG$27,0)</f>
        <v>#REF!</v>
      </c>
      <c r="U345" s="158" t="e">
        <f>IF('Budget by Period'!$AG$28&gt;0,'Budget by Period'!$AG$28,0)</f>
        <v>#REF!</v>
      </c>
      <c r="V345" s="158" t="e">
        <f>IF('Budget by Period'!$AG$29&gt;0,'Budget by Period'!$AG$29,0)</f>
        <v>#REF!</v>
      </c>
      <c r="W345" s="158" t="e">
        <f>IF('Budget by Period'!$AG$30&gt;0,'Budget by Period'!$AG$30,0)</f>
        <v>#REF!</v>
      </c>
      <c r="X345" s="158" t="e">
        <f>IF('Budget by Period'!$AG$31&gt;0,'Budget by Period'!$AG$31,0)</f>
        <v>#REF!</v>
      </c>
      <c r="Y345" s="158" t="e">
        <f>IF('Budget by Period'!$AG$32&gt;0,'Budget by Period'!$AG$32,0)</f>
        <v>#REF!</v>
      </c>
      <c r="Z345" s="158" t="e">
        <f>IF('Budget by Period'!$AG$33&gt;0,'Budget by Period'!$AG$33,0)</f>
        <v>#REF!</v>
      </c>
      <c r="AA345" s="158" t="e">
        <f>IF('Budget by Period'!$AG$34&gt;0,'Budget by Period'!$AG$34,0)</f>
        <v>#REF!</v>
      </c>
      <c r="AB345" s="158" t="e">
        <f>IF('Budget by Period'!$AG$35&gt;0,'Budget by Period'!$AG$35,0)</f>
        <v>#REF!</v>
      </c>
      <c r="AC345" s="158" t="e">
        <f>IF('Budget by Period'!$AG$36&gt;0,'Budget by Period'!$AG$36,0)</f>
        <v>#REF!</v>
      </c>
      <c r="AD345" s="158" t="e">
        <f>IF('Budget by Period'!$AG$37&gt;0,'Budget by Period'!$AG$37,0)</f>
        <v>#REF!</v>
      </c>
      <c r="AE345" s="158" t="e">
        <f>IF('Budget by Period'!$AG$38&gt;0,'Budget by Period'!$AG$38,0)</f>
        <v>#REF!</v>
      </c>
      <c r="AF345" s="158" t="e">
        <f>IF('Budget by Period'!$AG$39&gt;0,'Budget by Period'!$AG$39,0)</f>
        <v>#REF!</v>
      </c>
      <c r="AG345" s="158" t="e">
        <f>IF('Budget by Period'!$AG$40&gt;0,'Budget by Period'!$AG$40,0)</f>
        <v>#REF!</v>
      </c>
      <c r="AH345" s="158" t="e">
        <f>IF('Budget by Period'!$AG$41&gt;0,'Budget by Period'!$AG$41,0)</f>
        <v>#REF!</v>
      </c>
      <c r="AI345" s="158" t="e">
        <f>IF('Budget by Period'!$AG$42&gt;0,'Budget by Period'!$AG$42,0)</f>
        <v>#REF!</v>
      </c>
    </row>
    <row r="346" spans="2:42" ht="15.75" thickBot="1" x14ac:dyDescent="0.3">
      <c r="E346" s="165" t="s">
        <v>142</v>
      </c>
      <c r="F346" s="166" t="e">
        <f>SUM(F5:F340)-F345</f>
        <v>#REF!</v>
      </c>
      <c r="G346" s="167" t="e">
        <f>SUM(G5:G340)-G345</f>
        <v>#REF!</v>
      </c>
      <c r="H346" s="167" t="e">
        <f t="shared" ref="H346:AI346" si="11">SUM(H5:H340)-H345</f>
        <v>#REF!</v>
      </c>
      <c r="I346" s="167" t="e">
        <f t="shared" si="11"/>
        <v>#REF!</v>
      </c>
      <c r="J346" s="167" t="e">
        <f t="shared" si="11"/>
        <v>#REF!</v>
      </c>
      <c r="K346" s="167" t="e">
        <f t="shared" si="11"/>
        <v>#REF!</v>
      </c>
      <c r="L346" s="167" t="e">
        <f t="shared" si="11"/>
        <v>#REF!</v>
      </c>
      <c r="M346" s="167" t="e">
        <f t="shared" si="11"/>
        <v>#REF!</v>
      </c>
      <c r="N346" s="167" t="e">
        <f t="shared" si="11"/>
        <v>#REF!</v>
      </c>
      <c r="O346" s="167" t="e">
        <f t="shared" si="11"/>
        <v>#REF!</v>
      </c>
      <c r="P346" s="167" t="e">
        <f t="shared" si="11"/>
        <v>#REF!</v>
      </c>
      <c r="Q346" s="167" t="e">
        <f t="shared" si="11"/>
        <v>#REF!</v>
      </c>
      <c r="R346" s="167" t="e">
        <f t="shared" si="11"/>
        <v>#REF!</v>
      </c>
      <c r="S346" s="167" t="e">
        <f t="shared" si="11"/>
        <v>#REF!</v>
      </c>
      <c r="T346" s="167" t="e">
        <f t="shared" si="11"/>
        <v>#REF!</v>
      </c>
      <c r="U346" s="167" t="e">
        <f t="shared" si="11"/>
        <v>#REF!</v>
      </c>
      <c r="V346" s="167" t="e">
        <f t="shared" si="11"/>
        <v>#REF!</v>
      </c>
      <c r="W346" s="167" t="e">
        <f t="shared" si="11"/>
        <v>#REF!</v>
      </c>
      <c r="X346" s="167" t="e">
        <f t="shared" si="11"/>
        <v>#REF!</v>
      </c>
      <c r="Y346" s="167" t="e">
        <f t="shared" si="11"/>
        <v>#REF!</v>
      </c>
      <c r="Z346" s="167" t="e">
        <f t="shared" si="11"/>
        <v>#REF!</v>
      </c>
      <c r="AA346" s="167" t="e">
        <f t="shared" si="11"/>
        <v>#REF!</v>
      </c>
      <c r="AB346" s="167" t="e">
        <f t="shared" si="11"/>
        <v>#REF!</v>
      </c>
      <c r="AC346" s="167" t="e">
        <f t="shared" si="11"/>
        <v>#REF!</v>
      </c>
      <c r="AD346" s="167" t="e">
        <f t="shared" si="11"/>
        <v>#REF!</v>
      </c>
      <c r="AE346" s="167" t="e">
        <f t="shared" si="11"/>
        <v>#REF!</v>
      </c>
      <c r="AF346" s="167" t="e">
        <f t="shared" si="11"/>
        <v>#REF!</v>
      </c>
      <c r="AG346" s="167" t="e">
        <f t="shared" si="11"/>
        <v>#REF!</v>
      </c>
      <c r="AH346" s="167" t="e">
        <f>SUM(AH5:AH340)-AH345</f>
        <v>#REF!</v>
      </c>
      <c r="AI346" s="167" t="e">
        <f t="shared" si="11"/>
        <v>#REF!</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SubBudget_Click">
                <anchor moveWithCells="1" sizeWithCells="1">
                  <from>
                    <xdr:col>1</xdr:col>
                    <xdr:colOff>28575</xdr:colOff>
                    <xdr:row>0</xdr:row>
                    <xdr:rowOff>142875</xdr:rowOff>
                  </from>
                  <to>
                    <xdr:col>3</xdr:col>
                    <xdr:colOff>685800</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Instructions</vt:lpstr>
      <vt:lpstr>Labor Summary Tables</vt:lpstr>
      <vt:lpstr>Base Period</vt:lpstr>
      <vt:lpstr>Option Period 1</vt:lpstr>
      <vt:lpstr>Budget by Task</vt:lpstr>
      <vt:lpstr>Budget by Period</vt:lpstr>
      <vt:lpstr>Buttons</vt:lpstr>
      <vt:lpstr>Budget Output</vt:lpstr>
      <vt:lpstr>INSERTROW_BYTASK</vt:lpstr>
      <vt:lpstr>INSERTROW_BYYEAR</vt:lpstr>
      <vt:lpstr>INSERTROW_LABORSUM</vt:lpstr>
      <vt:lpstr>INSERTROW_LABORSUM2</vt:lpstr>
      <vt:lpstr>INSERTROW_YR1</vt:lpstr>
      <vt:lpstr>INSERTROW_YR2</vt:lpstr>
      <vt:lpstr>Name_End_BYTASK</vt:lpstr>
      <vt:lpstr>Name_End_BYYEAR</vt:lpstr>
      <vt:lpstr>Name_End_Labor</vt:lpstr>
      <vt:lpstr>Name_End_Labor2</vt:lpstr>
      <vt:lpstr>Name_End_YR1</vt:lpstr>
      <vt:lpstr>Name_End_YR2</vt:lpstr>
      <vt:lpstr>'Base Period'!Print_Area</vt:lpstr>
      <vt:lpstr>'Budget by Period'!Print_Area</vt:lpstr>
      <vt:lpstr>'Budget by Task'!Print_Area</vt:lpstr>
      <vt:lpstr>'Option Period 1'!Print_Area</vt:lpstr>
      <vt:lpstr>'Base Period'!Print_Titles</vt:lpstr>
      <vt:lpstr>'Budget by Period'!Print_Titles</vt:lpstr>
      <vt:lpstr>'Budget by Task'!Print_Titles</vt:lpstr>
      <vt:lpstr>'Option Period 1'!Print_Titles</vt:lpstr>
      <vt:lpstr>SC1_Tasks</vt:lpstr>
      <vt:lpstr>YR1_First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Levy, Marina (CMS/OIT)</cp:lastModifiedBy>
  <cp:lastPrinted>2019-11-05T21:00:39Z</cp:lastPrinted>
  <dcterms:created xsi:type="dcterms:W3CDTF">2016-10-07T18:56:21Z</dcterms:created>
  <dcterms:modified xsi:type="dcterms:W3CDTF">2024-07-01T13:24:50Z</dcterms:modified>
</cp:coreProperties>
</file>